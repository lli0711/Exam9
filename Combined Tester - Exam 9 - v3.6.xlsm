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900" windowWidth="14160" windowHeight="6636" firstSheet="4" activeTab="6"/>
  </bookViews>
  <sheets>
    <sheet name="Notes" sheetId="7" r:id="rId1"/>
    <sheet name="ToDo" sheetId="13" r:id="rId2"/>
    <sheet name="Schedule" sheetId="18" r:id="rId3"/>
    <sheet name="OutstandingQs" sheetId="17" r:id="rId4"/>
    <sheet name="ReadingIndex" sheetId="4" r:id="rId5"/>
    <sheet name="FinalSchedule" sheetId="21" r:id="rId6"/>
    <sheet name="Stats" sheetId="2" r:id="rId7"/>
    <sheet name="Timecard" sheetId="11" r:id="rId8"/>
    <sheet name="ResultDB" sheetId="3" r:id="rId9"/>
    <sheet name="PriorResults" sheetId="19" state="hidden" r:id="rId10"/>
    <sheet name="QuestionDB" sheetId="5" r:id="rId11"/>
    <sheet name="RawQuestionDB" sheetId="8" r:id="rId12"/>
    <sheet name="Settings" sheetId="9" r:id="rId13"/>
    <sheet name="Sheet1" sheetId="20" r:id="rId14"/>
    <sheet name="2015" sheetId="22" r:id="rId15"/>
    <sheet name="2013" sheetId="23" r:id="rId16"/>
    <sheet name="2014" sheetId="25" r:id="rId17"/>
  </sheets>
  <functionGroups builtInGroupCount="17"/>
  <definedNames>
    <definedName name="_xlnm._FilterDatabase" localSheetId="10" hidden="1">QuestionDB!$A$1:$J$464</definedName>
    <definedName name="_xlnm._FilterDatabase" localSheetId="8" hidden="1">ResultDB!$A$1:$Q$409</definedName>
    <definedName name="a">#REF!</definedName>
    <definedName name="Control.Adobe" localSheetId="15">#REF!</definedName>
    <definedName name="Control.Adobe">#REF!</definedName>
    <definedName name="Control.MSWord" localSheetId="15">#REF!</definedName>
    <definedName name="Control.MSWord">#REF!</definedName>
    <definedName name="Control.PointSpeed">Settings!$U$3</definedName>
    <definedName name="Fox.APage" localSheetId="15">#REF!</definedName>
    <definedName name="Fox.APage">#REF!</definedName>
    <definedName name="Fox.QPage" localSheetId="15">#REF!</definedName>
    <definedName name="Fox.QPage">#REF!</definedName>
    <definedName name="Notes.Notes">Notes!$A:$A</definedName>
    <definedName name="QDB.APage">QuestionDB!$H:$H</definedName>
    <definedName name="QDB.Code">QuestionDB!$A:$A</definedName>
    <definedName name="QDB.Exclude">QuestionDB!$I:$I</definedName>
    <definedName name="QDB.Filename">QuestionDB!$B:$B</definedName>
    <definedName name="QDB.Paper">QuestionDB!$C:$C</definedName>
    <definedName name="QDB.Points">QuestionDB!$F:$F</definedName>
    <definedName name="QDB.QPage">QuestionDB!$G:$G</definedName>
    <definedName name="QDB.Question">QuestionDB!$E:$E</definedName>
    <definedName name="QDB.Source">QuestionDB!$D:$D</definedName>
    <definedName name="RDB.APage">ResultDB!$H:$H</definedName>
    <definedName name="RDB.AttemptNum">ResultDB!$P:$P</definedName>
    <definedName name="RDB.Code">ResultDB!$A:$A</definedName>
    <definedName name="RDB.Correct">ResultDB!$I:$I</definedName>
    <definedName name="RDB.Day">ResultDB!$Q:$Q</definedName>
    <definedName name="RDB.ElapsedTime">ResultDB!$O:$O</definedName>
    <definedName name="RDB.EndTime">ResultDB!$K:$K</definedName>
    <definedName name="RDB.Filename">ResultDB!$B:$B</definedName>
    <definedName name="RDB.Marked">ResultDB!$M:$M</definedName>
    <definedName name="RDB.ModeCode">ResultDB!$L:$L</definedName>
    <definedName name="RDB.Notes">ResultDB!$N:$N</definedName>
    <definedName name="RDB.Paper">ResultDB!$C:$C</definedName>
    <definedName name="RDB.Points">ResultDB!$F:$F</definedName>
    <definedName name="RDB.QPage">ResultDB!$G:$G</definedName>
    <definedName name="RDB.Question">ResultDB!$E:$E</definedName>
    <definedName name="RDB.Source">ResultDB!$D:$D</definedName>
    <definedName name="RDB.StartTime">ResultDB!$J:$J</definedName>
    <definedName name="RI.Accuracy">ReadingIndex!$N$10:$N$41</definedName>
    <definedName name="RI.AdjWt">ReadingIndex!$Q$10:$Q$41</definedName>
    <definedName name="RI.Exhibits">ReadingIndex!$K$10:$K$41</definedName>
    <definedName name="RI.LObj">ReadingIndex!$A$10:$A$41</definedName>
    <definedName name="RI.Mahler_Notes">ReadingIndex!$F$10:$F$41</definedName>
    <definedName name="RI.Manual_Pg">ReadingIndex!$G$10:$G$41</definedName>
    <definedName name="RI.Other_Notes">ReadingIndex!$H$10:$H$41</definedName>
    <definedName name="RI.Paper">ReadingIndex!$B$10:$B$41</definedName>
    <definedName name="RI.Personal_Notes">ReadingIndex!$J$10:$J$41</definedName>
    <definedName name="RI.Problems">ReadingIndex!$L$10:$L$41</definedName>
    <definedName name="RI.Readings">ReadingIndex!$D$10:$D$41</definedName>
    <definedName name="RI.Readings_Pg">ReadingIndex!$E$10:$E$41</definedName>
    <definedName name="RI.SelWt">ReadingIndex!$P$10:$P$41</definedName>
    <definedName name="RI.Speed">ReadingIndex!$O$10:$O$41</definedName>
    <definedName name="RI.TIA_Pg">ReadingIndex!$I$10:$I$41</definedName>
    <definedName name="RQDB.APage">RawQuestionDB!$H:$H</definedName>
    <definedName name="RQDB.Code">RawQuestionDB!$A:$A</definedName>
    <definedName name="RQDB.Exclude">RawQuestionDB!$I:$I</definedName>
    <definedName name="RQDB.Filename">RawQuestionDB!$B:$B</definedName>
    <definedName name="RQDB.Paper">RawQuestionDB!$C:$C</definedName>
    <definedName name="RQDB.Points">RawQuestionDB!$F:$F</definedName>
    <definedName name="RQDB.QPage">RawQuestionDB!$G:$G</definedName>
    <definedName name="RQDB.Question">RawQuestionDB!$E:$E</definedName>
    <definedName name="RQDB.Source">RawQuestionDB!$D:$D</definedName>
    <definedName name="Settings.AdobePath">Settings!$B$1:$B$8</definedName>
    <definedName name="Settings.ComputerName">Settings!$A$1:$A$8</definedName>
    <definedName name="Settings.DefaultComputer">Settings!$U$2</definedName>
    <definedName name="Settings.ExamALeft">Settings!$I$1:$I$8</definedName>
    <definedName name="Settings.ExamATop">Settings!$H$1:$H$8</definedName>
    <definedName name="Settings.ExamInfoLeft">Settings!$K$1:$K$8</definedName>
    <definedName name="Settings.ExamInfoTop">Settings!$J$1:$J$8</definedName>
    <definedName name="Settings.ExamQLeft">Settings!$M$1:$M$8</definedName>
    <definedName name="Settings.ExamQTop">Settings!$L$1:$L$8</definedName>
    <definedName name="Settings.HWFormLeft">Settings!$O$1:$O$8</definedName>
    <definedName name="Settings.HWFormTop">Settings!$N$1:$N$8</definedName>
    <definedName name="Settings.ModeFormLeft">Settings!$Q$1:$Q$8</definedName>
    <definedName name="Settings.ModeFormTop">Settings!$P$1:$P$8</definedName>
    <definedName name="Settings.MSWordPath">Settings!$C$1:$C$8</definedName>
    <definedName name="Settings.ResultsFormLeft">Settings!$S$1:$S$8</definedName>
    <definedName name="Settings.ResultsFormTop">Settings!$R$1:$R$8</definedName>
    <definedName name="Settings.Settings2Left">Settings!$G$1:$G$8</definedName>
    <definedName name="Settings.Settings2Top">Settings!$F$1:$F$8</definedName>
    <definedName name="Settings.SettingsLeft">Settings!$E$1:$E$8</definedName>
    <definedName name="Settings.SettingsTop">Settings!$D$1:$D$8</definedName>
    <definedName name="Temp_Adobe" localSheetId="15">#REF!</definedName>
    <definedName name="Temp_Adobe">#REF!</definedName>
    <definedName name="Temp_MSWord" localSheetId="15">#REF!</definedName>
    <definedName name="Temp_MSWord">#REF!</definedName>
    <definedName name="Timecard.Day">Timecard!$D:$D</definedName>
    <definedName name="Timecard.In">Timecard!$A:$A</definedName>
    <definedName name="Timecard.Out">Timecard!$B:$B</definedName>
    <definedName name="Timecard.Total">Timecard!$C:$C</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456" i="3" l="1"/>
  <c r="O456" i="3"/>
  <c r="P456" i="3"/>
  <c r="A456" i="3"/>
  <c r="Q455" i="3"/>
  <c r="O455" i="3"/>
  <c r="P455" i="3"/>
  <c r="A455" i="3"/>
  <c r="Q454" i="3"/>
  <c r="O454" i="3"/>
  <c r="P454" i="3"/>
  <c r="A454" i="3"/>
  <c r="Q453" i="3"/>
  <c r="O453" i="3"/>
  <c r="P453" i="3"/>
  <c r="A453" i="3"/>
  <c r="Q452" i="3"/>
  <c r="O452" i="3"/>
  <c r="P452" i="3"/>
  <c r="A452" i="3"/>
  <c r="Q451" i="3"/>
  <c r="O451" i="3"/>
  <c r="P451" i="3"/>
  <c r="A451" i="3"/>
  <c r="Q450" i="3"/>
  <c r="O450" i="3"/>
  <c r="P450" i="3"/>
  <c r="A450" i="3"/>
  <c r="Q449" i="3"/>
  <c r="O449" i="3"/>
  <c r="P449" i="3"/>
  <c r="A449" i="3"/>
  <c r="Q448" i="3"/>
  <c r="O448" i="3"/>
  <c r="P448" i="3"/>
  <c r="A448" i="3"/>
  <c r="Q447" i="3"/>
  <c r="O447" i="3"/>
  <c r="P447" i="3"/>
  <c r="A447" i="3"/>
  <c r="Q446" i="3"/>
  <c r="O446" i="3"/>
  <c r="P446" i="3"/>
  <c r="A446" i="3"/>
  <c r="Q445" i="3"/>
  <c r="O445" i="3"/>
  <c r="P445" i="3"/>
  <c r="A445" i="3"/>
  <c r="Q444" i="3"/>
  <c r="O444" i="3"/>
  <c r="P444" i="3"/>
  <c r="A444" i="3"/>
  <c r="Q443" i="3"/>
  <c r="O443" i="3"/>
  <c r="P443" i="3"/>
  <c r="A443" i="3"/>
  <c r="Q442" i="3"/>
  <c r="O442" i="3"/>
  <c r="P442" i="3"/>
  <c r="A442" i="3"/>
  <c r="Q441" i="3"/>
  <c r="O441" i="3"/>
  <c r="P441" i="3"/>
  <c r="A441" i="3"/>
  <c r="Q440" i="3"/>
  <c r="O440" i="3"/>
  <c r="P440" i="3"/>
  <c r="A440" i="3"/>
  <c r="Q439" i="3"/>
  <c r="O439" i="3"/>
  <c r="P439" i="3"/>
  <c r="A439" i="3"/>
  <c r="Q438" i="3"/>
  <c r="O438" i="3"/>
  <c r="P438" i="3"/>
  <c r="A438" i="3"/>
  <c r="Q437" i="3"/>
  <c r="O437" i="3"/>
  <c r="P437" i="3"/>
  <c r="A437" i="3"/>
  <c r="Q436" i="3"/>
  <c r="O436" i="3"/>
  <c r="P436" i="3"/>
  <c r="A436" i="3"/>
  <c r="Q435" i="3"/>
  <c r="O435" i="3"/>
  <c r="P435" i="3"/>
  <c r="A435" i="3"/>
  <c r="Q434" i="3"/>
  <c r="O434" i="3"/>
  <c r="P434" i="3"/>
  <c r="A434" i="3"/>
  <c r="Q433" i="3"/>
  <c r="O433" i="3"/>
  <c r="P433" i="3"/>
  <c r="A433" i="3"/>
  <c r="Q432" i="3"/>
  <c r="O432" i="3"/>
  <c r="P432" i="3"/>
  <c r="A432" i="3"/>
  <c r="Q431" i="3"/>
  <c r="O431" i="3"/>
  <c r="P431" i="3"/>
  <c r="A431" i="3"/>
  <c r="Q430" i="3"/>
  <c r="O430" i="3"/>
  <c r="P430" i="3"/>
  <c r="A430" i="3"/>
  <c r="Q429" i="3"/>
  <c r="O429" i="3"/>
  <c r="P429" i="3"/>
  <c r="A429" i="3"/>
  <c r="Q428" i="3"/>
  <c r="O428" i="3"/>
  <c r="P428" i="3"/>
  <c r="A428" i="3"/>
  <c r="Q427" i="3"/>
  <c r="O427" i="3"/>
  <c r="P427" i="3"/>
  <c r="A427" i="3"/>
  <c r="Q426" i="3"/>
  <c r="O426" i="3"/>
  <c r="P426" i="3"/>
  <c r="A426" i="3"/>
  <c r="Q425" i="3"/>
  <c r="O425" i="3"/>
  <c r="P425" i="3"/>
  <c r="A425" i="3"/>
  <c r="Q424" i="3"/>
  <c r="O424" i="3"/>
  <c r="P424" i="3"/>
  <c r="A424" i="3"/>
  <c r="Q423" i="3"/>
  <c r="O423" i="3"/>
  <c r="P423" i="3"/>
  <c r="A423" i="3"/>
  <c r="Q422" i="3"/>
  <c r="O422" i="3"/>
  <c r="P422" i="3"/>
  <c r="A422" i="3"/>
  <c r="Q421" i="3"/>
  <c r="O421" i="3"/>
  <c r="P421" i="3"/>
  <c r="A421" i="3"/>
  <c r="Q420" i="3"/>
  <c r="O420" i="3"/>
  <c r="P420" i="3"/>
  <c r="A420" i="3"/>
  <c r="Q419" i="3"/>
  <c r="O419" i="3"/>
  <c r="P419" i="3"/>
  <c r="A419" i="3"/>
  <c r="Q418" i="3"/>
  <c r="O418" i="3"/>
  <c r="P418" i="3"/>
  <c r="A418" i="3"/>
  <c r="Q417" i="3"/>
  <c r="O417" i="3"/>
  <c r="P417" i="3"/>
  <c r="A417" i="3"/>
  <c r="Q416" i="3"/>
  <c r="O416" i="3"/>
  <c r="P416" i="3"/>
  <c r="A416" i="3"/>
  <c r="Q415" i="3"/>
  <c r="O415" i="3"/>
  <c r="P415" i="3"/>
  <c r="A415" i="3"/>
  <c r="Q414" i="3"/>
  <c r="O414" i="3"/>
  <c r="P414" i="3"/>
  <c r="A414" i="3"/>
  <c r="Q413" i="3"/>
  <c r="O413" i="3"/>
  <c r="P413" i="3"/>
  <c r="A413" i="3"/>
  <c r="Q412" i="3"/>
  <c r="O412" i="3"/>
  <c r="P412" i="3"/>
  <c r="A412" i="3"/>
  <c r="Q411" i="3"/>
  <c r="O411" i="3"/>
  <c r="P411" i="3"/>
  <c r="A411" i="3"/>
  <c r="Q410" i="3"/>
  <c r="O410" i="3"/>
  <c r="P410" i="3"/>
  <c r="A410" i="3"/>
  <c r="Q409" i="3" l="1"/>
  <c r="O409" i="3"/>
  <c r="A409" i="3"/>
  <c r="Q408" i="3"/>
  <c r="O408" i="3"/>
  <c r="A408" i="3"/>
  <c r="Q407" i="3"/>
  <c r="O407" i="3"/>
  <c r="A407" i="3"/>
  <c r="Q406" i="3"/>
  <c r="O406" i="3"/>
  <c r="A406" i="3"/>
  <c r="Q405" i="3"/>
  <c r="O405" i="3"/>
  <c r="A405" i="3"/>
  <c r="Q404" i="3"/>
  <c r="O404" i="3"/>
  <c r="A404" i="3"/>
  <c r="Q403" i="3"/>
  <c r="O403" i="3"/>
  <c r="A403" i="3"/>
  <c r="Q402" i="3"/>
  <c r="O402" i="3"/>
  <c r="A402" i="3"/>
  <c r="Q401" i="3"/>
  <c r="O401" i="3"/>
  <c r="A401" i="3"/>
  <c r="Q400" i="3"/>
  <c r="O400" i="3"/>
  <c r="A400" i="3"/>
  <c r="T3" i="25"/>
  <c r="T4" i="25"/>
  <c r="T5" i="25"/>
  <c r="T6" i="25"/>
  <c r="T7" i="25"/>
  <c r="T8" i="25"/>
  <c r="T9" i="25"/>
  <c r="T10" i="25"/>
  <c r="T11" i="25"/>
  <c r="T12" i="25"/>
  <c r="T13" i="25"/>
  <c r="T14" i="25"/>
  <c r="T15" i="25"/>
  <c r="T16" i="25"/>
  <c r="T17" i="25"/>
  <c r="T18" i="25"/>
  <c r="T19" i="25"/>
  <c r="T20" i="25"/>
  <c r="T21" i="25"/>
  <c r="T22" i="25"/>
  <c r="T23" i="25"/>
  <c r="T24" i="25"/>
  <c r="T25" i="25"/>
  <c r="T2" i="25"/>
  <c r="K34" i="25"/>
  <c r="S25" i="25"/>
  <c r="I25" i="25"/>
  <c r="S24" i="25"/>
  <c r="I24" i="25"/>
  <c r="S23" i="25"/>
  <c r="I23" i="25"/>
  <c r="S22" i="25"/>
  <c r="I22" i="25"/>
  <c r="S21" i="25"/>
  <c r="I21" i="25"/>
  <c r="S20" i="25"/>
  <c r="I20" i="25"/>
  <c r="S19" i="25"/>
  <c r="J31" i="25" s="1"/>
  <c r="I19" i="25"/>
  <c r="S18" i="25"/>
  <c r="I18" i="25"/>
  <c r="S17" i="25"/>
  <c r="I17" i="25"/>
  <c r="S16" i="25"/>
  <c r="I16" i="25"/>
  <c r="S15" i="25"/>
  <c r="I15" i="25"/>
  <c r="S14" i="25"/>
  <c r="I14" i="25"/>
  <c r="S13" i="25"/>
  <c r="I13" i="25"/>
  <c r="S12" i="25"/>
  <c r="I12" i="25"/>
  <c r="S11" i="25"/>
  <c r="I11" i="25"/>
  <c r="I30" i="25" s="1"/>
  <c r="S10" i="25"/>
  <c r="I10" i="25"/>
  <c r="S9" i="25"/>
  <c r="I9" i="25"/>
  <c r="S8" i="25"/>
  <c r="I8" i="25"/>
  <c r="S7" i="25"/>
  <c r="I7" i="25"/>
  <c r="I29" i="25" s="1"/>
  <c r="S6" i="25"/>
  <c r="I6" i="25"/>
  <c r="S5" i="25"/>
  <c r="I5" i="25"/>
  <c r="S4" i="25"/>
  <c r="I4" i="25"/>
  <c r="S3" i="25"/>
  <c r="I3" i="25"/>
  <c r="S2" i="25"/>
  <c r="I2" i="25"/>
  <c r="J30" i="25" l="1"/>
  <c r="K30" i="25" s="1"/>
  <c r="J29" i="25"/>
  <c r="L29" i="25" s="1"/>
  <c r="J28" i="25"/>
  <c r="L28" i="25" s="1"/>
  <c r="I28" i="25"/>
  <c r="I31" i="25"/>
  <c r="K31" i="25" s="1"/>
  <c r="L31" i="25"/>
  <c r="K35" i="23"/>
  <c r="AB26" i="23"/>
  <c r="S26" i="23"/>
  <c r="J32" i="23" s="1"/>
  <c r="I26" i="23"/>
  <c r="AB25" i="23"/>
  <c r="S25" i="23"/>
  <c r="I25" i="23"/>
  <c r="AB24" i="23"/>
  <c r="S24" i="23"/>
  <c r="I24" i="23"/>
  <c r="AB23" i="23"/>
  <c r="S23" i="23"/>
  <c r="I23" i="23"/>
  <c r="AB22" i="23"/>
  <c r="S22" i="23"/>
  <c r="I22" i="23"/>
  <c r="AB21" i="23"/>
  <c r="S21" i="23"/>
  <c r="I21" i="23"/>
  <c r="AB20" i="23"/>
  <c r="S20" i="23"/>
  <c r="I20" i="23"/>
  <c r="AB19" i="23"/>
  <c r="S19" i="23"/>
  <c r="I19" i="23"/>
  <c r="AB18" i="23"/>
  <c r="S18" i="23"/>
  <c r="I18" i="23"/>
  <c r="AB17" i="23"/>
  <c r="S17" i="23"/>
  <c r="I17" i="23"/>
  <c r="AB16" i="23"/>
  <c r="S16" i="23"/>
  <c r="I16" i="23"/>
  <c r="AB15" i="23"/>
  <c r="S15" i="23"/>
  <c r="I15" i="23"/>
  <c r="AB14" i="23"/>
  <c r="S14" i="23"/>
  <c r="J31" i="23" s="1"/>
  <c r="I14" i="23"/>
  <c r="AB13" i="23"/>
  <c r="S13" i="23"/>
  <c r="I13" i="23"/>
  <c r="AB12" i="23"/>
  <c r="S12" i="23"/>
  <c r="I12" i="23"/>
  <c r="AB11" i="23"/>
  <c r="S11" i="23"/>
  <c r="I11" i="23"/>
  <c r="AB10" i="23"/>
  <c r="S10" i="23"/>
  <c r="I10" i="23"/>
  <c r="AB9" i="23"/>
  <c r="S9" i="23"/>
  <c r="I9" i="23"/>
  <c r="AB8" i="23"/>
  <c r="S8" i="23"/>
  <c r="I8" i="23"/>
  <c r="AB7" i="23"/>
  <c r="S7" i="23"/>
  <c r="I7" i="23"/>
  <c r="AB6" i="23"/>
  <c r="S6" i="23"/>
  <c r="I6" i="23"/>
  <c r="AB5" i="23"/>
  <c r="S5" i="23"/>
  <c r="I5" i="23"/>
  <c r="AB4" i="23"/>
  <c r="S4" i="23"/>
  <c r="I4" i="23"/>
  <c r="AB3" i="23"/>
  <c r="S3" i="23"/>
  <c r="I3" i="23"/>
  <c r="AB2" i="23"/>
  <c r="S2" i="23"/>
  <c r="I2" i="23"/>
  <c r="L30" i="25" l="1"/>
  <c r="K29" i="25"/>
  <c r="M29" i="25" s="1"/>
  <c r="J32" i="25"/>
  <c r="K28" i="25"/>
  <c r="M28" i="25" s="1"/>
  <c r="I32" i="25"/>
  <c r="M31" i="25"/>
  <c r="I29" i="23"/>
  <c r="J29" i="23"/>
  <c r="J30" i="23"/>
  <c r="L30" i="23" s="1"/>
  <c r="L32" i="23"/>
  <c r="I30" i="23"/>
  <c r="I32" i="23"/>
  <c r="I31" i="23"/>
  <c r="K31" i="23" s="1"/>
  <c r="L31" i="23"/>
  <c r="Q399" i="3"/>
  <c r="O399" i="3"/>
  <c r="A399" i="3"/>
  <c r="Q398" i="3"/>
  <c r="O398" i="3"/>
  <c r="A398" i="3"/>
  <c r="Q397" i="3"/>
  <c r="O397" i="3"/>
  <c r="A397" i="3"/>
  <c r="Q396" i="3"/>
  <c r="O396" i="3"/>
  <c r="A396" i="3"/>
  <c r="Q395" i="3"/>
  <c r="O395" i="3"/>
  <c r="A395" i="3"/>
  <c r="Q394" i="3"/>
  <c r="O394" i="3"/>
  <c r="A394" i="3"/>
  <c r="Q393" i="3"/>
  <c r="O393" i="3"/>
  <c r="A393" i="3"/>
  <c r="Q392" i="3"/>
  <c r="O392" i="3"/>
  <c r="A392" i="3"/>
  <c r="C59" i="21"/>
  <c r="L32" i="25" l="1"/>
  <c r="M32" i="25" s="1"/>
  <c r="M30" i="25"/>
  <c r="J35" i="25"/>
  <c r="I35" i="25"/>
  <c r="K32" i="25"/>
  <c r="K30" i="23"/>
  <c r="M30" i="23" s="1"/>
  <c r="K29" i="23"/>
  <c r="K32" i="23"/>
  <c r="M32" i="23" s="1"/>
  <c r="J33" i="23"/>
  <c r="M31" i="23"/>
  <c r="L29" i="23"/>
  <c r="M29" i="23" s="1"/>
  <c r="I33" i="23"/>
  <c r="Q391" i="3"/>
  <c r="O391" i="3"/>
  <c r="A391" i="3"/>
  <c r="Q390" i="3"/>
  <c r="O390" i="3"/>
  <c r="A390" i="3"/>
  <c r="Q389" i="3"/>
  <c r="O389" i="3"/>
  <c r="A389" i="3"/>
  <c r="Q388" i="3"/>
  <c r="O388" i="3"/>
  <c r="A388" i="3"/>
  <c r="Q387" i="3"/>
  <c r="O387" i="3"/>
  <c r="A387" i="3"/>
  <c r="Q386" i="3"/>
  <c r="O386" i="3"/>
  <c r="A386" i="3"/>
  <c r="Q385" i="3"/>
  <c r="O385" i="3"/>
  <c r="A385" i="3"/>
  <c r="K35" i="25" l="1"/>
  <c r="J36" i="23"/>
  <c r="K36" i="23" s="1"/>
  <c r="I36" i="23"/>
  <c r="K33" i="23"/>
  <c r="L33" i="23"/>
  <c r="M33" i="23" s="1"/>
  <c r="Q384" i="3"/>
  <c r="O384" i="3"/>
  <c r="A384" i="3"/>
  <c r="Q383" i="3"/>
  <c r="O383" i="3"/>
  <c r="A383" i="3"/>
  <c r="Q382" i="3"/>
  <c r="O382" i="3"/>
  <c r="A382" i="3"/>
  <c r="Q381" i="3"/>
  <c r="O381" i="3"/>
  <c r="A381" i="3"/>
  <c r="Q380" i="3"/>
  <c r="O380" i="3"/>
  <c r="A380" i="3"/>
  <c r="Q379" i="3"/>
  <c r="O379" i="3"/>
  <c r="A379" i="3"/>
  <c r="Q378" i="3"/>
  <c r="O378" i="3"/>
  <c r="A378" i="3"/>
  <c r="O3" i="4"/>
  <c r="O2" i="4"/>
  <c r="Q377" i="3"/>
  <c r="O377" i="3"/>
  <c r="A377" i="3"/>
  <c r="Q376" i="3"/>
  <c r="O376" i="3"/>
  <c r="A376" i="3"/>
  <c r="Q375" i="3"/>
  <c r="O375" i="3"/>
  <c r="A375" i="3"/>
  <c r="Q374" i="3"/>
  <c r="O374" i="3"/>
  <c r="A374" i="3"/>
  <c r="Q373" i="3"/>
  <c r="O373" i="3"/>
  <c r="A373" i="3"/>
  <c r="Q372" i="3"/>
  <c r="O372" i="3"/>
  <c r="A372" i="3"/>
  <c r="Q371" i="3"/>
  <c r="O371" i="3"/>
  <c r="A371" i="3"/>
  <c r="Q370" i="3"/>
  <c r="O370" i="3"/>
  <c r="A370" i="3"/>
  <c r="Q369" i="3"/>
  <c r="O369" i="3"/>
  <c r="A369" i="3"/>
  <c r="O4" i="4" l="1"/>
  <c r="Q368" i="3" l="1"/>
  <c r="O368" i="3"/>
  <c r="A368" i="3"/>
  <c r="Q367" i="3"/>
  <c r="O367" i="3"/>
  <c r="A367" i="3"/>
  <c r="Q366" i="3"/>
  <c r="O366" i="3"/>
  <c r="A366" i="3"/>
  <c r="Q365" i="3"/>
  <c r="O365" i="3"/>
  <c r="A365" i="3"/>
  <c r="Q364" i="3"/>
  <c r="O364" i="3"/>
  <c r="A364" i="3"/>
  <c r="Q363" i="3"/>
  <c r="O363" i="3"/>
  <c r="A363" i="3"/>
  <c r="Q362" i="3" l="1"/>
  <c r="O362" i="3"/>
  <c r="A362" i="3"/>
  <c r="Q361" i="3"/>
  <c r="O361" i="3"/>
  <c r="A361" i="3"/>
  <c r="Q360" i="3"/>
  <c r="O360" i="3"/>
  <c r="A360" i="3"/>
  <c r="Q359" i="3"/>
  <c r="O359" i="3"/>
  <c r="A359" i="3"/>
  <c r="Q358" i="3"/>
  <c r="O358" i="3"/>
  <c r="A358" i="3"/>
  <c r="Q357" i="3"/>
  <c r="O357" i="3"/>
  <c r="A357" i="3"/>
  <c r="Q356" i="3" l="1"/>
  <c r="O356" i="3"/>
  <c r="A356" i="3"/>
  <c r="Q355" i="3"/>
  <c r="O355" i="3"/>
  <c r="A355" i="3"/>
  <c r="Q354" i="3"/>
  <c r="O354" i="3"/>
  <c r="A354" i="3"/>
  <c r="Q353" i="3"/>
  <c r="O353" i="3"/>
  <c r="A353" i="3"/>
  <c r="Q352" i="3"/>
  <c r="O352" i="3"/>
  <c r="A352" i="3"/>
  <c r="Q322" i="3"/>
  <c r="O322" i="3"/>
  <c r="A322" i="3"/>
  <c r="Q350" i="3"/>
  <c r="O350" i="3"/>
  <c r="A350" i="3"/>
  <c r="Q349" i="3"/>
  <c r="O349" i="3"/>
  <c r="A349" i="3"/>
  <c r="Q348" i="3"/>
  <c r="O348" i="3"/>
  <c r="A348" i="3"/>
  <c r="Q321" i="3" l="1"/>
  <c r="O321" i="3"/>
  <c r="A321" i="3"/>
  <c r="Q346" i="3"/>
  <c r="O346" i="3"/>
  <c r="A346" i="3"/>
  <c r="Q345" i="3"/>
  <c r="O345" i="3"/>
  <c r="A345" i="3"/>
  <c r="Q344" i="3"/>
  <c r="O344" i="3"/>
  <c r="A344" i="3"/>
  <c r="Q343" i="3"/>
  <c r="O343" i="3"/>
  <c r="A343" i="3"/>
  <c r="Q342" i="3"/>
  <c r="O342" i="3"/>
  <c r="A342" i="3"/>
  <c r="Q341" i="3"/>
  <c r="O341" i="3"/>
  <c r="A341" i="3"/>
  <c r="Q320" i="3"/>
  <c r="O320" i="3"/>
  <c r="A320" i="3"/>
  <c r="C38" i="21" l="1"/>
  <c r="C39" i="21"/>
  <c r="C40" i="21"/>
  <c r="C41" i="21"/>
  <c r="C42" i="21"/>
  <c r="C43" i="21"/>
  <c r="C44" i="21"/>
  <c r="C45" i="21"/>
  <c r="C46" i="21"/>
  <c r="C47" i="21"/>
  <c r="C48" i="21"/>
  <c r="C49" i="21"/>
  <c r="C50" i="21"/>
  <c r="C51" i="21"/>
  <c r="C52" i="21"/>
  <c r="C53" i="21"/>
  <c r="C54" i="21"/>
  <c r="C55" i="21"/>
  <c r="C56" i="21"/>
  <c r="C57" i="21"/>
  <c r="C58" i="21"/>
  <c r="C60" i="21"/>
  <c r="C61" i="21"/>
  <c r="C62" i="21"/>
  <c r="C63" i="21"/>
  <c r="C64" i="21"/>
  <c r="C65" i="21"/>
  <c r="C66" i="21"/>
  <c r="C67" i="21"/>
  <c r="C37" i="21"/>
  <c r="AB28" i="22"/>
  <c r="AB27" i="22"/>
  <c r="AB26" i="22"/>
  <c r="AB25" i="22"/>
  <c r="AB24" i="22"/>
  <c r="AB23" i="22"/>
  <c r="AB22" i="22"/>
  <c r="AB21" i="22"/>
  <c r="AB20" i="22"/>
  <c r="AB19" i="22"/>
  <c r="AB18" i="22"/>
  <c r="AB17" i="22"/>
  <c r="AB16" i="22"/>
  <c r="AB15" i="22"/>
  <c r="AB14" i="22"/>
  <c r="AB13" i="22"/>
  <c r="AB12" i="22"/>
  <c r="AB11" i="22"/>
  <c r="AB10" i="22"/>
  <c r="AB9" i="22"/>
  <c r="AB8" i="22"/>
  <c r="AB7" i="22"/>
  <c r="AB6" i="22"/>
  <c r="AB5" i="22"/>
  <c r="AB4" i="22"/>
  <c r="AB3" i="22"/>
  <c r="AB2" i="22"/>
  <c r="S3" i="22"/>
  <c r="S4" i="22"/>
  <c r="S5" i="22"/>
  <c r="S6" i="22"/>
  <c r="S7" i="22"/>
  <c r="S8" i="22"/>
  <c r="S9" i="22"/>
  <c r="S10" i="22"/>
  <c r="S11" i="22"/>
  <c r="S12" i="22"/>
  <c r="S13" i="22"/>
  <c r="S14" i="22"/>
  <c r="S15" i="22"/>
  <c r="S16" i="22"/>
  <c r="S17" i="22"/>
  <c r="S18" i="22"/>
  <c r="S19" i="22"/>
  <c r="S20" i="22"/>
  <c r="S21" i="22"/>
  <c r="S22" i="22"/>
  <c r="S23" i="22"/>
  <c r="S24" i="22"/>
  <c r="S25" i="22"/>
  <c r="S26" i="22"/>
  <c r="J34" i="22" s="1"/>
  <c r="S27" i="22"/>
  <c r="S28" i="22"/>
  <c r="I3" i="22"/>
  <c r="I4" i="22"/>
  <c r="I5" i="22"/>
  <c r="I6" i="22"/>
  <c r="I7" i="22"/>
  <c r="I8" i="22"/>
  <c r="I9" i="22"/>
  <c r="I10" i="22"/>
  <c r="I11" i="22"/>
  <c r="I12" i="22"/>
  <c r="I13" i="22"/>
  <c r="I14" i="22"/>
  <c r="I15" i="22"/>
  <c r="I16" i="22"/>
  <c r="I17" i="22"/>
  <c r="I18" i="22"/>
  <c r="I19" i="22"/>
  <c r="I20" i="22"/>
  <c r="I21" i="22"/>
  <c r="I22" i="22"/>
  <c r="I23" i="22"/>
  <c r="I24" i="22"/>
  <c r="I25" i="22"/>
  <c r="I26" i="22"/>
  <c r="I27" i="22"/>
  <c r="I28" i="22"/>
  <c r="S2" i="22"/>
  <c r="I2" i="22"/>
  <c r="I31" i="22" l="1"/>
  <c r="I33" i="22"/>
  <c r="I32" i="22"/>
  <c r="J33" i="22"/>
  <c r="L33" i="22" s="1"/>
  <c r="J32" i="22"/>
  <c r="L32" i="22" s="1"/>
  <c r="J31" i="22"/>
  <c r="L31" i="22" s="1"/>
  <c r="L34" i="22"/>
  <c r="I34" i="22"/>
  <c r="J35" i="22"/>
  <c r="K32" i="22"/>
  <c r="M32" i="22" s="1"/>
  <c r="K31" i="22"/>
  <c r="Q339" i="3"/>
  <c r="O339" i="3"/>
  <c r="A339" i="3"/>
  <c r="Q338" i="3"/>
  <c r="O338" i="3"/>
  <c r="A338" i="3"/>
  <c r="Q337" i="3"/>
  <c r="O337" i="3"/>
  <c r="A337" i="3"/>
  <c r="Q336" i="3"/>
  <c r="O336" i="3"/>
  <c r="A336" i="3"/>
  <c r="Q335" i="3"/>
  <c r="O335" i="3"/>
  <c r="A335" i="3"/>
  <c r="Q334" i="3"/>
  <c r="O334" i="3"/>
  <c r="A334" i="3"/>
  <c r="Q333" i="3"/>
  <c r="O333" i="3"/>
  <c r="A333" i="3"/>
  <c r="Q332" i="3"/>
  <c r="O332" i="3"/>
  <c r="A332" i="3"/>
  <c r="K33" i="22" l="1"/>
  <c r="M33" i="22" s="1"/>
  <c r="L35" i="22"/>
  <c r="M31" i="22"/>
  <c r="I35" i="22"/>
  <c r="K35" i="22" s="1"/>
  <c r="K34" i="22"/>
  <c r="M34" i="22" s="1"/>
  <c r="Q331" i="3"/>
  <c r="O331" i="3"/>
  <c r="A331" i="3"/>
  <c r="Q330" i="3"/>
  <c r="O330" i="3"/>
  <c r="A330" i="3"/>
  <c r="Q329" i="3"/>
  <c r="O329" i="3"/>
  <c r="A329" i="3"/>
  <c r="Q351" i="3"/>
  <c r="O351" i="3"/>
  <c r="A351" i="3"/>
  <c r="Q327" i="3"/>
  <c r="O327" i="3"/>
  <c r="A327" i="3"/>
  <c r="Q326" i="3"/>
  <c r="O326" i="3"/>
  <c r="A326" i="3"/>
  <c r="Q325" i="3"/>
  <c r="O325" i="3"/>
  <c r="A325" i="3"/>
  <c r="Q324" i="3"/>
  <c r="O324" i="3"/>
  <c r="A324" i="3"/>
  <c r="M35" i="22" l="1"/>
  <c r="Q313" i="3"/>
  <c r="O313" i="3"/>
  <c r="A313" i="3"/>
  <c r="Q132" i="3"/>
  <c r="O132" i="3"/>
  <c r="A132" i="3"/>
  <c r="Q312" i="3"/>
  <c r="O312" i="3"/>
  <c r="A312" i="3"/>
  <c r="Q319" i="3"/>
  <c r="O319" i="3"/>
  <c r="A319" i="3"/>
  <c r="Q315" i="3"/>
  <c r="O315" i="3"/>
  <c r="A315" i="3"/>
  <c r="Q318" i="3" l="1"/>
  <c r="O318" i="3"/>
  <c r="A318" i="3"/>
  <c r="Q317" i="3"/>
  <c r="O317" i="3"/>
  <c r="A317" i="3"/>
  <c r="Q316" i="3"/>
  <c r="O316" i="3"/>
  <c r="A316" i="3"/>
  <c r="Q128" i="3"/>
  <c r="O128" i="3"/>
  <c r="A128" i="3"/>
  <c r="Q131" i="3"/>
  <c r="O131" i="3"/>
  <c r="A131" i="3"/>
  <c r="Q314" i="3"/>
  <c r="O314" i="3"/>
  <c r="A314" i="3"/>
  <c r="Q125" i="3"/>
  <c r="O125" i="3"/>
  <c r="A125" i="3"/>
  <c r="Q244" i="3"/>
  <c r="O244" i="3"/>
  <c r="A244" i="3"/>
  <c r="Q273" i="3"/>
  <c r="O273" i="3"/>
  <c r="A273" i="3"/>
  <c r="Q301" i="3"/>
  <c r="O301" i="3"/>
  <c r="A301" i="3"/>
  <c r="Q99" i="3"/>
  <c r="O99" i="3"/>
  <c r="A99" i="3"/>
  <c r="Q47" i="3" l="1"/>
  <c r="O47" i="3"/>
  <c r="A47" i="3"/>
  <c r="Q277" i="3"/>
  <c r="O277" i="3"/>
  <c r="A277" i="3"/>
  <c r="Q305" i="3"/>
  <c r="O305" i="3"/>
  <c r="A305" i="3"/>
  <c r="Q304" i="3"/>
  <c r="O304" i="3"/>
  <c r="A304" i="3"/>
  <c r="Q303" i="3"/>
  <c r="O303" i="3"/>
  <c r="A303" i="3"/>
  <c r="Q302" i="3"/>
  <c r="O302" i="3"/>
  <c r="A302" i="3"/>
  <c r="Q296" i="3"/>
  <c r="O296" i="3"/>
  <c r="A296" i="3"/>
  <c r="Q300" i="3"/>
  <c r="O300" i="3"/>
  <c r="A300" i="3"/>
  <c r="Q299" i="3"/>
  <c r="O299" i="3"/>
  <c r="A299" i="3"/>
  <c r="Q298" i="3"/>
  <c r="O298" i="3"/>
  <c r="A298" i="3"/>
  <c r="Q297" i="3"/>
  <c r="O297" i="3"/>
  <c r="A297" i="3"/>
  <c r="Q282" i="3"/>
  <c r="O282" i="3"/>
  <c r="A282" i="3"/>
  <c r="Q311" i="3"/>
  <c r="O311" i="3"/>
  <c r="A311" i="3"/>
  <c r="Q294" i="3"/>
  <c r="O294" i="3"/>
  <c r="A294" i="3"/>
  <c r="Q293" i="3"/>
  <c r="O293" i="3"/>
  <c r="A293" i="3"/>
  <c r="Q310" i="3"/>
  <c r="O310" i="3"/>
  <c r="A310" i="3"/>
  <c r="Q291" i="3"/>
  <c r="O291" i="3"/>
  <c r="A291" i="3"/>
  <c r="Q290" i="3"/>
  <c r="O290" i="3"/>
  <c r="A290" i="3"/>
  <c r="Q289" i="3"/>
  <c r="O289" i="3"/>
  <c r="A289" i="3"/>
  <c r="Q309" i="3"/>
  <c r="O309" i="3"/>
  <c r="A309" i="3"/>
  <c r="Q287" i="3"/>
  <c r="O287" i="3"/>
  <c r="A287" i="3"/>
  <c r="Q286" i="3"/>
  <c r="O286" i="3"/>
  <c r="A286" i="3"/>
  <c r="Q308" i="3"/>
  <c r="O308" i="3"/>
  <c r="A308" i="3"/>
  <c r="Q284" i="3"/>
  <c r="O284" i="3"/>
  <c r="A284" i="3"/>
  <c r="Q307" i="3"/>
  <c r="O307" i="3"/>
  <c r="A307" i="3"/>
  <c r="Q295" i="3"/>
  <c r="O295" i="3"/>
  <c r="A295" i="3"/>
  <c r="Q281" i="3"/>
  <c r="O281" i="3"/>
  <c r="A281" i="3"/>
  <c r="Q280" i="3" l="1"/>
  <c r="O280" i="3"/>
  <c r="A280" i="3"/>
  <c r="Q279" i="3" l="1"/>
  <c r="O279" i="3"/>
  <c r="A279" i="3"/>
  <c r="Q88" i="3"/>
  <c r="O88" i="3"/>
  <c r="A88" i="3"/>
  <c r="Q292" i="3"/>
  <c r="O292" i="3"/>
  <c r="A292" i="3"/>
  <c r="Q245" i="3"/>
  <c r="O245" i="3"/>
  <c r="A245" i="3"/>
  <c r="Q275" i="3" l="1"/>
  <c r="O275" i="3"/>
  <c r="A275" i="3"/>
  <c r="Q274" i="3"/>
  <c r="O274" i="3"/>
  <c r="A274" i="3"/>
  <c r="Q243" i="3"/>
  <c r="O243" i="3"/>
  <c r="A243" i="3"/>
  <c r="Q265" i="3"/>
  <c r="O265" i="3"/>
  <c r="A265" i="3"/>
  <c r="Q263" i="3"/>
  <c r="O263" i="3"/>
  <c r="A263" i="3"/>
  <c r="Q266" i="3"/>
  <c r="O266" i="3"/>
  <c r="A266" i="3"/>
  <c r="Q76" i="3"/>
  <c r="O76" i="3"/>
  <c r="A76" i="3"/>
  <c r="Q268" i="3"/>
  <c r="O268" i="3"/>
  <c r="A268" i="3"/>
  <c r="Q54" i="3"/>
  <c r="O54" i="3"/>
  <c r="A54" i="3"/>
  <c r="Q267" i="3"/>
  <c r="O267" i="3"/>
  <c r="A267" i="3"/>
  <c r="Q272" i="3"/>
  <c r="O272" i="3"/>
  <c r="A272" i="3"/>
  <c r="Q264" i="3"/>
  <c r="O264" i="3"/>
  <c r="A264" i="3"/>
  <c r="Q270" i="3" l="1"/>
  <c r="O270" i="3"/>
  <c r="A270" i="3"/>
  <c r="Q262" i="3"/>
  <c r="O262" i="3"/>
  <c r="A262" i="3"/>
  <c r="Q261" i="3"/>
  <c r="O261" i="3"/>
  <c r="A261" i="3"/>
  <c r="Q260" i="3"/>
  <c r="O260" i="3"/>
  <c r="A260" i="3"/>
  <c r="Q259" i="3"/>
  <c r="O259" i="3"/>
  <c r="A259" i="3"/>
  <c r="Q258" i="3"/>
  <c r="O258" i="3"/>
  <c r="A258" i="3"/>
  <c r="Q257" i="3"/>
  <c r="O257" i="3"/>
  <c r="A257" i="3"/>
  <c r="Q256" i="3"/>
  <c r="O256" i="3"/>
  <c r="A256" i="3"/>
  <c r="Q255" i="3"/>
  <c r="O255" i="3"/>
  <c r="A255" i="3"/>
  <c r="Q254" i="3"/>
  <c r="O254" i="3"/>
  <c r="A254" i="3"/>
  <c r="C3" i="21"/>
  <c r="C4" i="21"/>
  <c r="C5" i="21"/>
  <c r="C6" i="21"/>
  <c r="C7" i="21"/>
  <c r="C8" i="21"/>
  <c r="C9" i="21"/>
  <c r="C2" i="21"/>
  <c r="Q253" i="3"/>
  <c r="O253" i="3"/>
  <c r="A253" i="3"/>
  <c r="Q252" i="3"/>
  <c r="O252" i="3"/>
  <c r="A252" i="3"/>
  <c r="Q251" i="3"/>
  <c r="O251" i="3"/>
  <c r="A251" i="3"/>
  <c r="Q250" i="3"/>
  <c r="O250" i="3"/>
  <c r="A250" i="3"/>
  <c r="Q249" i="3"/>
  <c r="O249" i="3"/>
  <c r="A249" i="3"/>
  <c r="Q248" i="3"/>
  <c r="O248" i="3"/>
  <c r="A248" i="3"/>
  <c r="Q247" i="3"/>
  <c r="O247" i="3"/>
  <c r="A247" i="3"/>
  <c r="Q246" i="3"/>
  <c r="O246" i="3"/>
  <c r="A246" i="3"/>
  <c r="X34" i="4"/>
  <c r="A60" i="21" l="1"/>
  <c r="Q288" i="3"/>
  <c r="O288" i="3"/>
  <c r="A288" i="3"/>
  <c r="Q55" i="3"/>
  <c r="O55" i="3"/>
  <c r="A55" i="3"/>
  <c r="Q278" i="3"/>
  <c r="O278" i="3"/>
  <c r="A278" i="3"/>
  <c r="Q242" i="3"/>
  <c r="O242" i="3"/>
  <c r="A242" i="3"/>
  <c r="Q241" i="3"/>
  <c r="O241" i="3"/>
  <c r="A241" i="3"/>
  <c r="Q240" i="3" l="1"/>
  <c r="O240" i="3"/>
  <c r="A240" i="3"/>
  <c r="Q239" i="3"/>
  <c r="O239" i="3"/>
  <c r="A239" i="3"/>
  <c r="Q238" i="3"/>
  <c r="O238" i="3"/>
  <c r="A238" i="3"/>
  <c r="Q237" i="3"/>
  <c r="O237" i="3"/>
  <c r="A237" i="3"/>
  <c r="Q236" i="3"/>
  <c r="O236" i="3"/>
  <c r="A236" i="3"/>
  <c r="Q235" i="3"/>
  <c r="O235" i="3"/>
  <c r="A235" i="3"/>
  <c r="Q234" i="3"/>
  <c r="O234" i="3"/>
  <c r="A234" i="3"/>
  <c r="O26" i="4"/>
  <c r="O27" i="4"/>
  <c r="O28" i="4"/>
  <c r="N25" i="4"/>
  <c r="N26" i="4"/>
  <c r="N27" i="4"/>
  <c r="N28" i="4"/>
  <c r="N20" i="4"/>
  <c r="Q233" i="3" l="1"/>
  <c r="O233" i="3"/>
  <c r="A233" i="3"/>
  <c r="Q232" i="3"/>
  <c r="O232" i="3"/>
  <c r="A232" i="3"/>
  <c r="Q231" i="3"/>
  <c r="O231" i="3"/>
  <c r="A231" i="3"/>
  <c r="Q230" i="3"/>
  <c r="O230" i="3"/>
  <c r="A230" i="3"/>
  <c r="Q229" i="3"/>
  <c r="O229" i="3"/>
  <c r="A229" i="3"/>
  <c r="Q228" i="3" l="1"/>
  <c r="O228" i="3"/>
  <c r="A228" i="3"/>
  <c r="Q227" i="3"/>
  <c r="O227" i="3"/>
  <c r="A227" i="3"/>
  <c r="Q226" i="3"/>
  <c r="O226" i="3"/>
  <c r="A226" i="3"/>
  <c r="Q225" i="3"/>
  <c r="O225" i="3"/>
  <c r="A225" i="3"/>
  <c r="Q224" i="3"/>
  <c r="O224" i="3"/>
  <c r="A224" i="3"/>
  <c r="Q223" i="3"/>
  <c r="O223" i="3"/>
  <c r="A223" i="3"/>
  <c r="Q222" i="3"/>
  <c r="O222" i="3"/>
  <c r="A222" i="3"/>
  <c r="Q221" i="3"/>
  <c r="O221" i="3"/>
  <c r="A221" i="3"/>
  <c r="Q220" i="3"/>
  <c r="O220" i="3"/>
  <c r="A220" i="3"/>
  <c r="Q219" i="3"/>
  <c r="O219" i="3"/>
  <c r="A219" i="3"/>
  <c r="Q186" i="3"/>
  <c r="O186" i="3"/>
  <c r="A186" i="3"/>
  <c r="Q185" i="3"/>
  <c r="O185" i="3"/>
  <c r="A185" i="3"/>
  <c r="Q183" i="3"/>
  <c r="O183" i="3"/>
  <c r="A183" i="3"/>
  <c r="Q181" i="3"/>
  <c r="O181" i="3"/>
  <c r="A181" i="3"/>
  <c r="Q214" i="3"/>
  <c r="O214" i="3"/>
  <c r="A214" i="3"/>
  <c r="Q174" i="3"/>
  <c r="O174" i="3"/>
  <c r="A174" i="3"/>
  <c r="Q173" i="3"/>
  <c r="O173" i="3"/>
  <c r="A173" i="3"/>
  <c r="Q172" i="3"/>
  <c r="O172" i="3"/>
  <c r="A172" i="3"/>
  <c r="Q98" i="3"/>
  <c r="O98" i="3"/>
  <c r="A98" i="3"/>
  <c r="Q96" i="3"/>
  <c r="O96" i="3"/>
  <c r="A96" i="3"/>
  <c r="Q208" i="3"/>
  <c r="O208" i="3"/>
  <c r="A208" i="3"/>
  <c r="Q207" i="3"/>
  <c r="O207" i="3"/>
  <c r="A207" i="3"/>
  <c r="Q94" i="3"/>
  <c r="O94" i="3"/>
  <c r="A94" i="3"/>
  <c r="Q213" i="3"/>
  <c r="O213" i="3"/>
  <c r="A213" i="3"/>
  <c r="Q212" i="3"/>
  <c r="O212" i="3"/>
  <c r="A212" i="3"/>
  <c r="Q211" i="3"/>
  <c r="O211" i="3"/>
  <c r="A211" i="3"/>
  <c r="Q84" i="3"/>
  <c r="O84" i="3"/>
  <c r="A84" i="3"/>
  <c r="Q201" i="3" l="1"/>
  <c r="O201" i="3"/>
  <c r="A201" i="3"/>
  <c r="Q200" i="3"/>
  <c r="O200" i="3"/>
  <c r="A200" i="3"/>
  <c r="Q199" i="3"/>
  <c r="O199" i="3"/>
  <c r="A199" i="3"/>
  <c r="Q198" i="3"/>
  <c r="O198" i="3"/>
  <c r="A198" i="3"/>
  <c r="Q197" i="3"/>
  <c r="O197" i="3"/>
  <c r="A197" i="3"/>
  <c r="Q196" i="3"/>
  <c r="O196" i="3"/>
  <c r="A196" i="3"/>
  <c r="Q195" i="3"/>
  <c r="O195" i="3"/>
  <c r="A195" i="3"/>
  <c r="Q194" i="3"/>
  <c r="O194" i="3"/>
  <c r="A194" i="3"/>
  <c r="Q193" i="3"/>
  <c r="O193" i="3"/>
  <c r="A193" i="3"/>
  <c r="Q192" i="3"/>
  <c r="O192" i="3"/>
  <c r="A192" i="3"/>
  <c r="Q191" i="3"/>
  <c r="O191" i="3"/>
  <c r="A191" i="3"/>
  <c r="Q190" i="3"/>
  <c r="O190" i="3"/>
  <c r="A190" i="3"/>
  <c r="Q189" i="3"/>
  <c r="O189" i="3"/>
  <c r="A189" i="3"/>
  <c r="Q188" i="3"/>
  <c r="O188" i="3"/>
  <c r="A188" i="3"/>
  <c r="Q187" i="3"/>
  <c r="O187" i="3"/>
  <c r="A187" i="3"/>
  <c r="Q74" i="3"/>
  <c r="O74" i="3"/>
  <c r="A74" i="3"/>
  <c r="Q73" i="3"/>
  <c r="O73" i="3"/>
  <c r="A73" i="3"/>
  <c r="Q184" i="3"/>
  <c r="O184" i="3"/>
  <c r="A184" i="3"/>
  <c r="Q71" i="3"/>
  <c r="O71" i="3"/>
  <c r="A71" i="3"/>
  <c r="Q182" i="3"/>
  <c r="O182" i="3"/>
  <c r="A182" i="3"/>
  <c r="Q69" i="3"/>
  <c r="O69" i="3"/>
  <c r="A69" i="3"/>
  <c r="Q180" i="3"/>
  <c r="O180" i="3"/>
  <c r="A180" i="3"/>
  <c r="Q179" i="3"/>
  <c r="O179" i="3"/>
  <c r="A179" i="3"/>
  <c r="Q178" i="3"/>
  <c r="O178" i="3"/>
  <c r="A178" i="3"/>
  <c r="Q177" i="3"/>
  <c r="O177" i="3"/>
  <c r="A177" i="3"/>
  <c r="Q176" i="3"/>
  <c r="O176" i="3"/>
  <c r="A176" i="3"/>
  <c r="Q175" i="3"/>
  <c r="O175" i="3"/>
  <c r="A175" i="3"/>
  <c r="Q68" i="3"/>
  <c r="O68" i="3"/>
  <c r="A68" i="3"/>
  <c r="Q67" i="3"/>
  <c r="O67" i="3"/>
  <c r="A67" i="3"/>
  <c r="Q66" i="3"/>
  <c r="O66" i="3"/>
  <c r="A66" i="3"/>
  <c r="Q171" i="3"/>
  <c r="O171" i="3"/>
  <c r="A171" i="3"/>
  <c r="Q170" i="3"/>
  <c r="O170" i="3"/>
  <c r="A170" i="3"/>
  <c r="Q169" i="3"/>
  <c r="O169" i="3"/>
  <c r="A169" i="3"/>
  <c r="Q168" i="3"/>
  <c r="O168" i="3"/>
  <c r="A168" i="3"/>
  <c r="Q167" i="3"/>
  <c r="O167" i="3"/>
  <c r="A167" i="3"/>
  <c r="Q166" i="3"/>
  <c r="O166" i="3"/>
  <c r="A166" i="3"/>
  <c r="Q165" i="3"/>
  <c r="O165" i="3"/>
  <c r="A165" i="3"/>
  <c r="Q164" i="3"/>
  <c r="O164" i="3"/>
  <c r="A164" i="3"/>
  <c r="Q163" i="3"/>
  <c r="O163" i="3"/>
  <c r="A163" i="3"/>
  <c r="Q162" i="3"/>
  <c r="O162" i="3"/>
  <c r="A162" i="3"/>
  <c r="Q161" i="3"/>
  <c r="O161" i="3"/>
  <c r="A161" i="3"/>
  <c r="Q160" i="3" l="1"/>
  <c r="O160" i="3"/>
  <c r="A160" i="3"/>
  <c r="Q159" i="3"/>
  <c r="O159" i="3"/>
  <c r="A159" i="3"/>
  <c r="Q158" i="3"/>
  <c r="O158" i="3"/>
  <c r="A158" i="3"/>
  <c r="Q157" i="3"/>
  <c r="O157" i="3"/>
  <c r="A157" i="3"/>
  <c r="Q156" i="3"/>
  <c r="O156" i="3"/>
  <c r="A156" i="3"/>
  <c r="Q155" i="3" l="1"/>
  <c r="O155" i="3"/>
  <c r="A155" i="3"/>
  <c r="Q154" i="3"/>
  <c r="O154" i="3"/>
  <c r="A154" i="3"/>
  <c r="Q153" i="3"/>
  <c r="O153" i="3"/>
  <c r="A153" i="3"/>
  <c r="Q152" i="3"/>
  <c r="O152" i="3"/>
  <c r="A152" i="3"/>
  <c r="Q151" i="3"/>
  <c r="O151" i="3"/>
  <c r="A151" i="3"/>
  <c r="Q150" i="3"/>
  <c r="O150" i="3"/>
  <c r="A150" i="3"/>
  <c r="Q149" i="3"/>
  <c r="O149" i="3"/>
  <c r="A149" i="3"/>
  <c r="Q148" i="3"/>
  <c r="O148" i="3"/>
  <c r="A148" i="3"/>
  <c r="Q147" i="3"/>
  <c r="O147" i="3"/>
  <c r="A147" i="3"/>
  <c r="Q146" i="3"/>
  <c r="O146" i="3"/>
  <c r="A146" i="3"/>
  <c r="Q145" i="3"/>
  <c r="O145" i="3"/>
  <c r="A145" i="3"/>
  <c r="Q144" i="3"/>
  <c r="O144" i="3"/>
  <c r="A144" i="3"/>
  <c r="Q143" i="3"/>
  <c r="O143" i="3"/>
  <c r="A143" i="3"/>
  <c r="Q142" i="3"/>
  <c r="O142" i="3"/>
  <c r="A142" i="3"/>
  <c r="Q141" i="3"/>
  <c r="O141" i="3"/>
  <c r="A141" i="3"/>
  <c r="Q140" i="3" l="1"/>
  <c r="O140" i="3"/>
  <c r="A140" i="3"/>
  <c r="Q130" i="3"/>
  <c r="O130" i="3"/>
  <c r="A130" i="3"/>
  <c r="Q138" i="3"/>
  <c r="O138" i="3"/>
  <c r="A138" i="3"/>
  <c r="Q137" i="3"/>
  <c r="O137" i="3"/>
  <c r="A137" i="3"/>
  <c r="Q136" i="3" l="1"/>
  <c r="O136" i="3"/>
  <c r="A136" i="3"/>
  <c r="Q135" i="3"/>
  <c r="O135" i="3"/>
  <c r="A135" i="3"/>
  <c r="Q134" i="3"/>
  <c r="O134" i="3"/>
  <c r="A134" i="3"/>
  <c r="Q133" i="3"/>
  <c r="O133" i="3"/>
  <c r="A133" i="3"/>
  <c r="Q129" i="3" l="1"/>
  <c r="O129" i="3"/>
  <c r="A129" i="3"/>
  <c r="Q347" i="3"/>
  <c r="O347" i="3"/>
  <c r="A347" i="3"/>
  <c r="Q340" i="3"/>
  <c r="O340" i="3"/>
  <c r="A340" i="3"/>
  <c r="Q139" i="3"/>
  <c r="O139" i="3"/>
  <c r="A139" i="3"/>
  <c r="Q328" i="3"/>
  <c r="O328" i="3"/>
  <c r="A328" i="3"/>
  <c r="Q323" i="3"/>
  <c r="O323" i="3"/>
  <c r="A323" i="3"/>
  <c r="Q126" i="3"/>
  <c r="O126" i="3"/>
  <c r="A126" i="3"/>
  <c r="Q127" i="3"/>
  <c r="O127" i="3"/>
  <c r="A127" i="3"/>
  <c r="Q124" i="3" l="1"/>
  <c r="O124" i="3"/>
  <c r="A124" i="3"/>
  <c r="Q123" i="3"/>
  <c r="O123" i="3"/>
  <c r="A123" i="3"/>
  <c r="Q122" i="3"/>
  <c r="O122" i="3"/>
  <c r="A122" i="3"/>
  <c r="Q121" i="3"/>
  <c r="O121" i="3"/>
  <c r="A121" i="3"/>
  <c r="Q120" i="3"/>
  <c r="O120" i="3"/>
  <c r="A120" i="3"/>
  <c r="Q119" i="3"/>
  <c r="O119" i="3"/>
  <c r="A119" i="3"/>
  <c r="Q118" i="3"/>
  <c r="O118" i="3"/>
  <c r="A118" i="3"/>
  <c r="Q117" i="3"/>
  <c r="O117" i="3"/>
  <c r="A117" i="3"/>
  <c r="Q116" i="3"/>
  <c r="O116" i="3"/>
  <c r="A116" i="3"/>
  <c r="Q115" i="3"/>
  <c r="O115" i="3"/>
  <c r="A115" i="3"/>
  <c r="Q114" i="3"/>
  <c r="O114" i="3"/>
  <c r="A114" i="3"/>
  <c r="Q113" i="3" l="1"/>
  <c r="O113" i="3"/>
  <c r="A113" i="3"/>
  <c r="Q112" i="3"/>
  <c r="O112" i="3"/>
  <c r="A112" i="3"/>
  <c r="Q111" i="3"/>
  <c r="O111" i="3"/>
  <c r="A111" i="3"/>
  <c r="Q11" i="4"/>
  <c r="Q110" i="3" l="1"/>
  <c r="O110" i="3"/>
  <c r="A110" i="3"/>
  <c r="Q109" i="3"/>
  <c r="O109" i="3"/>
  <c r="A109" i="3"/>
  <c r="Q108" i="3"/>
  <c r="O108" i="3"/>
  <c r="A108" i="3"/>
  <c r="Q107" i="3"/>
  <c r="O107" i="3"/>
  <c r="A107" i="3"/>
  <c r="Q106" i="3"/>
  <c r="O106" i="3"/>
  <c r="A106" i="3"/>
  <c r="Q105" i="3"/>
  <c r="O105" i="3"/>
  <c r="A105" i="3"/>
  <c r="Q104" i="3"/>
  <c r="O104" i="3"/>
  <c r="A104" i="3"/>
  <c r="Q103" i="3"/>
  <c r="O103" i="3"/>
  <c r="A103" i="3"/>
  <c r="Q102" i="3"/>
  <c r="O102" i="3"/>
  <c r="A102" i="3"/>
  <c r="Q101" i="3"/>
  <c r="O101" i="3"/>
  <c r="A101" i="3"/>
  <c r="F24" i="20" l="1"/>
  <c r="F25" i="20" s="1"/>
  <c r="F18" i="20"/>
  <c r="F19" i="20" s="1"/>
  <c r="F12" i="20"/>
  <c r="F13" i="20" s="1"/>
  <c r="F14" i="20" s="1"/>
  <c r="F6" i="20"/>
  <c r="F7" i="20" s="1"/>
  <c r="F8" i="20" s="1"/>
  <c r="F26" i="20" l="1"/>
  <c r="F20" i="20"/>
  <c r="F15" i="20"/>
  <c r="F9" i="20"/>
  <c r="F27" i="20" l="1"/>
  <c r="F21" i="20"/>
  <c r="F16" i="20"/>
  <c r="F10" i="20"/>
  <c r="F28" i="20" l="1"/>
  <c r="F22" i="20"/>
  <c r="F17" i="20"/>
  <c r="F11" i="20"/>
  <c r="F29" i="20" l="1"/>
  <c r="F23" i="20"/>
  <c r="F30" i="20" l="1"/>
  <c r="F31" i="20" l="1"/>
  <c r="B2" i="20"/>
  <c r="F32" i="20" l="1"/>
  <c r="O4" i="2"/>
  <c r="F33" i="20" l="1"/>
  <c r="Q100" i="3"/>
  <c r="O100" i="3"/>
  <c r="A100" i="3"/>
  <c r="Q276" i="3"/>
  <c r="O276" i="3"/>
  <c r="A276" i="3"/>
  <c r="Q210" i="3"/>
  <c r="O210" i="3"/>
  <c r="A210" i="3"/>
  <c r="Q97" i="3"/>
  <c r="O97" i="3"/>
  <c r="A97" i="3"/>
  <c r="Q218" i="3"/>
  <c r="O218" i="3"/>
  <c r="A218" i="3"/>
  <c r="Q95" i="3"/>
  <c r="O95" i="3"/>
  <c r="A95" i="3"/>
  <c r="Q209" i="3"/>
  <c r="O209" i="3"/>
  <c r="A209" i="3"/>
  <c r="Q306" i="3"/>
  <c r="O306" i="3"/>
  <c r="O25" i="4" s="1"/>
  <c r="A306" i="3"/>
  <c r="Q92" i="3"/>
  <c r="O92" i="3"/>
  <c r="A92" i="3"/>
  <c r="Q91" i="3"/>
  <c r="O91" i="3"/>
  <c r="A91" i="3"/>
  <c r="F34" i="20" l="1"/>
  <c r="Q90" i="3"/>
  <c r="O90" i="3"/>
  <c r="A90" i="3"/>
  <c r="Q89" i="3"/>
  <c r="O89" i="3"/>
  <c r="A89" i="3"/>
  <c r="Q285" i="3"/>
  <c r="O285" i="3"/>
  <c r="A285" i="3"/>
  <c r="Q87" i="3"/>
  <c r="O87" i="3"/>
  <c r="A87" i="3"/>
  <c r="Q86" i="3"/>
  <c r="O86" i="3"/>
  <c r="A86" i="3"/>
  <c r="F35" i="20" l="1"/>
  <c r="Q85" i="3"/>
  <c r="O85" i="3"/>
  <c r="A85" i="3"/>
  <c r="Q64" i="3"/>
  <c r="O64" i="3"/>
  <c r="A64" i="3"/>
  <c r="Q83" i="3"/>
  <c r="O83" i="3"/>
  <c r="A83" i="3"/>
  <c r="Q82" i="3"/>
  <c r="O82" i="3"/>
  <c r="A82" i="3"/>
  <c r="X13" i="4"/>
  <c r="A4" i="21" l="1"/>
  <c r="A39" i="21"/>
  <c r="F36" i="20"/>
  <c r="Q81" i="3"/>
  <c r="O81" i="3"/>
  <c r="A81" i="3"/>
  <c r="Q80" i="3"/>
  <c r="O80" i="3"/>
  <c r="A80" i="3"/>
  <c r="Q206" i="3"/>
  <c r="O206" i="3"/>
  <c r="A206" i="3"/>
  <c r="Q63" i="3"/>
  <c r="O63" i="3"/>
  <c r="A63" i="3"/>
  <c r="Q77" i="3"/>
  <c r="O77" i="3"/>
  <c r="A77" i="3"/>
  <c r="Q43" i="3"/>
  <c r="O43" i="3"/>
  <c r="A43" i="3"/>
  <c r="F37" i="20" l="1"/>
  <c r="Q62" i="3"/>
  <c r="O62" i="3"/>
  <c r="A62" i="3"/>
  <c r="Q22" i="3"/>
  <c r="O22" i="3"/>
  <c r="A22" i="3"/>
  <c r="N18" i="4"/>
  <c r="Q21" i="3"/>
  <c r="O21" i="3"/>
  <c r="A21" i="3"/>
  <c r="Q72" i="3"/>
  <c r="O72" i="3"/>
  <c r="A72" i="3"/>
  <c r="Q18" i="3"/>
  <c r="O18" i="3"/>
  <c r="A18" i="3"/>
  <c r="Q70" i="3"/>
  <c r="O70" i="3"/>
  <c r="A70" i="3"/>
  <c r="Q217" i="3"/>
  <c r="O217" i="3"/>
  <c r="A217" i="3"/>
  <c r="Q79" i="3"/>
  <c r="O79" i="3"/>
  <c r="A79" i="3"/>
  <c r="Q16" i="3"/>
  <c r="O16" i="3"/>
  <c r="A16" i="3"/>
  <c r="Q205" i="3"/>
  <c r="O205" i="3"/>
  <c r="A205" i="3"/>
  <c r="Q65" i="3"/>
  <c r="O65" i="3"/>
  <c r="A65" i="3"/>
  <c r="O15" i="4" l="1"/>
  <c r="F38" i="20"/>
  <c r="Q216" i="3"/>
  <c r="O216" i="3"/>
  <c r="A216" i="3"/>
  <c r="Q204" i="3"/>
  <c r="O204" i="3"/>
  <c r="A204" i="3"/>
  <c r="Q203" i="3"/>
  <c r="O203" i="3"/>
  <c r="A203" i="3"/>
  <c r="Q61" i="3"/>
  <c r="O61" i="3"/>
  <c r="A61" i="3"/>
  <c r="Q60" i="3"/>
  <c r="O60" i="3"/>
  <c r="O13" i="4" s="1"/>
  <c r="A60" i="3"/>
  <c r="Q59" i="3"/>
  <c r="O59" i="3"/>
  <c r="A59" i="3"/>
  <c r="F39" i="20" l="1"/>
  <c r="Q58" i="3"/>
  <c r="O58" i="3"/>
  <c r="A58" i="3"/>
  <c r="Q57" i="3"/>
  <c r="O57" i="3"/>
  <c r="A57" i="3"/>
  <c r="F40" i="20" l="1"/>
  <c r="O134" i="2"/>
  <c r="O135" i="2" s="1"/>
  <c r="O133" i="2"/>
  <c r="F41" i="20" l="1"/>
  <c r="F42" i="20" l="1"/>
  <c r="Q56" i="3"/>
  <c r="O56" i="3"/>
  <c r="A56" i="3"/>
  <c r="Q93" i="3"/>
  <c r="O93" i="3"/>
  <c r="A93" i="3"/>
  <c r="Q269" i="3"/>
  <c r="O269" i="3"/>
  <c r="A269" i="3"/>
  <c r="Q53" i="3"/>
  <c r="O53" i="3"/>
  <c r="A53" i="3"/>
  <c r="Q52" i="3"/>
  <c r="O52" i="3"/>
  <c r="A52" i="3"/>
  <c r="Q51" i="3"/>
  <c r="O51" i="3"/>
  <c r="A51" i="3"/>
  <c r="Q50" i="3"/>
  <c r="O50" i="3"/>
  <c r="A50" i="3"/>
  <c r="Q49" i="3"/>
  <c r="O49" i="3"/>
  <c r="A49" i="3"/>
  <c r="Q48" i="3"/>
  <c r="O48" i="3"/>
  <c r="A48" i="3"/>
  <c r="Q283" i="3"/>
  <c r="O283" i="3"/>
  <c r="A283" i="3"/>
  <c r="F43" i="20" l="1"/>
  <c r="Q46" i="3"/>
  <c r="O46" i="3"/>
  <c r="A46" i="3"/>
  <c r="Q45" i="3"/>
  <c r="O45" i="3"/>
  <c r="A45" i="3"/>
  <c r="Q44" i="3"/>
  <c r="O44" i="3"/>
  <c r="A44" i="3"/>
  <c r="F44" i="20" l="1"/>
  <c r="Q271" i="3"/>
  <c r="O271" i="3"/>
  <c r="A271" i="3"/>
  <c r="Q42" i="3"/>
  <c r="O42" i="3"/>
  <c r="A42" i="3"/>
  <c r="Q41" i="3"/>
  <c r="O41" i="3"/>
  <c r="A41" i="3"/>
  <c r="Q40" i="3"/>
  <c r="O40" i="3"/>
  <c r="A40" i="3"/>
  <c r="Q39" i="3"/>
  <c r="O39" i="3"/>
  <c r="A39" i="3"/>
  <c r="F45" i="20" l="1"/>
  <c r="Q38" i="3"/>
  <c r="O38" i="3"/>
  <c r="A38" i="3"/>
  <c r="Q37" i="3"/>
  <c r="O37" i="3"/>
  <c r="A37" i="3"/>
  <c r="F46" i="20" l="1"/>
  <c r="Q36" i="3"/>
  <c r="O36" i="3"/>
  <c r="A36" i="3"/>
  <c r="Q35" i="3"/>
  <c r="O35" i="3"/>
  <c r="A35" i="3"/>
  <c r="Q34" i="3"/>
  <c r="O34" i="3"/>
  <c r="A34" i="3"/>
  <c r="Q33" i="3"/>
  <c r="O33" i="3"/>
  <c r="A33" i="3"/>
  <c r="Q32" i="3"/>
  <c r="O32" i="3"/>
  <c r="A32" i="3"/>
  <c r="F47" i="20" l="1"/>
  <c r="R477" i="8"/>
  <c r="F48" i="20" l="1"/>
  <c r="Q31" i="3"/>
  <c r="O31" i="3"/>
  <c r="A31" i="3"/>
  <c r="Q30" i="3"/>
  <c r="O30" i="3"/>
  <c r="A30" i="3"/>
  <c r="Q29" i="3"/>
  <c r="O29" i="3"/>
  <c r="A29" i="3"/>
  <c r="Q28" i="3"/>
  <c r="O28" i="3"/>
  <c r="A28" i="3"/>
  <c r="Q27" i="3"/>
  <c r="O27" i="3"/>
  <c r="A27" i="3"/>
  <c r="F49" i="20" l="1"/>
  <c r="Q26" i="3"/>
  <c r="O26" i="3"/>
  <c r="A26" i="3"/>
  <c r="Q25" i="3"/>
  <c r="O25" i="3"/>
  <c r="A25" i="3"/>
  <c r="F50" i="20" l="1"/>
  <c r="Q24" i="3"/>
  <c r="O24" i="3"/>
  <c r="A24" i="3"/>
  <c r="Q23" i="3"/>
  <c r="O23" i="3"/>
  <c r="A23" i="3"/>
  <c r="Q78" i="3"/>
  <c r="O78" i="3"/>
  <c r="O16" i="4" s="1"/>
  <c r="A78" i="3"/>
  <c r="Q215" i="3"/>
  <c r="O215" i="3"/>
  <c r="O18" i="4" s="1"/>
  <c r="A215" i="3"/>
  <c r="Q20" i="3"/>
  <c r="O20" i="3"/>
  <c r="A20" i="3"/>
  <c r="Q19" i="3"/>
  <c r="O19" i="3"/>
  <c r="O20" i="4" s="1"/>
  <c r="A19" i="3"/>
  <c r="Q202" i="3"/>
  <c r="O202" i="3"/>
  <c r="O17" i="4" s="1"/>
  <c r="A202" i="3"/>
  <c r="Q17" i="3"/>
  <c r="O17" i="3"/>
  <c r="A17" i="3"/>
  <c r="F51" i="20" l="1"/>
  <c r="A239" i="8"/>
  <c r="F52" i="20" l="1"/>
  <c r="N14" i="4"/>
  <c r="N15" i="4"/>
  <c r="N16" i="4"/>
  <c r="N17" i="4"/>
  <c r="N12" i="4"/>
  <c r="N13" i="4"/>
  <c r="N11" i="4"/>
  <c r="Q15" i="3"/>
  <c r="O15" i="3"/>
  <c r="A15" i="3"/>
  <c r="Q14" i="3"/>
  <c r="O14" i="3"/>
  <c r="A14" i="3"/>
  <c r="Q13" i="3"/>
  <c r="O13" i="3"/>
  <c r="A13" i="3"/>
  <c r="Q12" i="3"/>
  <c r="O12" i="3"/>
  <c r="A12" i="3"/>
  <c r="Q11" i="3"/>
  <c r="O11" i="3"/>
  <c r="A11" i="3"/>
  <c r="Q10" i="3"/>
  <c r="O10" i="3"/>
  <c r="A10" i="3"/>
  <c r="Q9" i="3"/>
  <c r="O9" i="3"/>
  <c r="A9" i="3"/>
  <c r="Q8" i="3"/>
  <c r="O8" i="3"/>
  <c r="A8" i="3"/>
  <c r="O14" i="4" l="1"/>
  <c r="O12" i="4"/>
  <c r="F53" i="20"/>
  <c r="AB57" i="2"/>
  <c r="F54" i="20" l="1"/>
  <c r="Q7" i="3"/>
  <c r="O7" i="3"/>
  <c r="A7" i="3"/>
  <c r="Q6" i="3"/>
  <c r="O6" i="3"/>
  <c r="A6" i="3"/>
  <c r="Q5" i="3"/>
  <c r="O5" i="3"/>
  <c r="A5" i="3"/>
  <c r="Q4" i="3"/>
  <c r="O4" i="3"/>
  <c r="A4" i="3"/>
  <c r="Q3" i="3"/>
  <c r="O3" i="3"/>
  <c r="A3" i="3"/>
  <c r="Q2" i="3"/>
  <c r="O2" i="3"/>
  <c r="A2" i="3"/>
  <c r="P409" i="3" l="1"/>
  <c r="P407" i="3"/>
  <c r="P406" i="3"/>
  <c r="P403" i="3"/>
  <c r="P401" i="3"/>
  <c r="P408" i="3"/>
  <c r="P405" i="3"/>
  <c r="P404" i="3"/>
  <c r="P402" i="3"/>
  <c r="P400" i="3"/>
  <c r="P399" i="3"/>
  <c r="P396" i="3"/>
  <c r="P397" i="3"/>
  <c r="P398" i="3"/>
  <c r="P395" i="3"/>
  <c r="P393" i="3"/>
  <c r="P394" i="3"/>
  <c r="P392" i="3"/>
  <c r="P391" i="3"/>
  <c r="P389" i="3"/>
  <c r="P390" i="3"/>
  <c r="P387" i="3"/>
  <c r="P388" i="3"/>
  <c r="P385" i="3"/>
  <c r="P386" i="3"/>
  <c r="P383" i="3"/>
  <c r="P378" i="3"/>
  <c r="P369" i="3"/>
  <c r="P384" i="3"/>
  <c r="P382" i="3"/>
  <c r="P381" i="3"/>
  <c r="P380" i="3"/>
  <c r="P379" i="3"/>
  <c r="P372" i="3"/>
  <c r="P370" i="3"/>
  <c r="P376" i="3"/>
  <c r="P375" i="3"/>
  <c r="P374" i="3"/>
  <c r="P373" i="3"/>
  <c r="P371" i="3"/>
  <c r="P377" i="3"/>
  <c r="P368" i="3"/>
  <c r="P367" i="3"/>
  <c r="P365" i="3"/>
  <c r="P366" i="3"/>
  <c r="P363" i="3"/>
  <c r="P364" i="3"/>
  <c r="P361" i="3"/>
  <c r="P362" i="3"/>
  <c r="P359" i="3"/>
  <c r="P357" i="3"/>
  <c r="P360" i="3"/>
  <c r="P358" i="3"/>
  <c r="P355" i="3"/>
  <c r="P353" i="3"/>
  <c r="P350" i="3"/>
  <c r="P348" i="3"/>
  <c r="P356" i="3"/>
  <c r="P354" i="3"/>
  <c r="P322" i="3"/>
  <c r="P349" i="3"/>
  <c r="P352" i="3"/>
  <c r="P346" i="3"/>
  <c r="P345" i="3"/>
  <c r="P341" i="3"/>
  <c r="P321" i="3"/>
  <c r="P344" i="3"/>
  <c r="P342" i="3"/>
  <c r="P343" i="3"/>
  <c r="P320" i="3"/>
  <c r="P339" i="3"/>
  <c r="P338" i="3"/>
  <c r="P337" i="3"/>
  <c r="P336" i="3"/>
  <c r="P335" i="3"/>
  <c r="P334" i="3"/>
  <c r="P333" i="3"/>
  <c r="P332" i="3"/>
  <c r="P331" i="3"/>
  <c r="P330" i="3"/>
  <c r="P329" i="3"/>
  <c r="P351" i="3"/>
  <c r="P327" i="3"/>
  <c r="P326" i="3"/>
  <c r="P325" i="3"/>
  <c r="P324" i="3"/>
  <c r="P319" i="3"/>
  <c r="P312" i="3"/>
  <c r="P315" i="3"/>
  <c r="P313" i="3"/>
  <c r="P132" i="3"/>
  <c r="K4" i="5"/>
  <c r="K418" i="5"/>
  <c r="K422" i="5"/>
  <c r="K426" i="5"/>
  <c r="K430" i="5"/>
  <c r="K434" i="5"/>
  <c r="K438" i="5"/>
  <c r="K8" i="5"/>
  <c r="K12" i="5"/>
  <c r="K16" i="5"/>
  <c r="K21" i="5"/>
  <c r="K25" i="5"/>
  <c r="K29" i="5"/>
  <c r="K33" i="5"/>
  <c r="K37" i="5"/>
  <c r="K41" i="5"/>
  <c r="K45" i="5"/>
  <c r="K49" i="5"/>
  <c r="K53" i="5"/>
  <c r="K57" i="5"/>
  <c r="K61" i="5"/>
  <c r="K65" i="5"/>
  <c r="K69" i="5"/>
  <c r="K73" i="5"/>
  <c r="K77" i="5"/>
  <c r="K81" i="5"/>
  <c r="K85" i="5"/>
  <c r="K89" i="5"/>
  <c r="K93" i="5"/>
  <c r="K97" i="5"/>
  <c r="K101" i="5"/>
  <c r="K105" i="5"/>
  <c r="K109" i="5"/>
  <c r="K113" i="5"/>
  <c r="K117" i="5"/>
  <c r="K121" i="5"/>
  <c r="K125" i="5"/>
  <c r="K129" i="5"/>
  <c r="K133" i="5"/>
  <c r="K137" i="5"/>
  <c r="K141" i="5"/>
  <c r="K145" i="5"/>
  <c r="K149" i="5"/>
  <c r="K153" i="5"/>
  <c r="K157" i="5"/>
  <c r="K161" i="5"/>
  <c r="K165" i="5"/>
  <c r="K169" i="5"/>
  <c r="K173" i="5"/>
  <c r="K177" i="5"/>
  <c r="K181" i="5"/>
  <c r="K185" i="5"/>
  <c r="K189" i="5"/>
  <c r="K193" i="5"/>
  <c r="K197" i="5"/>
  <c r="K201" i="5"/>
  <c r="K205" i="5"/>
  <c r="K209" i="5"/>
  <c r="K213" i="5"/>
  <c r="K217" i="5"/>
  <c r="K221" i="5"/>
  <c r="K225" i="5"/>
  <c r="K229" i="5"/>
  <c r="K233" i="5"/>
  <c r="K237" i="5"/>
  <c r="K241" i="5"/>
  <c r="K245" i="5"/>
  <c r="K249" i="5"/>
  <c r="K253" i="5"/>
  <c r="K257" i="5"/>
  <c r="K261" i="5"/>
  <c r="K265" i="5"/>
  <c r="K269" i="5"/>
  <c r="K273" i="5"/>
  <c r="K277" i="5"/>
  <c r="K281" i="5"/>
  <c r="K285" i="5"/>
  <c r="K289" i="5"/>
  <c r="K293" i="5"/>
  <c r="K297" i="5"/>
  <c r="K301" i="5"/>
  <c r="K305" i="5"/>
  <c r="K309" i="5"/>
  <c r="K313" i="5"/>
  <c r="K317" i="5"/>
  <c r="K5" i="5"/>
  <c r="K420" i="5"/>
  <c r="K425" i="5"/>
  <c r="K431" i="5"/>
  <c r="K436" i="5"/>
  <c r="K7" i="5"/>
  <c r="K13" i="5"/>
  <c r="K18" i="5"/>
  <c r="K24" i="5"/>
  <c r="K30" i="5"/>
  <c r="K35" i="5"/>
  <c r="K40" i="5"/>
  <c r="K46" i="5"/>
  <c r="K51" i="5"/>
  <c r="K56" i="5"/>
  <c r="K62" i="5"/>
  <c r="K67" i="5"/>
  <c r="K72" i="5"/>
  <c r="K78" i="5"/>
  <c r="K83" i="5"/>
  <c r="K88" i="5"/>
  <c r="K94" i="5"/>
  <c r="K99" i="5"/>
  <c r="K104" i="5"/>
  <c r="K110" i="5"/>
  <c r="K115" i="5"/>
  <c r="K120" i="5"/>
  <c r="K126" i="5"/>
  <c r="K131" i="5"/>
  <c r="K136" i="5"/>
  <c r="K142" i="5"/>
  <c r="K147" i="5"/>
  <c r="K152" i="5"/>
  <c r="K158" i="5"/>
  <c r="K163" i="5"/>
  <c r="K168" i="5"/>
  <c r="K174" i="5"/>
  <c r="K179" i="5"/>
  <c r="K184" i="5"/>
  <c r="K190" i="5"/>
  <c r="K195" i="5"/>
  <c r="K200" i="5"/>
  <c r="K206" i="5"/>
  <c r="K211" i="5"/>
  <c r="K216" i="5"/>
  <c r="K222" i="5"/>
  <c r="K227" i="5"/>
  <c r="K232" i="5"/>
  <c r="K238" i="5"/>
  <c r="K243" i="5"/>
  <c r="K248" i="5"/>
  <c r="K254" i="5"/>
  <c r="K259" i="5"/>
  <c r="K264" i="5"/>
  <c r="K270" i="5"/>
  <c r="K275" i="5"/>
  <c r="K280" i="5"/>
  <c r="K286" i="5"/>
  <c r="K291" i="5"/>
  <c r="K296" i="5"/>
  <c r="K302" i="5"/>
  <c r="K307" i="5"/>
  <c r="K312" i="5"/>
  <c r="K318" i="5"/>
  <c r="K322" i="5"/>
  <c r="K326" i="5"/>
  <c r="K330" i="5"/>
  <c r="K334" i="5"/>
  <c r="K338" i="5"/>
  <c r="K342" i="5"/>
  <c r="K346" i="5"/>
  <c r="K350" i="5"/>
  <c r="K354" i="5"/>
  <c r="K358" i="5"/>
  <c r="K362" i="5"/>
  <c r="K366" i="5"/>
  <c r="K370" i="5"/>
  <c r="K374" i="5"/>
  <c r="K378" i="5"/>
  <c r="K382" i="5"/>
  <c r="K386" i="5"/>
  <c r="K390" i="5"/>
  <c r="K394" i="5"/>
  <c r="K398" i="5"/>
  <c r="K402" i="5"/>
  <c r="K406" i="5"/>
  <c r="K410" i="5"/>
  <c r="K414" i="5"/>
  <c r="K2" i="5"/>
  <c r="K421" i="5"/>
  <c r="K427" i="5"/>
  <c r="K432" i="5"/>
  <c r="K437" i="5"/>
  <c r="K9" i="5"/>
  <c r="K14" i="5"/>
  <c r="K19" i="5"/>
  <c r="K26" i="5"/>
  <c r="K31" i="5"/>
  <c r="K36" i="5"/>
  <c r="K42" i="5"/>
  <c r="K47" i="5"/>
  <c r="K52" i="5"/>
  <c r="K58" i="5"/>
  <c r="K63" i="5"/>
  <c r="K68" i="5"/>
  <c r="K74" i="5"/>
  <c r="K79" i="5"/>
  <c r="K84" i="5"/>
  <c r="K90" i="5"/>
  <c r="K95" i="5"/>
  <c r="K100" i="5"/>
  <c r="K106" i="5"/>
  <c r="K111" i="5"/>
  <c r="K116" i="5"/>
  <c r="K122" i="5"/>
  <c r="K127" i="5"/>
  <c r="K132" i="5"/>
  <c r="K138" i="5"/>
  <c r="K143" i="5"/>
  <c r="K148" i="5"/>
  <c r="K154" i="5"/>
  <c r="K159" i="5"/>
  <c r="K164" i="5"/>
  <c r="K170" i="5"/>
  <c r="K175" i="5"/>
  <c r="K180" i="5"/>
  <c r="K186" i="5"/>
  <c r="K191" i="5"/>
  <c r="K196" i="5"/>
  <c r="K202" i="5"/>
  <c r="K207" i="5"/>
  <c r="K212" i="5"/>
  <c r="K218" i="5"/>
  <c r="K223" i="5"/>
  <c r="K228" i="5"/>
  <c r="K234" i="5"/>
  <c r="K239" i="5"/>
  <c r="K244" i="5"/>
  <c r="K250" i="5"/>
  <c r="K255" i="5"/>
  <c r="K260" i="5"/>
  <c r="K266" i="5"/>
  <c r="K271" i="5"/>
  <c r="K276" i="5"/>
  <c r="K282" i="5"/>
  <c r="K287" i="5"/>
  <c r="K292" i="5"/>
  <c r="K298" i="5"/>
  <c r="K303" i="5"/>
  <c r="K308" i="5"/>
  <c r="K314" i="5"/>
  <c r="K319" i="5"/>
  <c r="K323" i="5"/>
  <c r="K327" i="5"/>
  <c r="K331" i="5"/>
  <c r="K335" i="5"/>
  <c r="K339" i="5"/>
  <c r="K343" i="5"/>
  <c r="K347" i="5"/>
  <c r="K351" i="5"/>
  <c r="K355" i="5"/>
  <c r="K359" i="5"/>
  <c r="K363" i="5"/>
  <c r="K367" i="5"/>
  <c r="K371" i="5"/>
  <c r="K375" i="5"/>
  <c r="K379" i="5"/>
  <c r="K423" i="5"/>
  <c r="K433" i="5"/>
  <c r="K10" i="5"/>
  <c r="K22" i="5"/>
  <c r="K32" i="5"/>
  <c r="K43" i="5"/>
  <c r="K54" i="5"/>
  <c r="K64" i="5"/>
  <c r="K75" i="5"/>
  <c r="K86" i="5"/>
  <c r="K96" i="5"/>
  <c r="K107" i="5"/>
  <c r="K118" i="5"/>
  <c r="K128" i="5"/>
  <c r="K139" i="5"/>
  <c r="K150" i="5"/>
  <c r="K160" i="5"/>
  <c r="K171" i="5"/>
  <c r="K182" i="5"/>
  <c r="K192" i="5"/>
  <c r="K203" i="5"/>
  <c r="K214" i="5"/>
  <c r="K224" i="5"/>
  <c r="K235" i="5"/>
  <c r="K246" i="5"/>
  <c r="K256" i="5"/>
  <c r="K267" i="5"/>
  <c r="K278" i="5"/>
  <c r="K288" i="5"/>
  <c r="K299" i="5"/>
  <c r="K310" i="5"/>
  <c r="K320" i="5"/>
  <c r="K328" i="5"/>
  <c r="K336" i="5"/>
  <c r="K344" i="5"/>
  <c r="K352" i="5"/>
  <c r="K360" i="5"/>
  <c r="K368" i="5"/>
  <c r="K376" i="5"/>
  <c r="K383" i="5"/>
  <c r="K388" i="5"/>
  <c r="K393" i="5"/>
  <c r="K399" i="5"/>
  <c r="K404" i="5"/>
  <c r="K409" i="5"/>
  <c r="K415" i="5"/>
  <c r="K262" i="5"/>
  <c r="K294" i="5"/>
  <c r="K315" i="5"/>
  <c r="K332" i="5"/>
  <c r="K348" i="5"/>
  <c r="K364" i="5"/>
  <c r="K380" i="5"/>
  <c r="K391" i="5"/>
  <c r="K401" i="5"/>
  <c r="K412" i="5"/>
  <c r="K28" i="5"/>
  <c r="K50" i="5"/>
  <c r="K82" i="5"/>
  <c r="K103" i="5"/>
  <c r="K124" i="5"/>
  <c r="K146" i="5"/>
  <c r="K178" i="5"/>
  <c r="K199" i="5"/>
  <c r="K220" i="5"/>
  <c r="K242" i="5"/>
  <c r="K263" i="5"/>
  <c r="K284" i="5"/>
  <c r="K306" i="5"/>
  <c r="K325" i="5"/>
  <c r="K341" i="5"/>
  <c r="K349" i="5"/>
  <c r="K365" i="5"/>
  <c r="K381" i="5"/>
  <c r="K392" i="5"/>
  <c r="K403" i="5"/>
  <c r="K408" i="5"/>
  <c r="K20" i="5"/>
  <c r="K424" i="5"/>
  <c r="K435" i="5"/>
  <c r="K11" i="5"/>
  <c r="K23" i="5"/>
  <c r="K34" i="5"/>
  <c r="K44" i="5"/>
  <c r="K55" i="5"/>
  <c r="K66" i="5"/>
  <c r="K76" i="5"/>
  <c r="K87" i="5"/>
  <c r="K98" i="5"/>
  <c r="K108" i="5"/>
  <c r="K119" i="5"/>
  <c r="K130" i="5"/>
  <c r="K140" i="5"/>
  <c r="K151" i="5"/>
  <c r="K162" i="5"/>
  <c r="K172" i="5"/>
  <c r="K183" i="5"/>
  <c r="K194" i="5"/>
  <c r="K204" i="5"/>
  <c r="K215" i="5"/>
  <c r="K226" i="5"/>
  <c r="K236" i="5"/>
  <c r="K247" i="5"/>
  <c r="K258" i="5"/>
  <c r="K268" i="5"/>
  <c r="K279" i="5"/>
  <c r="K290" i="5"/>
  <c r="K300" i="5"/>
  <c r="K311" i="5"/>
  <c r="K321" i="5"/>
  <c r="K329" i="5"/>
  <c r="K337" i="5"/>
  <c r="K345" i="5"/>
  <c r="K353" i="5"/>
  <c r="K361" i="5"/>
  <c r="K369" i="5"/>
  <c r="K377" i="5"/>
  <c r="K384" i="5"/>
  <c r="K389" i="5"/>
  <c r="K395" i="5"/>
  <c r="K400" i="5"/>
  <c r="K405" i="5"/>
  <c r="K411" i="5"/>
  <c r="K416" i="5"/>
  <c r="K3" i="5"/>
  <c r="K428" i="5"/>
  <c r="K439" i="5"/>
  <c r="K15" i="5"/>
  <c r="K27" i="5"/>
  <c r="K38" i="5"/>
  <c r="K48" i="5"/>
  <c r="K59" i="5"/>
  <c r="K70" i="5"/>
  <c r="K80" i="5"/>
  <c r="K91" i="5"/>
  <c r="K102" i="5"/>
  <c r="K112" i="5"/>
  <c r="K123" i="5"/>
  <c r="K134" i="5"/>
  <c r="K144" i="5"/>
  <c r="K155" i="5"/>
  <c r="K166" i="5"/>
  <c r="K176" i="5"/>
  <c r="K187" i="5"/>
  <c r="K198" i="5"/>
  <c r="K208" i="5"/>
  <c r="K219" i="5"/>
  <c r="K230" i="5"/>
  <c r="K240" i="5"/>
  <c r="K251" i="5"/>
  <c r="K272" i="5"/>
  <c r="K283" i="5"/>
  <c r="K304" i="5"/>
  <c r="K324" i="5"/>
  <c r="K340" i="5"/>
  <c r="K356" i="5"/>
  <c r="K372" i="5"/>
  <c r="K385" i="5"/>
  <c r="K396" i="5"/>
  <c r="K407" i="5"/>
  <c r="K417" i="5"/>
  <c r="K419" i="5"/>
  <c r="K429" i="5"/>
  <c r="K6" i="5"/>
  <c r="K17" i="5"/>
  <c r="K39" i="5"/>
  <c r="K60" i="5"/>
  <c r="K71" i="5"/>
  <c r="K92" i="5"/>
  <c r="K114" i="5"/>
  <c r="K135" i="5"/>
  <c r="K156" i="5"/>
  <c r="K167" i="5"/>
  <c r="K188" i="5"/>
  <c r="K210" i="5"/>
  <c r="K231" i="5"/>
  <c r="K252" i="5"/>
  <c r="K274" i="5"/>
  <c r="K295" i="5"/>
  <c r="K316" i="5"/>
  <c r="K333" i="5"/>
  <c r="K357" i="5"/>
  <c r="K373" i="5"/>
  <c r="K387" i="5"/>
  <c r="K397" i="5"/>
  <c r="K413" i="5"/>
  <c r="P318" i="3"/>
  <c r="P317" i="3"/>
  <c r="P316" i="3"/>
  <c r="P301" i="3"/>
  <c r="P128" i="3"/>
  <c r="P273" i="3"/>
  <c r="P131" i="3"/>
  <c r="P47" i="3"/>
  <c r="P305" i="3"/>
  <c r="P303" i="3"/>
  <c r="P296" i="3"/>
  <c r="P299" i="3"/>
  <c r="P297" i="3"/>
  <c r="P311" i="3"/>
  <c r="P293" i="3"/>
  <c r="P291" i="3"/>
  <c r="P289" i="3"/>
  <c r="P287" i="3"/>
  <c r="P308" i="3"/>
  <c r="P307" i="3"/>
  <c r="P244" i="3"/>
  <c r="P314" i="3"/>
  <c r="P99" i="3"/>
  <c r="P125" i="3"/>
  <c r="P277" i="3"/>
  <c r="P304" i="3"/>
  <c r="P302" i="3"/>
  <c r="P300" i="3"/>
  <c r="P298" i="3"/>
  <c r="P282" i="3"/>
  <c r="P294" i="3"/>
  <c r="P310" i="3"/>
  <c r="P290" i="3"/>
  <c r="P309" i="3"/>
  <c r="P286" i="3"/>
  <c r="P284" i="3"/>
  <c r="P295" i="3"/>
  <c r="P281" i="3"/>
  <c r="P280" i="3"/>
  <c r="P279" i="3"/>
  <c r="P245" i="3"/>
  <c r="P88" i="3"/>
  <c r="P292" i="3"/>
  <c r="P275" i="3"/>
  <c r="P243" i="3"/>
  <c r="P274" i="3"/>
  <c r="P272" i="3"/>
  <c r="P263" i="3"/>
  <c r="P266" i="3"/>
  <c r="P264" i="3"/>
  <c r="P76" i="3"/>
  <c r="P268" i="3"/>
  <c r="P265" i="3"/>
  <c r="P54" i="3"/>
  <c r="P267" i="3"/>
  <c r="P270" i="3"/>
  <c r="P262" i="3"/>
  <c r="P261" i="3"/>
  <c r="P260" i="3"/>
  <c r="P259" i="3"/>
  <c r="P258" i="3"/>
  <c r="P257" i="3"/>
  <c r="P256" i="3"/>
  <c r="P255" i="3"/>
  <c r="P254" i="3"/>
  <c r="P246" i="3"/>
  <c r="P248" i="3"/>
  <c r="P250" i="3"/>
  <c r="P249" i="3"/>
  <c r="P247" i="3"/>
  <c r="P253" i="3"/>
  <c r="P251" i="3"/>
  <c r="P252" i="3"/>
  <c r="P278" i="3"/>
  <c r="P55" i="3"/>
  <c r="P242" i="3"/>
  <c r="P241" i="3"/>
  <c r="P288" i="3"/>
  <c r="P237" i="3"/>
  <c r="P239" i="3"/>
  <c r="P234" i="3"/>
  <c r="P240" i="3"/>
  <c r="P238" i="3"/>
  <c r="P235" i="3"/>
  <c r="P236" i="3"/>
  <c r="P230" i="3"/>
  <c r="P231" i="3"/>
  <c r="P229" i="3"/>
  <c r="P233" i="3"/>
  <c r="P232" i="3"/>
  <c r="P221" i="3"/>
  <c r="P228" i="3"/>
  <c r="P222" i="3"/>
  <c r="P225" i="3"/>
  <c r="P219" i="3"/>
  <c r="P226" i="3"/>
  <c r="P220" i="3"/>
  <c r="P223" i="3"/>
  <c r="P224" i="3"/>
  <c r="P227" i="3"/>
  <c r="P96" i="3"/>
  <c r="P172" i="3"/>
  <c r="P98" i="3"/>
  <c r="P185" i="3"/>
  <c r="P183" i="3"/>
  <c r="P211" i="3"/>
  <c r="P186" i="3"/>
  <c r="P208" i="3"/>
  <c r="P207" i="3"/>
  <c r="P213" i="3"/>
  <c r="P173" i="3"/>
  <c r="P174" i="3"/>
  <c r="P181" i="3"/>
  <c r="P214" i="3"/>
  <c r="P212" i="3"/>
  <c r="P84" i="3"/>
  <c r="P94" i="3"/>
  <c r="P201" i="3"/>
  <c r="P198" i="3"/>
  <c r="P197" i="3"/>
  <c r="P195" i="3"/>
  <c r="P193" i="3"/>
  <c r="P191" i="3"/>
  <c r="P189" i="3"/>
  <c r="P187" i="3"/>
  <c r="P73" i="3"/>
  <c r="P71" i="3"/>
  <c r="P69" i="3"/>
  <c r="P179" i="3"/>
  <c r="P177" i="3"/>
  <c r="P175" i="3"/>
  <c r="P67" i="3"/>
  <c r="P200" i="3"/>
  <c r="P199" i="3"/>
  <c r="P196" i="3"/>
  <c r="P194" i="3"/>
  <c r="P192" i="3"/>
  <c r="P190" i="3"/>
  <c r="P188" i="3"/>
  <c r="P74" i="3"/>
  <c r="P184" i="3"/>
  <c r="P182" i="3"/>
  <c r="P180" i="3"/>
  <c r="P178" i="3"/>
  <c r="P176" i="3"/>
  <c r="P68" i="3"/>
  <c r="P66" i="3"/>
  <c r="P6" i="3"/>
  <c r="P3" i="3"/>
  <c r="P7" i="3"/>
  <c r="P5" i="3"/>
  <c r="P4" i="3"/>
  <c r="P164" i="3"/>
  <c r="P166" i="3"/>
  <c r="P161" i="3"/>
  <c r="P163" i="3"/>
  <c r="P170" i="3"/>
  <c r="P165" i="3"/>
  <c r="P160" i="3"/>
  <c r="P159" i="3"/>
  <c r="P158" i="3"/>
  <c r="P157" i="3"/>
  <c r="P156" i="3"/>
  <c r="P171" i="3"/>
  <c r="P168" i="3"/>
  <c r="P169" i="3"/>
  <c r="P162" i="3"/>
  <c r="P167" i="3"/>
  <c r="P148" i="3"/>
  <c r="P146" i="3"/>
  <c r="P152" i="3"/>
  <c r="P145" i="3"/>
  <c r="P143" i="3"/>
  <c r="P150" i="3"/>
  <c r="P147" i="3"/>
  <c r="P149" i="3"/>
  <c r="P140" i="3"/>
  <c r="P130" i="3"/>
  <c r="P138" i="3"/>
  <c r="P137" i="3"/>
  <c r="P151" i="3"/>
  <c r="P154" i="3"/>
  <c r="P155" i="3"/>
  <c r="P153" i="3"/>
  <c r="P142" i="3"/>
  <c r="P144" i="3"/>
  <c r="P141" i="3"/>
  <c r="P136" i="3"/>
  <c r="P133" i="3"/>
  <c r="P135" i="3"/>
  <c r="P134" i="3"/>
  <c r="P127" i="3"/>
  <c r="P347" i="3"/>
  <c r="P117" i="3"/>
  <c r="P139" i="3"/>
  <c r="P328" i="3"/>
  <c r="P129" i="3"/>
  <c r="P126" i="3"/>
  <c r="P124" i="3"/>
  <c r="P123" i="3"/>
  <c r="P122" i="3"/>
  <c r="P121" i="3"/>
  <c r="P120" i="3"/>
  <c r="P119" i="3"/>
  <c r="P118" i="3"/>
  <c r="P116" i="3"/>
  <c r="P323" i="3"/>
  <c r="P340" i="3"/>
  <c r="P115" i="3"/>
  <c r="P114" i="3"/>
  <c r="P77" i="3"/>
  <c r="P43" i="3"/>
  <c r="P111" i="3"/>
  <c r="P103" i="3"/>
  <c r="P106" i="3"/>
  <c r="P97" i="3"/>
  <c r="P276" i="3"/>
  <c r="P92" i="3"/>
  <c r="P89" i="3"/>
  <c r="P64" i="3"/>
  <c r="P91" i="3"/>
  <c r="P86" i="3"/>
  <c r="P22" i="3"/>
  <c r="P81" i="3"/>
  <c r="P63" i="3"/>
  <c r="P110" i="3"/>
  <c r="P101" i="3"/>
  <c r="P104" i="3"/>
  <c r="P95" i="3"/>
  <c r="P210" i="3"/>
  <c r="P90" i="3"/>
  <c r="P87" i="3"/>
  <c r="P82" i="3"/>
  <c r="P80" i="3"/>
  <c r="P113" i="3"/>
  <c r="P107" i="3"/>
  <c r="P109" i="3"/>
  <c r="P102" i="3"/>
  <c r="P306" i="3"/>
  <c r="P218" i="3"/>
  <c r="P285" i="3"/>
  <c r="P85" i="3"/>
  <c r="P206" i="3"/>
  <c r="P112" i="3"/>
  <c r="P105" i="3"/>
  <c r="P108" i="3"/>
  <c r="P100" i="3"/>
  <c r="P209" i="3"/>
  <c r="P83" i="3"/>
  <c r="P62" i="3"/>
  <c r="P205" i="3"/>
  <c r="P79" i="3"/>
  <c r="P18" i="3"/>
  <c r="P217" i="3"/>
  <c r="P72" i="3"/>
  <c r="P21" i="3"/>
  <c r="P65" i="3"/>
  <c r="P70" i="3"/>
  <c r="P16" i="3"/>
  <c r="P60" i="3"/>
  <c r="P216" i="3"/>
  <c r="P204" i="3"/>
  <c r="P61" i="3"/>
  <c r="P59" i="3"/>
  <c r="P203" i="3"/>
  <c r="P58" i="3"/>
  <c r="P57" i="3"/>
  <c r="P52" i="3"/>
  <c r="P50" i="3"/>
  <c r="P49" i="3"/>
  <c r="P44" i="3"/>
  <c r="P51" i="3"/>
  <c r="P269" i="3"/>
  <c r="P53" i="3"/>
  <c r="P45" i="3"/>
  <c r="P93" i="3"/>
  <c r="P48" i="3"/>
  <c r="P283" i="3"/>
  <c r="P56" i="3"/>
  <c r="P46" i="3"/>
  <c r="P42" i="3"/>
  <c r="P40" i="3"/>
  <c r="P271" i="3"/>
  <c r="P41" i="3"/>
  <c r="P39" i="3"/>
  <c r="P38" i="3"/>
  <c r="P37" i="3"/>
  <c r="P36" i="3"/>
  <c r="P33" i="3"/>
  <c r="P35" i="3"/>
  <c r="P34" i="3"/>
  <c r="P32" i="3"/>
  <c r="P30" i="3"/>
  <c r="P28" i="3"/>
  <c r="P27" i="3"/>
  <c r="P31" i="3"/>
  <c r="P29" i="3"/>
  <c r="P26" i="3"/>
  <c r="P17" i="3"/>
  <c r="P25" i="3"/>
  <c r="P19" i="3"/>
  <c r="P24" i="3"/>
  <c r="P23" i="3"/>
  <c r="P78" i="3"/>
  <c r="P215" i="3"/>
  <c r="P20" i="3"/>
  <c r="P202" i="3"/>
  <c r="P8" i="3"/>
  <c r="P14" i="3"/>
  <c r="P10" i="3"/>
  <c r="P12" i="3"/>
  <c r="P15" i="3"/>
  <c r="P13" i="3"/>
  <c r="P11" i="3"/>
  <c r="P9" i="3"/>
  <c r="P2" i="3"/>
  <c r="F55" i="20"/>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A620" i="8"/>
  <c r="A621" i="8"/>
  <c r="A622" i="8"/>
  <c r="A623" i="8"/>
  <c r="A624" i="8"/>
  <c r="A625" i="8"/>
  <c r="A626" i="8"/>
  <c r="A627" i="8"/>
  <c r="A628" i="8"/>
  <c r="A629" i="8"/>
  <c r="A630" i="8"/>
  <c r="A631" i="8"/>
  <c r="A632" i="8"/>
  <c r="A633" i="8"/>
  <c r="A634" i="8"/>
  <c r="A635" i="8"/>
  <c r="A636" i="8"/>
  <c r="A637" i="8"/>
  <c r="A638" i="8"/>
  <c r="A639" i="8"/>
  <c r="A640" i="8"/>
  <c r="A641" i="8"/>
  <c r="A642" i="8"/>
  <c r="A643" i="8"/>
  <c r="A644" i="8"/>
  <c r="A645" i="8"/>
  <c r="A646" i="8"/>
  <c r="A647" i="8"/>
  <c r="A648" i="8"/>
  <c r="A649" i="8"/>
  <c r="A650" i="8"/>
  <c r="A651" i="8"/>
  <c r="A652" i="8"/>
  <c r="A653" i="8"/>
  <c r="A654" i="8"/>
  <c r="A655" i="8"/>
  <c r="A656" i="8"/>
  <c r="A657" i="8"/>
  <c r="A658" i="8"/>
  <c r="A659" i="8"/>
  <c r="A660" i="8"/>
  <c r="A661" i="8"/>
  <c r="A662" i="8"/>
  <c r="A663" i="8"/>
  <c r="A664" i="8"/>
  <c r="A665" i="8"/>
  <c r="A666" i="8"/>
  <c r="A667" i="8"/>
  <c r="A668" i="8"/>
  <c r="A669" i="8"/>
  <c r="A670" i="8"/>
  <c r="A671" i="8"/>
  <c r="A672" i="8"/>
  <c r="A673" i="8"/>
  <c r="A674" i="8"/>
  <c r="A675" i="8"/>
  <c r="A676" i="8"/>
  <c r="A677" i="8"/>
  <c r="A678" i="8"/>
  <c r="A679" i="8"/>
  <c r="A680" i="8"/>
  <c r="A681" i="8"/>
  <c r="A682" i="8"/>
  <c r="A683" i="8"/>
  <c r="A684" i="8"/>
  <c r="A685" i="8"/>
  <c r="A686" i="8"/>
  <c r="A687" i="8"/>
  <c r="A688" i="8"/>
  <c r="A689" i="8"/>
  <c r="A690" i="8"/>
  <c r="A691" i="8"/>
  <c r="A692" i="8"/>
  <c r="A693" i="8"/>
  <c r="A694" i="8"/>
  <c r="A695" i="8"/>
  <c r="A696" i="8"/>
  <c r="A697" i="8"/>
  <c r="A698" i="8"/>
  <c r="A699" i="8"/>
  <c r="A700" i="8"/>
  <c r="A701" i="8"/>
  <c r="A702" i="8"/>
  <c r="A703" i="8"/>
  <c r="A704" i="8"/>
  <c r="A705" i="8"/>
  <c r="A706" i="8"/>
  <c r="A707" i="8"/>
  <c r="A708" i="8"/>
  <c r="A709" i="8"/>
  <c r="A710" i="8"/>
  <c r="A711" i="8"/>
  <c r="A712" i="8"/>
  <c r="A713" i="8"/>
  <c r="A714" i="8"/>
  <c r="A715" i="8"/>
  <c r="A716" i="8"/>
  <c r="A717" i="8"/>
  <c r="A718" i="8"/>
  <c r="A719" i="8"/>
  <c r="F56" i="20" l="1"/>
  <c r="P64" i="2"/>
  <c r="P63" i="2"/>
  <c r="P62" i="2"/>
  <c r="A5" i="2"/>
  <c r="B5" i="2"/>
  <c r="E5" i="2"/>
  <c r="I5" i="2" s="1"/>
  <c r="F5" i="2"/>
  <c r="G5" i="2"/>
  <c r="M5" i="2"/>
  <c r="N5" i="2" s="1"/>
  <c r="P5" i="2"/>
  <c r="T5" i="2"/>
  <c r="D6" i="2"/>
  <c r="G6" i="2" s="1"/>
  <c r="P6" i="2"/>
  <c r="P7" i="2"/>
  <c r="P8" i="2"/>
  <c r="P9" i="2"/>
  <c r="P10" i="2"/>
  <c r="P11" i="2"/>
  <c r="T11" i="2"/>
  <c r="P12" i="2"/>
  <c r="P13" i="2"/>
  <c r="P14" i="2"/>
  <c r="P15" i="2"/>
  <c r="P16" i="2"/>
  <c r="X41" i="4"/>
  <c r="A67" i="21" s="1"/>
  <c r="X40" i="4"/>
  <c r="A66" i="21" s="1"/>
  <c r="X39" i="4"/>
  <c r="A65" i="21" s="1"/>
  <c r="X38" i="4"/>
  <c r="A64" i="21" s="1"/>
  <c r="X37" i="4"/>
  <c r="A63" i="21" s="1"/>
  <c r="X36" i="4"/>
  <c r="A62" i="21" s="1"/>
  <c r="X35" i="4"/>
  <c r="A25" i="21"/>
  <c r="X33" i="4"/>
  <c r="A59" i="21" s="1"/>
  <c r="X32" i="4"/>
  <c r="A58" i="21" s="1"/>
  <c r="X31" i="4"/>
  <c r="A57" i="21" s="1"/>
  <c r="X30" i="4"/>
  <c r="A56" i="21" s="1"/>
  <c r="X29" i="4"/>
  <c r="A55" i="21" s="1"/>
  <c r="X28" i="4"/>
  <c r="A54" i="21" s="1"/>
  <c r="X27" i="4"/>
  <c r="A53" i="21" s="1"/>
  <c r="X26" i="4"/>
  <c r="A52" i="21" s="1"/>
  <c r="X25" i="4"/>
  <c r="A51" i="21" s="1"/>
  <c r="X24" i="4"/>
  <c r="X23" i="4"/>
  <c r="A49" i="21" s="1"/>
  <c r="X22" i="4"/>
  <c r="A48" i="21" s="1"/>
  <c r="X21" i="4"/>
  <c r="A47" i="21" s="1"/>
  <c r="X20" i="4"/>
  <c r="A46" i="21" s="1"/>
  <c r="X19" i="4"/>
  <c r="X18" i="4"/>
  <c r="A44" i="21" s="1"/>
  <c r="X17" i="4"/>
  <c r="A43" i="21" s="1"/>
  <c r="X16" i="4"/>
  <c r="A42" i="21" s="1"/>
  <c r="X15" i="4"/>
  <c r="A41" i="21" s="1"/>
  <c r="X14" i="4"/>
  <c r="A40" i="21" s="1"/>
  <c r="Y13" i="4"/>
  <c r="X12" i="4"/>
  <c r="A38" i="21" s="1"/>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2" i="8"/>
  <c r="A61" i="21" l="1"/>
  <c r="Z41" i="4"/>
  <c r="A10" i="21"/>
  <c r="A45" i="21"/>
  <c r="B4" i="21"/>
  <c r="B39" i="21"/>
  <c r="A15" i="21"/>
  <c r="A50" i="21"/>
  <c r="Y17" i="4"/>
  <c r="A8" i="21"/>
  <c r="Y21" i="4"/>
  <c r="A12" i="21"/>
  <c r="Y25" i="4"/>
  <c r="A16" i="21"/>
  <c r="Y29" i="4"/>
  <c r="A20" i="21"/>
  <c r="Y33" i="4"/>
  <c r="A24" i="21"/>
  <c r="Y37" i="4"/>
  <c r="A28" i="21"/>
  <c r="Y41" i="4"/>
  <c r="A32" i="21"/>
  <c r="Y14" i="4"/>
  <c r="A5" i="21"/>
  <c r="Y18" i="4"/>
  <c r="A9" i="21"/>
  <c r="Y22" i="4"/>
  <c r="A13" i="21"/>
  <c r="Y26" i="4"/>
  <c r="A17" i="21"/>
  <c r="Y30" i="4"/>
  <c r="A21" i="21"/>
  <c r="Y38" i="4"/>
  <c r="A29" i="21"/>
  <c r="Y15" i="4"/>
  <c r="A6" i="21"/>
  <c r="Y23" i="4"/>
  <c r="A14" i="21"/>
  <c r="Y27" i="4"/>
  <c r="A18" i="21"/>
  <c r="Y31" i="4"/>
  <c r="A22" i="21"/>
  <c r="Y35" i="4"/>
  <c r="A26" i="21"/>
  <c r="Y39" i="4"/>
  <c r="A30" i="21"/>
  <c r="Y12" i="4"/>
  <c r="A3" i="21"/>
  <c r="Y16" i="4"/>
  <c r="A7" i="21"/>
  <c r="Y20" i="4"/>
  <c r="A11" i="21"/>
  <c r="Y28" i="4"/>
  <c r="A19" i="21"/>
  <c r="Y32" i="4"/>
  <c r="A23" i="21"/>
  <c r="Y36" i="4"/>
  <c r="A27" i="21"/>
  <c r="Y40" i="4"/>
  <c r="A31" i="21"/>
  <c r="Z33" i="4"/>
  <c r="Y34" i="4"/>
  <c r="Y19" i="4"/>
  <c r="Z23" i="4"/>
  <c r="Y24" i="4"/>
  <c r="F57" i="20"/>
  <c r="M6" i="2"/>
  <c r="F6" i="2"/>
  <c r="B6" i="2"/>
  <c r="E6" i="2"/>
  <c r="A6" i="2"/>
  <c r="H5" i="2"/>
  <c r="D7" i="2"/>
  <c r="B25" i="21" l="1"/>
  <c r="B60" i="21"/>
  <c r="B27" i="21"/>
  <c r="B62" i="21"/>
  <c r="B19" i="21"/>
  <c r="B54" i="21"/>
  <c r="B7" i="21"/>
  <c r="B42" i="21"/>
  <c r="B30" i="21"/>
  <c r="B65" i="21"/>
  <c r="B22" i="21"/>
  <c r="B57" i="21"/>
  <c r="B14" i="21"/>
  <c r="B49" i="21"/>
  <c r="B29" i="21"/>
  <c r="B64" i="21"/>
  <c r="B17" i="21"/>
  <c r="B52" i="21"/>
  <c r="B9" i="21"/>
  <c r="B44" i="21"/>
  <c r="B32" i="21"/>
  <c r="B67" i="21"/>
  <c r="B24" i="21"/>
  <c r="B59" i="21"/>
  <c r="B16" i="21"/>
  <c r="B51" i="21"/>
  <c r="B8" i="21"/>
  <c r="B43" i="21"/>
  <c r="B10" i="21"/>
  <c r="B45" i="21"/>
  <c r="B15" i="21"/>
  <c r="B50" i="21"/>
  <c r="B31" i="21"/>
  <c r="B66" i="21"/>
  <c r="B23" i="21"/>
  <c r="B58" i="21"/>
  <c r="B11" i="21"/>
  <c r="B46" i="21"/>
  <c r="B3" i="21"/>
  <c r="B38" i="21"/>
  <c r="B26" i="21"/>
  <c r="B61" i="21"/>
  <c r="B18" i="21"/>
  <c r="B53" i="21"/>
  <c r="B6" i="21"/>
  <c r="B41" i="21"/>
  <c r="B21" i="21"/>
  <c r="B56" i="21"/>
  <c r="B13" i="21"/>
  <c r="B48" i="21"/>
  <c r="B5" i="21"/>
  <c r="B40" i="21"/>
  <c r="B28" i="21"/>
  <c r="B63" i="21"/>
  <c r="B20" i="21"/>
  <c r="B55" i="21"/>
  <c r="B12" i="21"/>
  <c r="B47" i="21"/>
  <c r="F58" i="20"/>
  <c r="N6" i="2"/>
  <c r="E7" i="2"/>
  <c r="A7" i="2"/>
  <c r="F7" i="2"/>
  <c r="M7" i="2"/>
  <c r="N7" i="2" s="1"/>
  <c r="B7" i="2"/>
  <c r="G7" i="2"/>
  <c r="D8" i="2"/>
  <c r="I6" i="2"/>
  <c r="H6" i="2"/>
  <c r="W41" i="4"/>
  <c r="O41" i="4"/>
  <c r="N41" i="4"/>
  <c r="W40" i="4"/>
  <c r="O40" i="4"/>
  <c r="N40" i="4"/>
  <c r="W39" i="4"/>
  <c r="O39" i="4"/>
  <c r="N39" i="4"/>
  <c r="W38" i="4"/>
  <c r="O38" i="4"/>
  <c r="N38" i="4"/>
  <c r="W37" i="4"/>
  <c r="O37" i="4"/>
  <c r="N37" i="4"/>
  <c r="W36" i="4"/>
  <c r="O36" i="4"/>
  <c r="N36" i="4"/>
  <c r="W35" i="4"/>
  <c r="O35" i="4"/>
  <c r="N35" i="4"/>
  <c r="W34" i="4"/>
  <c r="O34" i="4"/>
  <c r="N34" i="4"/>
  <c r="W33" i="4"/>
  <c r="O33" i="4"/>
  <c r="N33" i="4"/>
  <c r="W32" i="4"/>
  <c r="O32" i="4"/>
  <c r="N32" i="4"/>
  <c r="W31" i="4"/>
  <c r="O31" i="4"/>
  <c r="N31" i="4"/>
  <c r="W30" i="4"/>
  <c r="O30" i="4"/>
  <c r="N30" i="4"/>
  <c r="W29" i="4"/>
  <c r="O29" i="4"/>
  <c r="N29" i="4"/>
  <c r="W28" i="4"/>
  <c r="W27" i="4"/>
  <c r="W26" i="4"/>
  <c r="W24" i="4"/>
  <c r="O24" i="4"/>
  <c r="N24" i="4"/>
  <c r="W23" i="4"/>
  <c r="O23" i="4"/>
  <c r="N23" i="4"/>
  <c r="W22" i="4"/>
  <c r="O22" i="4"/>
  <c r="N22" i="4"/>
  <c r="W21" i="4"/>
  <c r="O21" i="4"/>
  <c r="N21" i="4"/>
  <c r="W19" i="4"/>
  <c r="O19" i="4"/>
  <c r="N19" i="4"/>
  <c r="F59" i="20" l="1"/>
  <c r="H7" i="2"/>
  <c r="I7" i="2"/>
  <c r="E8" i="2"/>
  <c r="A8" i="2"/>
  <c r="M8" i="2"/>
  <c r="N8" i="2" s="1"/>
  <c r="B8" i="2"/>
  <c r="G8" i="2"/>
  <c r="D9" i="2"/>
  <c r="F8" i="2"/>
  <c r="F60" i="20" l="1"/>
  <c r="A9" i="2"/>
  <c r="F9" i="2"/>
  <c r="M9" i="2"/>
  <c r="E9" i="2"/>
  <c r="B9" i="2"/>
  <c r="G9" i="2"/>
  <c r="D10" i="2"/>
  <c r="I8" i="2"/>
  <c r="H8" i="2"/>
  <c r="C119" i="2"/>
  <c r="C113" i="2" s="1"/>
  <c r="C107" i="2" s="1"/>
  <c r="C101" i="2" s="1"/>
  <c r="C95" i="2" s="1"/>
  <c r="C89" i="2" s="1"/>
  <c r="C83" i="2" s="1"/>
  <c r="C77" i="2" s="1"/>
  <c r="C71" i="2" s="1"/>
  <c r="C65" i="2" s="1"/>
  <c r="C59" i="2" s="1"/>
  <c r="C53" i="2" s="1"/>
  <c r="C47" i="2" s="1"/>
  <c r="C41" i="2" s="1"/>
  <c r="C35" i="2" s="1"/>
  <c r="C29" i="2" s="1"/>
  <c r="C23" i="2" s="1"/>
  <c r="C17" i="2" s="1"/>
  <c r="C11" i="2" s="1"/>
  <c r="C5" i="2" s="1"/>
  <c r="P130" i="2"/>
  <c r="P129" i="2"/>
  <c r="P128" i="2"/>
  <c r="P127" i="2"/>
  <c r="P126" i="2"/>
  <c r="V125" i="2"/>
  <c r="T125" i="2"/>
  <c r="P125" i="2"/>
  <c r="P124" i="2"/>
  <c r="P123" i="2"/>
  <c r="P122" i="2"/>
  <c r="P121" i="2"/>
  <c r="P120" i="2"/>
  <c r="V119" i="2"/>
  <c r="T119" i="2"/>
  <c r="P119" i="2"/>
  <c r="F61" i="20" l="1"/>
  <c r="B10" i="2"/>
  <c r="G10" i="2"/>
  <c r="D11" i="2"/>
  <c r="E10" i="2"/>
  <c r="A10" i="2"/>
  <c r="F10" i="2"/>
  <c r="M10" i="2"/>
  <c r="N10" i="2" s="1"/>
  <c r="N9" i="2"/>
  <c r="H9" i="2"/>
  <c r="I9" i="2"/>
  <c r="Q12" i="4"/>
  <c r="Q13" i="4" s="1"/>
  <c r="Q14" i="4" s="1"/>
  <c r="Q15" i="4" s="1"/>
  <c r="Q16" i="4" s="1"/>
  <c r="Q17" i="4" s="1"/>
  <c r="Q18" i="4" s="1"/>
  <c r="Q19" i="4" s="1"/>
  <c r="Q20" i="4" s="1"/>
  <c r="Q21" i="4" s="1"/>
  <c r="Q22" i="4" s="1"/>
  <c r="Q23" i="4" s="1"/>
  <c r="Q24" i="4" s="1"/>
  <c r="Q25" i="4" s="1"/>
  <c r="Q26" i="4" s="1"/>
  <c r="Q27" i="4" s="1"/>
  <c r="Q28" i="4" s="1"/>
  <c r="Q29" i="4" s="1"/>
  <c r="Q30" i="4" s="1"/>
  <c r="Q31" i="4" s="1"/>
  <c r="Q32" i="4" s="1"/>
  <c r="Q33" i="4" s="1"/>
  <c r="Q34" i="4" s="1"/>
  <c r="Q35" i="4" s="1"/>
  <c r="Q36" i="4" s="1"/>
  <c r="Q37" i="4" s="1"/>
  <c r="Q38" i="4" s="1"/>
  <c r="Q39" i="4" s="1"/>
  <c r="Q40" i="4" s="1"/>
  <c r="Q41" i="4" s="1"/>
  <c r="F62" i="20" l="1"/>
  <c r="V11" i="2"/>
  <c r="G11" i="2"/>
  <c r="D12" i="2"/>
  <c r="A11" i="2"/>
  <c r="E11" i="2"/>
  <c r="B11" i="2"/>
  <c r="F11" i="2"/>
  <c r="M11" i="2"/>
  <c r="U5" i="2"/>
  <c r="I10" i="2"/>
  <c r="H10" i="2"/>
  <c r="C6" i="2"/>
  <c r="X11" i="4"/>
  <c r="A2" i="21" l="1"/>
  <c r="A37" i="21"/>
  <c r="Y11" i="4"/>
  <c r="Z18" i="4"/>
  <c r="F63" i="20"/>
  <c r="B12" i="2"/>
  <c r="F12" i="2"/>
  <c r="M12" i="2"/>
  <c r="N12" i="2" s="1"/>
  <c r="G12" i="2"/>
  <c r="D13" i="2"/>
  <c r="A12" i="2"/>
  <c r="E12" i="2"/>
  <c r="I11" i="2"/>
  <c r="H11" i="2"/>
  <c r="N11" i="2"/>
  <c r="P118" i="2"/>
  <c r="P117" i="2"/>
  <c r="P116" i="2"/>
  <c r="P115" i="2"/>
  <c r="P114" i="2"/>
  <c r="P113" i="2"/>
  <c r="P112" i="2"/>
  <c r="P111" i="2"/>
  <c r="P110" i="2"/>
  <c r="P109" i="2"/>
  <c r="P108" i="2"/>
  <c r="P107" i="2"/>
  <c r="P106" i="2"/>
  <c r="P105" i="2"/>
  <c r="P104" i="2"/>
  <c r="P103" i="2"/>
  <c r="P102" i="2"/>
  <c r="P101" i="2"/>
  <c r="B2" i="21" l="1"/>
  <c r="B37" i="21"/>
  <c r="F64" i="20"/>
  <c r="E13" i="2"/>
  <c r="F13" i="2"/>
  <c r="B13" i="2"/>
  <c r="G13" i="2"/>
  <c r="D14" i="2"/>
  <c r="A13" i="2"/>
  <c r="M13" i="2"/>
  <c r="H12" i="2"/>
  <c r="I12" i="2"/>
  <c r="P65" i="2"/>
  <c r="T65" i="2"/>
  <c r="P66" i="2"/>
  <c r="P67" i="2"/>
  <c r="P68" i="2"/>
  <c r="P69" i="2"/>
  <c r="P70" i="2"/>
  <c r="P71" i="2"/>
  <c r="T71" i="2"/>
  <c r="P72" i="2"/>
  <c r="P73" i="2"/>
  <c r="P74" i="2"/>
  <c r="P75" i="2"/>
  <c r="P76" i="2"/>
  <c r="F65" i="20" l="1"/>
  <c r="N13" i="2"/>
  <c r="A14" i="2"/>
  <c r="F14" i="2"/>
  <c r="M14" i="2"/>
  <c r="N14" i="2" s="1"/>
  <c r="B14" i="2"/>
  <c r="D15" i="2"/>
  <c r="E14" i="2"/>
  <c r="G14" i="2"/>
  <c r="I13" i="2"/>
  <c r="H13" i="2"/>
  <c r="M4" i="2"/>
  <c r="F66" i="20" l="1"/>
  <c r="D7" i="4"/>
  <c r="V5" i="2"/>
  <c r="H14" i="2"/>
  <c r="I14" i="2"/>
  <c r="B15" i="2"/>
  <c r="G15" i="2"/>
  <c r="D16" i="2"/>
  <c r="E15" i="2"/>
  <c r="A15" i="2"/>
  <c r="F15" i="2"/>
  <c r="M15" i="2"/>
  <c r="N15" i="2" s="1"/>
  <c r="F67" i="20" l="1"/>
  <c r="I15" i="2"/>
  <c r="H15" i="2"/>
  <c r="A16" i="2"/>
  <c r="F16" i="2"/>
  <c r="M16" i="2"/>
  <c r="B16" i="2"/>
  <c r="G16" i="2"/>
  <c r="E16" i="2"/>
  <c r="C12" i="2" s="1"/>
  <c r="F68" i="20" l="1"/>
  <c r="N16" i="2"/>
  <c r="U11" i="2"/>
  <c r="H16" i="2"/>
  <c r="I16" i="2"/>
  <c r="T113" i="2"/>
  <c r="T107" i="2"/>
  <c r="T101" i="2"/>
  <c r="T95" i="2"/>
  <c r="T89" i="2"/>
  <c r="T83" i="2"/>
  <c r="F69" i="20" l="1"/>
  <c r="N4" i="2"/>
  <c r="P100" i="2"/>
  <c r="P99" i="2"/>
  <c r="P98" i="2"/>
  <c r="P97" i="2"/>
  <c r="P96" i="2"/>
  <c r="P95" i="2"/>
  <c r="P94" i="2"/>
  <c r="P93" i="2"/>
  <c r="P92" i="2"/>
  <c r="P91" i="2"/>
  <c r="P90" i="2"/>
  <c r="P89" i="2"/>
  <c r="P88" i="2"/>
  <c r="P87" i="2"/>
  <c r="P86" i="2"/>
  <c r="P85" i="2"/>
  <c r="P84" i="2"/>
  <c r="P83" i="2"/>
  <c r="F70" i="20" l="1"/>
  <c r="W11" i="4"/>
  <c r="F71" i="20" l="1"/>
  <c r="U3" i="9"/>
  <c r="F72" i="20" l="1"/>
  <c r="O11" i="4"/>
  <c r="F73" i="20" l="1"/>
  <c r="D17" i="2"/>
  <c r="F74" i="20" l="1"/>
  <c r="B17" i="2"/>
  <c r="M17" i="2"/>
  <c r="N17" i="2" s="1"/>
  <c r="A17" i="2"/>
  <c r="G17" i="2"/>
  <c r="F17" i="2"/>
  <c r="E17" i="2"/>
  <c r="D18" i="2"/>
  <c r="F75" i="20" l="1"/>
  <c r="M18" i="2"/>
  <c r="N18" i="2" s="1"/>
  <c r="B18" i="2"/>
  <c r="A18" i="2"/>
  <c r="G18" i="2"/>
  <c r="F18" i="2"/>
  <c r="E18" i="2"/>
  <c r="I17" i="2"/>
  <c r="H17" i="2"/>
  <c r="D19" i="2"/>
  <c r="F76" i="20" l="1"/>
  <c r="B19" i="2"/>
  <c r="M19" i="2"/>
  <c r="N19" i="2" s="1"/>
  <c r="A19" i="2"/>
  <c r="G19" i="2"/>
  <c r="F19" i="2"/>
  <c r="E19" i="2"/>
  <c r="I18" i="2"/>
  <c r="H18" i="2"/>
  <c r="D20" i="2"/>
  <c r="F77" i="20" l="1"/>
  <c r="B20" i="2"/>
  <c r="M20" i="2"/>
  <c r="N20" i="2" s="1"/>
  <c r="A20" i="2"/>
  <c r="G20" i="2"/>
  <c r="F20" i="2"/>
  <c r="E20" i="2"/>
  <c r="I19" i="2"/>
  <c r="H19" i="2"/>
  <c r="D21" i="2"/>
  <c r="F78" i="20" l="1"/>
  <c r="B21" i="2"/>
  <c r="M21" i="2"/>
  <c r="N21" i="2" s="1"/>
  <c r="A21" i="2"/>
  <c r="G21" i="2"/>
  <c r="F21" i="2"/>
  <c r="E21" i="2"/>
  <c r="I20" i="2"/>
  <c r="H20" i="2"/>
  <c r="D22" i="2"/>
  <c r="F79" i="20" l="1"/>
  <c r="M22" i="2"/>
  <c r="N22" i="2" s="1"/>
  <c r="B22" i="2"/>
  <c r="A22" i="2"/>
  <c r="G22" i="2"/>
  <c r="F22" i="2"/>
  <c r="E22" i="2"/>
  <c r="C18" i="2" s="1"/>
  <c r="I21" i="2"/>
  <c r="H21" i="2"/>
  <c r="D23" i="2"/>
  <c r="F80" i="20" l="1"/>
  <c r="M23" i="2"/>
  <c r="N23" i="2" s="1"/>
  <c r="B23" i="2"/>
  <c r="A23" i="2"/>
  <c r="G23" i="2"/>
  <c r="F23" i="2"/>
  <c r="E23" i="2"/>
  <c r="I22" i="2"/>
  <c r="H22" i="2"/>
  <c r="D24" i="2"/>
  <c r="F81" i="20" l="1"/>
  <c r="B24" i="2"/>
  <c r="M24" i="2"/>
  <c r="N24" i="2" s="1"/>
  <c r="T17" i="2"/>
  <c r="U17" i="2"/>
  <c r="A24" i="2"/>
  <c r="G24" i="2"/>
  <c r="F24" i="2"/>
  <c r="E24" i="2"/>
  <c r="I23" i="2"/>
  <c r="H23" i="2"/>
  <c r="D25" i="2"/>
  <c r="F82" i="20" l="1"/>
  <c r="B25" i="2"/>
  <c r="M25" i="2"/>
  <c r="N25" i="2" s="1"/>
  <c r="P24" i="2"/>
  <c r="P23" i="2"/>
  <c r="A25" i="2"/>
  <c r="G25" i="2"/>
  <c r="F25" i="2"/>
  <c r="E25" i="2"/>
  <c r="I24" i="2"/>
  <c r="H24" i="2"/>
  <c r="D26" i="2"/>
  <c r="F83" i="20" l="1"/>
  <c r="M26" i="2"/>
  <c r="N26" i="2" s="1"/>
  <c r="B26" i="2"/>
  <c r="A26" i="2"/>
  <c r="G26" i="2"/>
  <c r="F26" i="2"/>
  <c r="E26" i="2"/>
  <c r="I25" i="2"/>
  <c r="H25" i="2"/>
  <c r="D27" i="2"/>
  <c r="F84" i="20" l="1"/>
  <c r="M27" i="2"/>
  <c r="N27" i="2" s="1"/>
  <c r="B27" i="2"/>
  <c r="P26" i="2"/>
  <c r="P25" i="2"/>
  <c r="A27" i="2"/>
  <c r="G27" i="2"/>
  <c r="F27" i="2"/>
  <c r="E27" i="2"/>
  <c r="I26" i="2"/>
  <c r="H26" i="2"/>
  <c r="D28" i="2"/>
  <c r="F85" i="20" l="1"/>
  <c r="B28" i="2"/>
  <c r="M28" i="2"/>
  <c r="N28" i="2" s="1"/>
  <c r="A28" i="2"/>
  <c r="G28" i="2"/>
  <c r="F28" i="2"/>
  <c r="E28" i="2"/>
  <c r="C24" i="2" s="1"/>
  <c r="I27" i="2"/>
  <c r="H27" i="2"/>
  <c r="D29" i="2"/>
  <c r="C6" i="20" l="1"/>
  <c r="D6" i="20" s="1"/>
  <c r="G6" i="20" s="1"/>
  <c r="F86" i="20"/>
  <c r="B29" i="2"/>
  <c r="M29" i="2"/>
  <c r="N29" i="2" s="1"/>
  <c r="P28" i="2"/>
  <c r="P27" i="2"/>
  <c r="A29" i="2"/>
  <c r="G29" i="2"/>
  <c r="F29" i="2"/>
  <c r="E29" i="2"/>
  <c r="I28" i="2"/>
  <c r="H28" i="2"/>
  <c r="D30" i="2"/>
  <c r="C7" i="20" l="1"/>
  <c r="D7" i="20" s="1"/>
  <c r="G7" i="20" s="1"/>
  <c r="F87" i="20"/>
  <c r="M30" i="2"/>
  <c r="N30" i="2" s="1"/>
  <c r="B30" i="2"/>
  <c r="U23" i="2"/>
  <c r="T23" i="2"/>
  <c r="A30" i="2"/>
  <c r="G30" i="2"/>
  <c r="F30" i="2"/>
  <c r="E30" i="2"/>
  <c r="I29" i="2"/>
  <c r="H29" i="2"/>
  <c r="D31" i="2"/>
  <c r="C8" i="20" l="1"/>
  <c r="D8" i="20" s="1"/>
  <c r="G8" i="20" s="1"/>
  <c r="F88" i="20"/>
  <c r="B31" i="2"/>
  <c r="M31" i="2"/>
  <c r="N31" i="2" s="1"/>
  <c r="P30" i="2"/>
  <c r="P29" i="2"/>
  <c r="A31" i="2"/>
  <c r="G31" i="2"/>
  <c r="F31" i="2"/>
  <c r="E31" i="2"/>
  <c r="I30" i="2"/>
  <c r="H30" i="2"/>
  <c r="D32" i="2"/>
  <c r="C9" i="20" l="1"/>
  <c r="D9" i="20" s="1"/>
  <c r="G9" i="20" s="1"/>
  <c r="F89" i="20"/>
  <c r="B32" i="2"/>
  <c r="M32" i="2"/>
  <c r="N32" i="2" s="1"/>
  <c r="A32" i="2"/>
  <c r="G32" i="2"/>
  <c r="F32" i="2"/>
  <c r="E32" i="2"/>
  <c r="I31" i="2"/>
  <c r="H31" i="2"/>
  <c r="D33" i="2"/>
  <c r="C10" i="20" l="1"/>
  <c r="D10" i="20" s="1"/>
  <c r="F90" i="20"/>
  <c r="B33" i="2"/>
  <c r="M33" i="2"/>
  <c r="N33" i="2" s="1"/>
  <c r="P32" i="2"/>
  <c r="P31" i="2"/>
  <c r="A33" i="2"/>
  <c r="G33" i="2"/>
  <c r="F33" i="2"/>
  <c r="E33" i="2"/>
  <c r="I32" i="2"/>
  <c r="H32" i="2"/>
  <c r="D34" i="2"/>
  <c r="D11" i="20" l="1"/>
  <c r="G11" i="20" s="1"/>
  <c r="G10" i="20"/>
  <c r="F91" i="20"/>
  <c r="A34" i="2"/>
  <c r="M34" i="2"/>
  <c r="N34" i="2" s="1"/>
  <c r="B34" i="2"/>
  <c r="G34" i="2"/>
  <c r="F34" i="2"/>
  <c r="E34" i="2"/>
  <c r="C30" i="2" s="1"/>
  <c r="I33" i="2"/>
  <c r="H33" i="2"/>
  <c r="D35" i="2"/>
  <c r="F92" i="20" l="1"/>
  <c r="A35" i="2"/>
  <c r="M35" i="2"/>
  <c r="N35" i="2" s="1"/>
  <c r="B35" i="2"/>
  <c r="P34" i="2"/>
  <c r="P33" i="2"/>
  <c r="G35" i="2"/>
  <c r="F35" i="2"/>
  <c r="E35" i="2"/>
  <c r="I34" i="2"/>
  <c r="H34" i="2"/>
  <c r="D36" i="2"/>
  <c r="F93" i="20" l="1"/>
  <c r="A36" i="2"/>
  <c r="B36" i="2"/>
  <c r="M36" i="2"/>
  <c r="N36" i="2" s="1"/>
  <c r="T29" i="2"/>
  <c r="U29" i="2"/>
  <c r="G36" i="2"/>
  <c r="F36" i="2"/>
  <c r="E36" i="2"/>
  <c r="I35" i="2"/>
  <c r="H35" i="2"/>
  <c r="D37" i="2"/>
  <c r="F94" i="20" l="1"/>
  <c r="A37" i="2"/>
  <c r="B37" i="2"/>
  <c r="M37" i="2"/>
  <c r="N37" i="2" s="1"/>
  <c r="P36" i="2"/>
  <c r="P35" i="2"/>
  <c r="G37" i="2"/>
  <c r="F37" i="2"/>
  <c r="E37" i="2"/>
  <c r="I36" i="2"/>
  <c r="H36" i="2"/>
  <c r="D38" i="2"/>
  <c r="F95" i="20" l="1"/>
  <c r="A38" i="2"/>
  <c r="M38" i="2"/>
  <c r="N38" i="2" s="1"/>
  <c r="B38" i="2"/>
  <c r="G38" i="2"/>
  <c r="F38" i="2"/>
  <c r="E38" i="2"/>
  <c r="I37" i="2"/>
  <c r="H37" i="2"/>
  <c r="D39" i="2"/>
  <c r="F96" i="20" l="1"/>
  <c r="A39" i="2"/>
  <c r="M39" i="2"/>
  <c r="N39" i="2" s="1"/>
  <c r="B39" i="2"/>
  <c r="P38" i="2"/>
  <c r="P37" i="2"/>
  <c r="G39" i="2"/>
  <c r="F39" i="2"/>
  <c r="E39" i="2"/>
  <c r="I38" i="2"/>
  <c r="H38" i="2"/>
  <c r="D40" i="2"/>
  <c r="F97" i="20" l="1"/>
  <c r="A40" i="2"/>
  <c r="B40" i="2"/>
  <c r="M40" i="2"/>
  <c r="N40" i="2" s="1"/>
  <c r="F40" i="2"/>
  <c r="E40" i="2"/>
  <c r="C36" i="2" s="1"/>
  <c r="G40" i="2"/>
  <c r="I39" i="2"/>
  <c r="H39" i="2"/>
  <c r="D41" i="2"/>
  <c r="F98" i="20" l="1"/>
  <c r="A41" i="2"/>
  <c r="B41" i="2"/>
  <c r="M41" i="2"/>
  <c r="N41" i="2" s="1"/>
  <c r="P40" i="2"/>
  <c r="P39" i="2"/>
  <c r="E41" i="2"/>
  <c r="G41" i="2"/>
  <c r="F41" i="2"/>
  <c r="I40" i="2"/>
  <c r="H40" i="2"/>
  <c r="D42" i="2"/>
  <c r="F99" i="20" l="1"/>
  <c r="A42" i="2"/>
  <c r="M42" i="2"/>
  <c r="N42" i="2" s="1"/>
  <c r="B42" i="2"/>
  <c r="T35" i="2"/>
  <c r="U35" i="2"/>
  <c r="G42" i="2"/>
  <c r="E42" i="2"/>
  <c r="F42" i="2"/>
  <c r="I41" i="2"/>
  <c r="H41" i="2"/>
  <c r="D43" i="2"/>
  <c r="F100" i="20" l="1"/>
  <c r="A43" i="2"/>
  <c r="B43" i="2"/>
  <c r="M43" i="2"/>
  <c r="N43" i="2" s="1"/>
  <c r="P42" i="2"/>
  <c r="P41" i="2"/>
  <c r="G43" i="2"/>
  <c r="E43" i="2"/>
  <c r="F43" i="2"/>
  <c r="I42" i="2"/>
  <c r="H42" i="2"/>
  <c r="D44" i="2"/>
  <c r="F101" i="20" l="1"/>
  <c r="A44" i="2"/>
  <c r="B44" i="2"/>
  <c r="M44" i="2"/>
  <c r="N44" i="2" s="1"/>
  <c r="I43" i="2"/>
  <c r="H43" i="2"/>
  <c r="F44" i="2"/>
  <c r="E44" i="2"/>
  <c r="G44" i="2"/>
  <c r="D45" i="2"/>
  <c r="F102" i="20" l="1"/>
  <c r="A45" i="2"/>
  <c r="B45" i="2"/>
  <c r="M45" i="2"/>
  <c r="N45" i="2" s="1"/>
  <c r="P44" i="2"/>
  <c r="P43" i="2"/>
  <c r="E45" i="2"/>
  <c r="G45" i="2"/>
  <c r="F45" i="2"/>
  <c r="I44" i="2"/>
  <c r="H44" i="2"/>
  <c r="D46" i="2"/>
  <c r="F103" i="20" l="1"/>
  <c r="A46" i="2"/>
  <c r="M46" i="2"/>
  <c r="N46" i="2" s="1"/>
  <c r="B46" i="2"/>
  <c r="I45" i="2"/>
  <c r="H45" i="2"/>
  <c r="G46" i="2"/>
  <c r="E46" i="2"/>
  <c r="C42" i="2" s="1"/>
  <c r="F46" i="2"/>
  <c r="D47" i="2"/>
  <c r="F104" i="20" l="1"/>
  <c r="A47" i="2"/>
  <c r="B47" i="2"/>
  <c r="M47" i="2"/>
  <c r="N47" i="2" s="1"/>
  <c r="P46" i="2"/>
  <c r="P45" i="2"/>
  <c r="G47" i="2"/>
  <c r="E47" i="2"/>
  <c r="F47" i="2"/>
  <c r="I46" i="2"/>
  <c r="H46" i="2"/>
  <c r="D48" i="2"/>
  <c r="A48" i="2" l="1"/>
  <c r="B48" i="2"/>
  <c r="M48" i="2"/>
  <c r="N48" i="2" s="1"/>
  <c r="T41" i="2"/>
  <c r="U41" i="2"/>
  <c r="F48" i="2"/>
  <c r="E48" i="2"/>
  <c r="G48" i="2"/>
  <c r="I47" i="2"/>
  <c r="H47" i="2"/>
  <c r="D49" i="2"/>
  <c r="A49" i="2" l="1"/>
  <c r="B49" i="2"/>
  <c r="M49" i="2"/>
  <c r="N49" i="2" s="1"/>
  <c r="P48" i="2"/>
  <c r="P47" i="2"/>
  <c r="E49" i="2"/>
  <c r="G49" i="2"/>
  <c r="F49" i="2"/>
  <c r="I48" i="2"/>
  <c r="H48" i="2"/>
  <c r="D50" i="2"/>
  <c r="A50" i="2" l="1"/>
  <c r="M50" i="2"/>
  <c r="N50" i="2" s="1"/>
  <c r="B50" i="2"/>
  <c r="G50" i="2"/>
  <c r="F50" i="2"/>
  <c r="E50" i="2"/>
  <c r="I49" i="2"/>
  <c r="H49" i="2"/>
  <c r="D51" i="2"/>
  <c r="A51" i="2" l="1"/>
  <c r="M51" i="2"/>
  <c r="N51" i="2" s="1"/>
  <c r="B51" i="2"/>
  <c r="P50" i="2"/>
  <c r="P49" i="2"/>
  <c r="I50" i="2"/>
  <c r="H50" i="2"/>
  <c r="G51" i="2"/>
  <c r="F51" i="2"/>
  <c r="E51" i="2"/>
  <c r="D52" i="2"/>
  <c r="A52" i="2" l="1"/>
  <c r="B52" i="2"/>
  <c r="M52" i="2"/>
  <c r="N52" i="2" s="1"/>
  <c r="I51" i="2"/>
  <c r="H51" i="2"/>
  <c r="F52" i="2"/>
  <c r="E52" i="2"/>
  <c r="C48" i="2" s="1"/>
  <c r="G52" i="2"/>
  <c r="D53" i="2"/>
  <c r="A53" i="2" l="1"/>
  <c r="B53" i="2"/>
  <c r="M53" i="2"/>
  <c r="N53" i="2" s="1"/>
  <c r="P52" i="2"/>
  <c r="P51" i="2"/>
  <c r="E53" i="2"/>
  <c r="F53" i="2"/>
  <c r="G53" i="2"/>
  <c r="I52" i="2"/>
  <c r="H52" i="2"/>
  <c r="D54" i="2"/>
  <c r="A54" i="2" l="1"/>
  <c r="M54" i="2"/>
  <c r="N54" i="2" s="1"/>
  <c r="B54" i="2"/>
  <c r="T47" i="2"/>
  <c r="U47" i="2"/>
  <c r="F54" i="2"/>
  <c r="G54" i="2"/>
  <c r="E54" i="2"/>
  <c r="I53" i="2"/>
  <c r="H53" i="2"/>
  <c r="D55" i="2"/>
  <c r="A55" i="2" l="1"/>
  <c r="B55" i="2"/>
  <c r="M55" i="2"/>
  <c r="N55" i="2" s="1"/>
  <c r="P54" i="2"/>
  <c r="P53" i="2"/>
  <c r="I54" i="2"/>
  <c r="H54" i="2"/>
  <c r="G55" i="2"/>
  <c r="F55" i="2"/>
  <c r="E55" i="2"/>
  <c r="D56" i="2"/>
  <c r="A56" i="2" l="1"/>
  <c r="B56" i="2"/>
  <c r="M56" i="2"/>
  <c r="N56" i="2" s="1"/>
  <c r="F56" i="2"/>
  <c r="E56" i="2"/>
  <c r="G56" i="2"/>
  <c r="I55" i="2"/>
  <c r="H55" i="2"/>
  <c r="D57" i="2"/>
  <c r="A57" i="2" l="1"/>
  <c r="B57" i="2"/>
  <c r="M57" i="2"/>
  <c r="N57" i="2" s="1"/>
  <c r="P56" i="2"/>
  <c r="P55" i="2"/>
  <c r="E57" i="2"/>
  <c r="G57" i="2"/>
  <c r="F57" i="2"/>
  <c r="I56" i="2"/>
  <c r="H56" i="2"/>
  <c r="D58" i="2"/>
  <c r="M58" i="2" l="1"/>
  <c r="N58" i="2" s="1"/>
  <c r="B58" i="2"/>
  <c r="A58" i="2"/>
  <c r="D59" i="2"/>
  <c r="G58" i="2"/>
  <c r="E58" i="2"/>
  <c r="C54" i="2" s="1"/>
  <c r="F58" i="2"/>
  <c r="I57" i="2"/>
  <c r="H57" i="2"/>
  <c r="B59" i="2" l="1"/>
  <c r="M59" i="2"/>
  <c r="N59" i="2" s="1"/>
  <c r="A59" i="2"/>
  <c r="F59" i="2"/>
  <c r="G59" i="2"/>
  <c r="D60" i="2"/>
  <c r="E59" i="2"/>
  <c r="P58" i="2"/>
  <c r="P57" i="2"/>
  <c r="I58" i="2"/>
  <c r="H58" i="2"/>
  <c r="B60" i="2" l="1"/>
  <c r="M60" i="2"/>
  <c r="N60" i="2" s="1"/>
  <c r="H59" i="2"/>
  <c r="I59" i="2"/>
  <c r="G60" i="2"/>
  <c r="D61" i="2"/>
  <c r="E60" i="2"/>
  <c r="A60" i="2"/>
  <c r="F60" i="2"/>
  <c r="T53" i="2"/>
  <c r="U53" i="2"/>
  <c r="B61" i="2" l="1"/>
  <c r="M61" i="2"/>
  <c r="N61" i="2" s="1"/>
  <c r="E61" i="2"/>
  <c r="F61" i="2"/>
  <c r="A61" i="2"/>
  <c r="G61" i="2"/>
  <c r="D62" i="2"/>
  <c r="P60" i="2"/>
  <c r="P59" i="2"/>
  <c r="H60" i="2"/>
  <c r="I60" i="2"/>
  <c r="M62" i="2" l="1"/>
  <c r="N62" i="2" s="1"/>
  <c r="B62" i="2"/>
  <c r="E62" i="2"/>
  <c r="D63" i="2"/>
  <c r="F62" i="2"/>
  <c r="A62" i="2"/>
  <c r="G62" i="2"/>
  <c r="P61" i="2"/>
  <c r="H61" i="2"/>
  <c r="I61" i="2"/>
  <c r="M63" i="2" l="1"/>
  <c r="N63" i="2" s="1"/>
  <c r="B63" i="2"/>
  <c r="T59" i="2"/>
  <c r="E63" i="2"/>
  <c r="D64" i="2"/>
  <c r="F63" i="2"/>
  <c r="A63" i="2"/>
  <c r="G63" i="2"/>
  <c r="I62" i="2"/>
  <c r="H62" i="2"/>
  <c r="B64" i="2" l="1"/>
  <c r="M64" i="2"/>
  <c r="N64" i="2" s="1"/>
  <c r="A64" i="2"/>
  <c r="G64" i="2"/>
  <c r="E64" i="2"/>
  <c r="F64" i="2"/>
  <c r="D65" i="2"/>
  <c r="H63" i="2"/>
  <c r="I63" i="2"/>
  <c r="P78" i="2"/>
  <c r="P77" i="2"/>
  <c r="B65" i="2" l="1"/>
  <c r="M65" i="2"/>
  <c r="N65" i="2" s="1"/>
  <c r="E65" i="2"/>
  <c r="A65" i="2"/>
  <c r="F65" i="2"/>
  <c r="D66" i="2"/>
  <c r="G65" i="2"/>
  <c r="U59" i="2"/>
  <c r="H64" i="2"/>
  <c r="I64" i="2"/>
  <c r="C60" i="2"/>
  <c r="M66" i="2" l="1"/>
  <c r="N66" i="2" s="1"/>
  <c r="B66" i="2"/>
  <c r="G66" i="2"/>
  <c r="E66" i="2"/>
  <c r="D67" i="2"/>
  <c r="A66" i="2"/>
  <c r="F66" i="2"/>
  <c r="I65" i="2"/>
  <c r="H65" i="2"/>
  <c r="P80" i="2"/>
  <c r="P79" i="2"/>
  <c r="M67" i="2" l="1"/>
  <c r="N67" i="2" s="1"/>
  <c r="B67" i="2"/>
  <c r="A67" i="2"/>
  <c r="G67" i="2"/>
  <c r="E67" i="2"/>
  <c r="D68" i="2"/>
  <c r="F67" i="2"/>
  <c r="H66" i="2"/>
  <c r="I66" i="2"/>
  <c r="B68" i="2" l="1"/>
  <c r="M68" i="2"/>
  <c r="N68" i="2" s="1"/>
  <c r="H67" i="2"/>
  <c r="I67" i="2"/>
  <c r="E68" i="2"/>
  <c r="F68" i="2"/>
  <c r="D69" i="2"/>
  <c r="A68" i="2"/>
  <c r="G68" i="2"/>
  <c r="T77" i="2"/>
  <c r="P81" i="2"/>
  <c r="B69" i="2" l="1"/>
  <c r="M69" i="2"/>
  <c r="N69" i="2" s="1"/>
  <c r="A69" i="2"/>
  <c r="G69" i="2"/>
  <c r="E69" i="2"/>
  <c r="D70" i="2"/>
  <c r="F69" i="2"/>
  <c r="I68" i="2"/>
  <c r="H68" i="2"/>
  <c r="P82" i="2"/>
  <c r="M70" i="2" l="1"/>
  <c r="N70" i="2" s="1"/>
  <c r="B70" i="2"/>
  <c r="E70" i="2"/>
  <c r="F70" i="2"/>
  <c r="A70" i="2"/>
  <c r="G70" i="2"/>
  <c r="D71" i="2"/>
  <c r="H69" i="2"/>
  <c r="I69" i="2"/>
  <c r="B71" i="2" l="1"/>
  <c r="M71" i="2"/>
  <c r="N71" i="2" s="1"/>
  <c r="A71" i="2"/>
  <c r="F71" i="2"/>
  <c r="D72" i="2"/>
  <c r="G71" i="2"/>
  <c r="E71" i="2"/>
  <c r="I70" i="2"/>
  <c r="H70" i="2"/>
  <c r="U65" i="2"/>
  <c r="C66" i="2"/>
  <c r="B72" i="2" l="1"/>
  <c r="M72" i="2"/>
  <c r="N72" i="2" s="1"/>
  <c r="H71" i="2"/>
  <c r="I71" i="2"/>
  <c r="E72" i="2"/>
  <c r="A72" i="2"/>
  <c r="F72" i="2"/>
  <c r="D73" i="2"/>
  <c r="G72" i="2"/>
  <c r="B73" i="2" l="1"/>
  <c r="M73" i="2"/>
  <c r="N73" i="2" s="1"/>
  <c r="H72" i="2"/>
  <c r="I72" i="2"/>
  <c r="A73" i="2"/>
  <c r="G73" i="2"/>
  <c r="E73" i="2"/>
  <c r="F73" i="2"/>
  <c r="D74" i="2"/>
  <c r="M74" i="2" l="1"/>
  <c r="N74" i="2" s="1"/>
  <c r="B74" i="2"/>
  <c r="E74" i="2"/>
  <c r="F74" i="2"/>
  <c r="G74" i="2"/>
  <c r="D75" i="2"/>
  <c r="A74" i="2"/>
  <c r="H73" i="2"/>
  <c r="I73" i="2"/>
  <c r="M75" i="2" l="1"/>
  <c r="N75" i="2" s="1"/>
  <c r="B75" i="2"/>
  <c r="A75" i="2"/>
  <c r="G75" i="2"/>
  <c r="D76" i="2"/>
  <c r="E75" i="2"/>
  <c r="F75" i="2"/>
  <c r="I74" i="2"/>
  <c r="H74" i="2"/>
  <c r="B76" i="2" l="1"/>
  <c r="M76" i="2"/>
  <c r="N76" i="2" s="1"/>
  <c r="H75" i="2"/>
  <c r="I75" i="2"/>
  <c r="E76" i="2"/>
  <c r="A76" i="2"/>
  <c r="F76" i="2"/>
  <c r="G76" i="2"/>
  <c r="D77" i="2"/>
  <c r="B77" i="2" l="1"/>
  <c r="M77" i="2"/>
  <c r="N77" i="2" s="1"/>
  <c r="I76" i="2"/>
  <c r="H76" i="2"/>
  <c r="C72" i="2"/>
  <c r="A77" i="2"/>
  <c r="G77" i="2"/>
  <c r="F77" i="2"/>
  <c r="D78" i="2"/>
  <c r="E77" i="2"/>
  <c r="U71" i="2"/>
  <c r="M78" i="2" l="1"/>
  <c r="N78" i="2" s="1"/>
  <c r="B78" i="2"/>
  <c r="H77" i="2"/>
  <c r="I77" i="2"/>
  <c r="A78" i="2"/>
  <c r="E78" i="2"/>
  <c r="G78" i="2"/>
  <c r="D79" i="2"/>
  <c r="F78" i="2"/>
  <c r="M79" i="2" l="1"/>
  <c r="N79" i="2" s="1"/>
  <c r="B79" i="2"/>
  <c r="A79" i="2"/>
  <c r="E79" i="2"/>
  <c r="D80" i="2"/>
  <c r="G79" i="2"/>
  <c r="F79" i="2"/>
  <c r="I78" i="2"/>
  <c r="H78" i="2"/>
  <c r="B80" i="2" l="1"/>
  <c r="M80" i="2"/>
  <c r="N80" i="2" s="1"/>
  <c r="A80" i="2"/>
  <c r="E80" i="2"/>
  <c r="G80" i="2"/>
  <c r="D81" i="2"/>
  <c r="F80" i="2"/>
  <c r="H79" i="2"/>
  <c r="I79" i="2"/>
  <c r="B81" i="2" l="1"/>
  <c r="M81" i="2"/>
  <c r="N81" i="2" s="1"/>
  <c r="I80" i="2"/>
  <c r="H80" i="2"/>
  <c r="A81" i="2"/>
  <c r="G81" i="2"/>
  <c r="F81" i="2"/>
  <c r="E81" i="2"/>
  <c r="D82" i="2"/>
  <c r="M82" i="2" l="1"/>
  <c r="N82" i="2" s="1"/>
  <c r="B82" i="2"/>
  <c r="A82" i="2"/>
  <c r="G82" i="2"/>
  <c r="D83" i="2"/>
  <c r="M83" i="2" s="1"/>
  <c r="F82" i="2"/>
  <c r="E82" i="2"/>
  <c r="H81" i="2"/>
  <c r="I81" i="2"/>
  <c r="N83" i="2" l="1"/>
  <c r="U77" i="2"/>
  <c r="B83" i="2"/>
  <c r="G83" i="2"/>
  <c r="F83" i="2"/>
  <c r="D84" i="2"/>
  <c r="M84" i="2" s="1"/>
  <c r="N84" i="2" s="1"/>
  <c r="A83" i="2"/>
  <c r="V83" i="2" s="1"/>
  <c r="E83" i="2"/>
  <c r="C78" i="2"/>
  <c r="H82" i="2"/>
  <c r="I82" i="2"/>
  <c r="B84" i="2" l="1"/>
  <c r="D85" i="2"/>
  <c r="M85" i="2" s="1"/>
  <c r="A84" i="2"/>
  <c r="G84" i="2"/>
  <c r="F84" i="2"/>
  <c r="E84" i="2"/>
  <c r="H83" i="2"/>
  <c r="I83" i="2"/>
  <c r="N85" i="2" l="1"/>
  <c r="I84" i="2"/>
  <c r="H84" i="2"/>
  <c r="B85" i="2"/>
  <c r="G85" i="2"/>
  <c r="A85" i="2"/>
  <c r="F85" i="2"/>
  <c r="E85" i="2"/>
  <c r="D86" i="2"/>
  <c r="M86" i="2" s="1"/>
  <c r="N86" i="2" s="1"/>
  <c r="I85" i="2" l="1"/>
  <c r="H85" i="2"/>
  <c r="B86" i="2"/>
  <c r="G86" i="2"/>
  <c r="D87" i="2"/>
  <c r="M87" i="2" s="1"/>
  <c r="A86" i="2"/>
  <c r="F86" i="2"/>
  <c r="E86" i="2"/>
  <c r="N87" i="2" l="1"/>
  <c r="H86" i="2"/>
  <c r="I86" i="2"/>
  <c r="B87" i="2"/>
  <c r="G87" i="2"/>
  <c r="F87" i="2"/>
  <c r="D88" i="2"/>
  <c r="M88" i="2" s="1"/>
  <c r="N88" i="2" s="1"/>
  <c r="A87" i="2"/>
  <c r="E87" i="2"/>
  <c r="U83" i="2" l="1"/>
  <c r="H87" i="2"/>
  <c r="I87" i="2"/>
  <c r="B88" i="2"/>
  <c r="D89" i="2"/>
  <c r="M89" i="2" s="1"/>
  <c r="A88" i="2"/>
  <c r="G88" i="2"/>
  <c r="E88" i="2"/>
  <c r="F88" i="2"/>
  <c r="N89" i="2" l="1"/>
  <c r="B89" i="2"/>
  <c r="E89" i="2"/>
  <c r="D90" i="2"/>
  <c r="M90" i="2" s="1"/>
  <c r="N90" i="2" s="1"/>
  <c r="A89" i="2"/>
  <c r="V89" i="2" s="1"/>
  <c r="G89" i="2"/>
  <c r="F89" i="2"/>
  <c r="C84" i="2"/>
  <c r="I88" i="2"/>
  <c r="H88" i="2"/>
  <c r="E90" i="2" l="1"/>
  <c r="A90" i="2"/>
  <c r="G90" i="2"/>
  <c r="D91" i="2"/>
  <c r="N91" i="2" s="1"/>
  <c r="B90" i="2"/>
  <c r="F90" i="2"/>
  <c r="H89" i="2"/>
  <c r="I89" i="2"/>
  <c r="B91" i="2" l="1"/>
  <c r="F91" i="2"/>
  <c r="D92" i="2"/>
  <c r="M92" i="2" s="1"/>
  <c r="N92" i="2" s="1"/>
  <c r="G91" i="2"/>
  <c r="A91" i="2"/>
  <c r="E91" i="2"/>
  <c r="I90" i="2"/>
  <c r="H90" i="2"/>
  <c r="I91" i="2" l="1"/>
  <c r="H91" i="2"/>
  <c r="B92" i="2"/>
  <c r="E92" i="2"/>
  <c r="D93" i="2"/>
  <c r="M93" i="2" s="1"/>
  <c r="A92" i="2"/>
  <c r="G92" i="2"/>
  <c r="F92" i="2"/>
  <c r="N93" i="2" l="1"/>
  <c r="B93" i="2"/>
  <c r="A93" i="2"/>
  <c r="G93" i="2"/>
  <c r="F93" i="2"/>
  <c r="E93" i="2"/>
  <c r="D94" i="2"/>
  <c r="M94" i="2" s="1"/>
  <c r="N94" i="2" s="1"/>
  <c r="I92" i="2"/>
  <c r="H92" i="2"/>
  <c r="U89" i="2" l="1"/>
  <c r="B94" i="2"/>
  <c r="G94" i="2"/>
  <c r="D95" i="2"/>
  <c r="M95" i="2" s="1"/>
  <c r="N95" i="2" s="1"/>
  <c r="A94" i="2"/>
  <c r="F94" i="2"/>
  <c r="E94" i="2"/>
  <c r="C90" i="2" s="1"/>
  <c r="I93" i="2"/>
  <c r="H93" i="2"/>
  <c r="I94" i="2" l="1"/>
  <c r="H94" i="2"/>
  <c r="B95" i="2"/>
  <c r="F95" i="2"/>
  <c r="D96" i="2"/>
  <c r="M96" i="2" s="1"/>
  <c r="N96" i="2" s="1"/>
  <c r="A95" i="2"/>
  <c r="V95" i="2" s="1"/>
  <c r="E95" i="2"/>
  <c r="G95" i="2"/>
  <c r="I95" i="2" l="1"/>
  <c r="H95" i="2"/>
  <c r="B96" i="2"/>
  <c r="A96" i="2"/>
  <c r="G96" i="2"/>
  <c r="F96" i="2"/>
  <c r="E96" i="2"/>
  <c r="D97" i="2"/>
  <c r="M97" i="2" s="1"/>
  <c r="N97" i="2" s="1"/>
  <c r="G97" i="2" l="1"/>
  <c r="A97" i="2"/>
  <c r="F97" i="2"/>
  <c r="B97" i="2"/>
  <c r="E97" i="2"/>
  <c r="D98" i="2"/>
  <c r="M98" i="2" s="1"/>
  <c r="N98" i="2" s="1"/>
  <c r="I96" i="2"/>
  <c r="H96" i="2"/>
  <c r="A98" i="2" l="1"/>
  <c r="E98" i="2"/>
  <c r="G98" i="2"/>
  <c r="D99" i="2"/>
  <c r="M99" i="2" s="1"/>
  <c r="N99" i="2" s="1"/>
  <c r="B98" i="2"/>
  <c r="F98" i="2"/>
  <c r="H97" i="2"/>
  <c r="I97" i="2"/>
  <c r="H98" i="2" l="1"/>
  <c r="I98" i="2"/>
  <c r="B99" i="2"/>
  <c r="G99" i="2"/>
  <c r="F99" i="2"/>
  <c r="D100" i="2"/>
  <c r="A99" i="2"/>
  <c r="E99" i="2"/>
  <c r="D101" i="2" l="1"/>
  <c r="M100" i="2"/>
  <c r="N100" i="2" s="1"/>
  <c r="H99" i="2"/>
  <c r="I99" i="2"/>
  <c r="B100" i="2"/>
  <c r="A100" i="2"/>
  <c r="G100" i="2"/>
  <c r="E100" i="2"/>
  <c r="C96" i="2" s="1"/>
  <c r="F100" i="2"/>
  <c r="U95" i="2" l="1"/>
  <c r="D102" i="2"/>
  <c r="M101" i="2"/>
  <c r="N101" i="2" s="1"/>
  <c r="B101" i="2"/>
  <c r="E101" i="2"/>
  <c r="A101" i="2"/>
  <c r="V101" i="2" s="1"/>
  <c r="G101" i="2"/>
  <c r="F101" i="2"/>
  <c r="I100" i="2"/>
  <c r="H100" i="2"/>
  <c r="D103" i="2" l="1"/>
  <c r="M102" i="2"/>
  <c r="N102" i="2" s="1"/>
  <c r="B102" i="2"/>
  <c r="A102" i="2"/>
  <c r="E102" i="2"/>
  <c r="G102" i="2"/>
  <c r="F102" i="2"/>
  <c r="H101" i="2"/>
  <c r="I101" i="2"/>
  <c r="D104" i="2" l="1"/>
  <c r="M103" i="2"/>
  <c r="N103" i="2" s="1"/>
  <c r="I102" i="2"/>
  <c r="H102" i="2"/>
  <c r="B103" i="2"/>
  <c r="E103" i="2"/>
  <c r="A103" i="2"/>
  <c r="G103" i="2"/>
  <c r="F103" i="2"/>
  <c r="D105" i="2" l="1"/>
  <c r="M104" i="2"/>
  <c r="N104" i="2" s="1"/>
  <c r="B104" i="2"/>
  <c r="G104" i="2"/>
  <c r="F104" i="2"/>
  <c r="A104" i="2"/>
  <c r="E104" i="2"/>
  <c r="I103" i="2"/>
  <c r="H103" i="2"/>
  <c r="D106" i="2" l="1"/>
  <c r="M106" i="2" s="1"/>
  <c r="N106" i="2" s="1"/>
  <c r="M105" i="2"/>
  <c r="N105" i="2" s="1"/>
  <c r="I104" i="2"/>
  <c r="H104" i="2"/>
  <c r="B105" i="2"/>
  <c r="A105" i="2"/>
  <c r="F105" i="2"/>
  <c r="E105" i="2"/>
  <c r="G105" i="2"/>
  <c r="H105" i="2" l="1"/>
  <c r="I105" i="2"/>
  <c r="B106" i="2"/>
  <c r="E106" i="2"/>
  <c r="G106" i="2"/>
  <c r="D107" i="2"/>
  <c r="M107" i="2" s="1"/>
  <c r="N107" i="2" s="1"/>
  <c r="A106" i="2"/>
  <c r="F106" i="2"/>
  <c r="U101" i="2"/>
  <c r="C102" i="2" l="1"/>
  <c r="I106" i="2"/>
  <c r="H106" i="2"/>
  <c r="B107" i="2"/>
  <c r="F107" i="2"/>
  <c r="D108" i="2"/>
  <c r="M108" i="2" s="1"/>
  <c r="N108" i="2" s="1"/>
  <c r="A107" i="2"/>
  <c r="V107" i="2" s="1"/>
  <c r="E107" i="2"/>
  <c r="G107" i="2"/>
  <c r="I107" i="2" l="1"/>
  <c r="H107" i="2"/>
  <c r="A108" i="2"/>
  <c r="B108" i="2"/>
  <c r="G108" i="2"/>
  <c r="D109" i="2"/>
  <c r="M109" i="2" s="1"/>
  <c r="N109" i="2" s="1"/>
  <c r="F108" i="2"/>
  <c r="E108" i="2"/>
  <c r="A109" i="2" l="1"/>
  <c r="E109" i="2"/>
  <c r="G109" i="2"/>
  <c r="B109" i="2"/>
  <c r="D110" i="2"/>
  <c r="M110" i="2" s="1"/>
  <c r="N110" i="2" s="1"/>
  <c r="F109" i="2"/>
  <c r="I108" i="2"/>
  <c r="H108" i="2"/>
  <c r="I109" i="2" l="1"/>
  <c r="H109" i="2"/>
  <c r="B110" i="2"/>
  <c r="A110" i="2"/>
  <c r="F110" i="2"/>
  <c r="E110" i="2"/>
  <c r="G110" i="2"/>
  <c r="D111" i="2"/>
  <c r="M111" i="2" s="1"/>
  <c r="N111" i="2" s="1"/>
  <c r="I110" i="2" l="1"/>
  <c r="H110" i="2"/>
  <c r="B111" i="2"/>
  <c r="A111" i="2"/>
  <c r="G111" i="2"/>
  <c r="F111" i="2"/>
  <c r="E111" i="2"/>
  <c r="D112" i="2"/>
  <c r="M112" i="2" s="1"/>
  <c r="N112" i="2" s="1"/>
  <c r="B112" i="2" l="1"/>
  <c r="D113" i="2"/>
  <c r="M113" i="2" s="1"/>
  <c r="N113" i="2" s="1"/>
  <c r="U107" i="2"/>
  <c r="G112" i="2"/>
  <c r="F112" i="2"/>
  <c r="A112" i="2"/>
  <c r="E112" i="2"/>
  <c r="H111" i="2"/>
  <c r="I111" i="2"/>
  <c r="C108" i="2" l="1"/>
  <c r="I112" i="2"/>
  <c r="H112" i="2"/>
  <c r="B113" i="2"/>
  <c r="E113" i="2"/>
  <c r="D114" i="2"/>
  <c r="M114" i="2" s="1"/>
  <c r="N114" i="2" s="1"/>
  <c r="A113" i="2"/>
  <c r="V113" i="2" s="1"/>
  <c r="G113" i="2"/>
  <c r="F113" i="2"/>
  <c r="B114" i="2" l="1"/>
  <c r="A114" i="2"/>
  <c r="G114" i="2"/>
  <c r="F114" i="2"/>
  <c r="E114" i="2"/>
  <c r="D115" i="2"/>
  <c r="M115" i="2" s="1"/>
  <c r="N115" i="2" s="1"/>
  <c r="I113" i="2"/>
  <c r="H113" i="2"/>
  <c r="B115" i="2" l="1"/>
  <c r="F115" i="2"/>
  <c r="E115" i="2"/>
  <c r="D116" i="2"/>
  <c r="M116" i="2" s="1"/>
  <c r="N116" i="2" s="1"/>
  <c r="A115" i="2"/>
  <c r="G115" i="2"/>
  <c r="H114" i="2"/>
  <c r="I114" i="2"/>
  <c r="I115" i="2" l="1"/>
  <c r="H115" i="2"/>
  <c r="B116" i="2"/>
  <c r="F116" i="2"/>
  <c r="D117" i="2"/>
  <c r="M117" i="2" s="1"/>
  <c r="N117" i="2" s="1"/>
  <c r="A116" i="2"/>
  <c r="E116" i="2"/>
  <c r="G116" i="2"/>
  <c r="I116" i="2" l="1"/>
  <c r="H116" i="2"/>
  <c r="B117" i="2"/>
  <c r="E117" i="2"/>
  <c r="F117" i="2"/>
  <c r="D118" i="2"/>
  <c r="A117" i="2"/>
  <c r="G117" i="2"/>
  <c r="M118" i="2" l="1"/>
  <c r="N118" i="2" s="1"/>
  <c r="D119" i="2"/>
  <c r="B118" i="2"/>
  <c r="A118" i="2"/>
  <c r="AC4" i="2" s="1"/>
  <c r="E118" i="2"/>
  <c r="G118" i="2"/>
  <c r="F118" i="2"/>
  <c r="I117" i="2"/>
  <c r="H117" i="2"/>
  <c r="U113" i="2" l="1"/>
  <c r="D120" i="2"/>
  <c r="M119" i="2"/>
  <c r="G119" i="2"/>
  <c r="E119" i="2"/>
  <c r="F119" i="2"/>
  <c r="R4" i="2"/>
  <c r="AC3" i="2" s="1"/>
  <c r="C114" i="2"/>
  <c r="I118" i="2"/>
  <c r="H118" i="2"/>
  <c r="N119" i="2" l="1"/>
  <c r="M120" i="2"/>
  <c r="N120" i="2" s="1"/>
  <c r="F120" i="2"/>
  <c r="D121" i="2"/>
  <c r="E120" i="2"/>
  <c r="G120" i="2"/>
  <c r="I119" i="2"/>
  <c r="H119" i="2"/>
  <c r="Z1" i="2"/>
  <c r="I120" i="2" l="1"/>
  <c r="H120" i="2"/>
  <c r="M121" i="2"/>
  <c r="N121" i="2" s="1"/>
  <c r="E121" i="2"/>
  <c r="G121" i="2"/>
  <c r="F121" i="2"/>
  <c r="D122" i="2"/>
  <c r="M122" i="2" l="1"/>
  <c r="N122" i="2" s="1"/>
  <c r="G122" i="2"/>
  <c r="F122" i="2"/>
  <c r="D123" i="2"/>
  <c r="E122" i="2"/>
  <c r="H121" i="2"/>
  <c r="I121" i="2"/>
  <c r="F4" i="2"/>
  <c r="D2" i="4" s="1"/>
  <c r="G4" i="2"/>
  <c r="M123" i="2" l="1"/>
  <c r="D124" i="2"/>
  <c r="E123" i="2"/>
  <c r="G123" i="2"/>
  <c r="F123" i="2"/>
  <c r="I122" i="2"/>
  <c r="H122" i="2"/>
  <c r="E4" i="2"/>
  <c r="D3" i="4" s="1"/>
  <c r="D5" i="4" s="1"/>
  <c r="H123" i="2" l="1"/>
  <c r="I123" i="2"/>
  <c r="M124" i="2"/>
  <c r="N124" i="2" s="1"/>
  <c r="E124" i="2"/>
  <c r="D125" i="2"/>
  <c r="G124" i="2"/>
  <c r="F124" i="2"/>
  <c r="N123" i="2"/>
  <c r="D4" i="4"/>
  <c r="H4" i="2"/>
  <c r="I4" i="2"/>
  <c r="C120" i="2" l="1"/>
  <c r="H124" i="2"/>
  <c r="I124" i="2"/>
  <c r="U119" i="2"/>
  <c r="M125" i="2"/>
  <c r="E125" i="2"/>
  <c r="G125" i="2"/>
  <c r="F125" i="2"/>
  <c r="D126" i="2"/>
  <c r="D6" i="4"/>
  <c r="I125" i="2" l="1"/>
  <c r="H125" i="2"/>
  <c r="M126" i="2"/>
  <c r="N126" i="2" s="1"/>
  <c r="F126" i="2"/>
  <c r="G126" i="2"/>
  <c r="E126" i="2"/>
  <c r="D127" i="2"/>
  <c r="N125" i="2"/>
  <c r="V47" i="2"/>
  <c r="H126" i="2" l="1"/>
  <c r="I126" i="2"/>
  <c r="M127" i="2"/>
  <c r="N127" i="2" s="1"/>
  <c r="E127" i="2"/>
  <c r="F127" i="2"/>
  <c r="D128" i="2"/>
  <c r="G127" i="2"/>
  <c r="V17" i="2"/>
  <c r="V41" i="2"/>
  <c r="V35" i="2"/>
  <c r="V29" i="2"/>
  <c r="V23" i="2"/>
  <c r="V77" i="2"/>
  <c r="V71" i="2"/>
  <c r="V65" i="2"/>
  <c r="V59" i="2"/>
  <c r="V53" i="2"/>
  <c r="I127" i="2" l="1"/>
  <c r="H127" i="2"/>
  <c r="M128" i="2"/>
  <c r="F128" i="2"/>
  <c r="D129" i="2"/>
  <c r="E128" i="2"/>
  <c r="G128" i="2"/>
  <c r="M129" i="2" l="1"/>
  <c r="N129" i="2" s="1"/>
  <c r="E129" i="2"/>
  <c r="G129" i="2"/>
  <c r="D130" i="2"/>
  <c r="C2" i="4" s="1"/>
  <c r="F129" i="2"/>
  <c r="I128" i="2"/>
  <c r="H128" i="2"/>
  <c r="N128" i="2"/>
  <c r="C3" i="4" l="1"/>
  <c r="C4" i="4" s="1"/>
  <c r="C7" i="4"/>
  <c r="H129" i="2"/>
  <c r="I129" i="2"/>
  <c r="M130" i="2"/>
  <c r="F130" i="2"/>
  <c r="G130" i="2"/>
  <c r="E130" i="2"/>
  <c r="Z2" i="2" s="1"/>
  <c r="C5" i="4" l="1"/>
  <c r="C6" i="4" s="1"/>
  <c r="H130" i="2"/>
  <c r="I130" i="2"/>
  <c r="N130" i="2"/>
  <c r="U125" i="2"/>
  <c r="AC1" i="2"/>
  <c r="C14" i="20" l="1"/>
  <c r="C26" i="20"/>
  <c r="C28" i="20"/>
  <c r="C68" i="20"/>
  <c r="C61" i="20"/>
  <c r="C27" i="20"/>
  <c r="C33" i="20"/>
  <c r="C102" i="20"/>
  <c r="C34" i="20"/>
  <c r="C22" i="20"/>
  <c r="C44" i="20"/>
  <c r="C51" i="20"/>
  <c r="C16" i="20"/>
  <c r="C40" i="20"/>
  <c r="C67" i="20"/>
  <c r="C12" i="20"/>
  <c r="D12" i="20" s="1"/>
  <c r="G12" i="20" s="1"/>
  <c r="C56" i="20"/>
  <c r="C50" i="20"/>
  <c r="C58" i="20"/>
  <c r="C25" i="20"/>
  <c r="C46" i="20"/>
  <c r="C30" i="20"/>
  <c r="C39" i="20"/>
  <c r="C69" i="20"/>
  <c r="C70" i="20"/>
  <c r="C103" i="20"/>
  <c r="C57" i="20"/>
  <c r="C31" i="20"/>
  <c r="C52" i="20"/>
  <c r="C18" i="20"/>
  <c r="C15" i="20"/>
  <c r="C24" i="20"/>
  <c r="C36" i="20"/>
  <c r="C100" i="20"/>
  <c r="C13" i="20"/>
  <c r="C45" i="20"/>
  <c r="C32" i="20"/>
  <c r="C79" i="20"/>
  <c r="C60" i="20"/>
  <c r="C104" i="20"/>
  <c r="C19" i="20"/>
  <c r="C62" i="20"/>
  <c r="C64" i="20"/>
  <c r="C38" i="20"/>
  <c r="C37" i="20"/>
  <c r="C48" i="20"/>
  <c r="C63" i="20"/>
  <c r="Q4" i="2"/>
  <c r="Z3" i="2" s="1"/>
  <c r="Z4" i="2"/>
  <c r="D13" i="20" l="1"/>
  <c r="G13" i="20" s="1"/>
  <c r="P4" i="2"/>
  <c r="W89" i="2" s="1"/>
  <c r="D14" i="20" l="1"/>
  <c r="G14" i="20" s="1"/>
  <c r="W83" i="2"/>
  <c r="W113" i="2"/>
  <c r="W125" i="2"/>
  <c r="W95" i="2"/>
  <c r="W101" i="2"/>
  <c r="W107" i="2"/>
  <c r="W119" i="2"/>
  <c r="D15" i="20" l="1"/>
  <c r="G15" i="20" s="1"/>
  <c r="D16" i="20" l="1"/>
  <c r="D17" i="20" s="1"/>
  <c r="G16" i="20" l="1"/>
  <c r="G17" i="20"/>
  <c r="D18" i="20"/>
  <c r="G18" i="20" l="1"/>
  <c r="D19" i="20"/>
  <c r="D20" i="20" l="1"/>
  <c r="G19" i="20"/>
  <c r="D21" i="20" l="1"/>
  <c r="G20" i="20"/>
  <c r="G21" i="20" l="1"/>
  <c r="D22" i="20"/>
  <c r="D23" i="20" l="1"/>
  <c r="G22" i="20"/>
  <c r="G23" i="20" l="1"/>
  <c r="D24" i="20"/>
  <c r="G24" i="20" l="1"/>
  <c r="D25" i="20"/>
  <c r="G25" i="20" l="1"/>
  <c r="D26" i="20"/>
  <c r="G26" i="20" l="1"/>
  <c r="D27" i="20"/>
  <c r="G27" i="20" l="1"/>
  <c r="D28" i="20"/>
  <c r="D29" i="20" l="1"/>
  <c r="G28" i="20"/>
  <c r="G29" i="20" l="1"/>
  <c r="D30" i="20"/>
  <c r="G30" i="20" l="1"/>
  <c r="D31" i="20"/>
  <c r="G31" i="20" l="1"/>
  <c r="D32" i="20"/>
  <c r="G32" i="20" l="1"/>
  <c r="D33" i="20"/>
  <c r="G33" i="20" l="1"/>
  <c r="D34" i="20"/>
  <c r="D35" i="20" l="1"/>
  <c r="G34" i="20"/>
  <c r="G35" i="20" l="1"/>
  <c r="D36" i="20"/>
  <c r="G36" i="20" l="1"/>
  <c r="D37" i="20"/>
  <c r="G37" i="20" l="1"/>
  <c r="D38" i="20"/>
  <c r="G38" i="20" l="1"/>
  <c r="D39" i="20"/>
  <c r="G39" i="20" l="1"/>
  <c r="D40" i="20"/>
  <c r="D41" i="20" l="1"/>
  <c r="G40" i="20"/>
  <c r="D42" i="20" l="1"/>
  <c r="G41" i="20"/>
  <c r="D43" i="20" l="1"/>
  <c r="G42" i="20"/>
  <c r="G43" i="20" l="1"/>
  <c r="D44" i="20"/>
  <c r="G44" i="20" l="1"/>
  <c r="D45" i="20"/>
  <c r="G45" i="20" l="1"/>
  <c r="D46" i="20"/>
  <c r="D47" i="20" l="1"/>
  <c r="G46" i="20"/>
  <c r="G47" i="20" l="1"/>
  <c r="D48" i="20"/>
  <c r="D49" i="20" l="1"/>
  <c r="G48" i="20"/>
  <c r="G49" i="20" l="1"/>
  <c r="D50" i="20"/>
  <c r="G50" i="20" l="1"/>
  <c r="D51" i="20"/>
  <c r="G51" i="20" l="1"/>
  <c r="D52" i="20"/>
  <c r="D53" i="20" l="1"/>
  <c r="G52" i="20"/>
  <c r="D54" i="20" l="1"/>
  <c r="G53" i="20"/>
  <c r="D55" i="20" l="1"/>
  <c r="G54" i="20"/>
  <c r="G55" i="20" l="1"/>
  <c r="D56" i="20"/>
  <c r="G56" i="20" l="1"/>
  <c r="D57" i="20"/>
  <c r="G57" i="20" l="1"/>
  <c r="D58" i="20"/>
  <c r="D59" i="20" l="1"/>
  <c r="G58" i="20"/>
  <c r="G59" i="20" l="1"/>
  <c r="D60" i="20"/>
  <c r="G60" i="20" l="1"/>
  <c r="D61" i="20"/>
  <c r="G61" i="20" l="1"/>
  <c r="D62" i="20"/>
  <c r="G62" i="20" l="1"/>
  <c r="D63" i="20"/>
  <c r="G63" i="20" l="1"/>
  <c r="D64" i="20"/>
  <c r="D65" i="20" l="1"/>
  <c r="G64" i="20"/>
  <c r="D66" i="20" l="1"/>
  <c r="G65" i="20"/>
  <c r="G66" i="20" l="1"/>
  <c r="D67" i="20"/>
  <c r="G67" i="20" l="1"/>
  <c r="D68" i="20"/>
  <c r="G68" i="20" l="1"/>
  <c r="D69" i="20"/>
  <c r="G69" i="20" l="1"/>
  <c r="D70" i="20"/>
  <c r="D71" i="20" l="1"/>
  <c r="G70" i="20"/>
  <c r="D72" i="20" l="1"/>
  <c r="G71" i="20"/>
  <c r="D73" i="20" l="1"/>
  <c r="G72" i="20"/>
  <c r="D74" i="20" l="1"/>
  <c r="G73" i="20"/>
  <c r="D75" i="20" l="1"/>
  <c r="G74" i="20"/>
  <c r="D76" i="20" l="1"/>
  <c r="G75" i="20"/>
  <c r="D77" i="20" l="1"/>
  <c r="G76" i="20"/>
  <c r="D78" i="20" l="1"/>
  <c r="G77" i="20"/>
  <c r="G78" i="20" l="1"/>
  <c r="D79" i="20"/>
  <c r="G79" i="20" l="1"/>
  <c r="D80" i="20"/>
  <c r="D81" i="20" l="1"/>
  <c r="G80" i="20"/>
  <c r="D82" i="20" l="1"/>
  <c r="G81" i="20"/>
  <c r="D83" i="20" l="1"/>
  <c r="G82" i="20"/>
  <c r="G83" i="20" l="1"/>
  <c r="D84" i="20"/>
  <c r="G84" i="20" l="1"/>
  <c r="D85" i="20"/>
  <c r="G85" i="20" l="1"/>
  <c r="D86" i="20"/>
  <c r="G86" i="20" l="1"/>
  <c r="D87" i="20"/>
  <c r="D88" i="20" l="1"/>
  <c r="G87" i="20"/>
  <c r="D89" i="20" l="1"/>
  <c r="G88" i="20"/>
  <c r="G89" i="20" l="1"/>
  <c r="D90" i="20"/>
  <c r="G90" i="20" l="1"/>
  <c r="D91" i="20"/>
  <c r="G91" i="20" l="1"/>
  <c r="D92" i="20"/>
  <c r="G92" i="20" l="1"/>
  <c r="D93" i="20"/>
  <c r="D94" i="20" l="1"/>
  <c r="G93" i="20"/>
  <c r="D95" i="20" l="1"/>
  <c r="G94" i="20"/>
  <c r="D96" i="20" l="1"/>
  <c r="G95" i="20"/>
  <c r="D97" i="20" l="1"/>
  <c r="G96" i="20"/>
  <c r="D98" i="20" l="1"/>
  <c r="G97" i="20"/>
  <c r="D99" i="20" l="1"/>
  <c r="G98" i="20"/>
  <c r="G99" i="20" l="1"/>
  <c r="D100" i="20"/>
  <c r="D101" i="20" l="1"/>
  <c r="G100" i="20"/>
  <c r="G101" i="20" l="1"/>
  <c r="D102" i="20"/>
  <c r="D103" i="20" l="1"/>
  <c r="D104" i="20" s="1"/>
  <c r="G102" i="20"/>
  <c r="C2" i="20" l="1"/>
  <c r="C3" i="20" s="1"/>
  <c r="G103" i="20"/>
  <c r="G104" i="20"/>
</calcChain>
</file>

<file path=xl/sharedStrings.xml><?xml version="1.0" encoding="utf-8"?>
<sst xmlns="http://schemas.openxmlformats.org/spreadsheetml/2006/main" count="8063" uniqueCount="1553">
  <si>
    <t>Filename</t>
  </si>
  <si>
    <t>Exam Topic/Paper</t>
  </si>
  <si>
    <t>Code</t>
  </si>
  <si>
    <t>Source</t>
  </si>
  <si>
    <t>Question Num</t>
  </si>
  <si>
    <t>Points</t>
  </si>
  <si>
    <t>Q Page</t>
  </si>
  <si>
    <t>A Page</t>
  </si>
  <si>
    <t>CorrectPts</t>
  </si>
  <si>
    <t>StartTime</t>
  </si>
  <si>
    <t>ElapsedTime</t>
  </si>
  <si>
    <t>Marked</t>
  </si>
  <si>
    <t>Notes</t>
  </si>
  <si>
    <t>AttemptNum</t>
  </si>
  <si>
    <t>ModeCode</t>
  </si>
  <si>
    <t>Exhibits</t>
  </si>
  <si>
    <t>Readings</t>
  </si>
  <si>
    <t>Personal Notes</t>
  </si>
  <si>
    <t>Brosius</t>
  </si>
  <si>
    <t>Clark</t>
  </si>
  <si>
    <t>L.Obj</t>
  </si>
  <si>
    <t>Exclude</t>
  </si>
  <si>
    <t>Problems?</t>
  </si>
  <si>
    <t>Adj. Wt</t>
  </si>
  <si>
    <t>Sel. Wt</t>
  </si>
  <si>
    <t>Speed Goal</t>
  </si>
  <si>
    <t>EndTime</t>
  </si>
  <si>
    <t>Work</t>
  </si>
  <si>
    <t>Avg Speed</t>
  </si>
  <si>
    <t>AdobePath</t>
  </si>
  <si>
    <t>MSWordPath</t>
  </si>
  <si>
    <t>Results_Form.Left</t>
  </si>
  <si>
    <t>Results_Form.Top</t>
  </si>
  <si>
    <t>Computer Name</t>
  </si>
  <si>
    <t>Exam_A_Form.Top</t>
  </si>
  <si>
    <t>Exam_A_Form.Left</t>
  </si>
  <si>
    <t>Exam_Info.Top</t>
  </si>
  <si>
    <t>Exam_Info.Left</t>
  </si>
  <si>
    <t>Exam_Q_Form.Top</t>
  </si>
  <si>
    <t>Exam_Q_Form.Left</t>
  </si>
  <si>
    <t>HW_Form.Top</t>
  </si>
  <si>
    <t>HW_Form.Left</t>
  </si>
  <si>
    <t>Mode_Form.Top</t>
  </si>
  <si>
    <t>Mode_Form.Left</t>
  </si>
  <si>
    <t>Settings1.SettingsTop</t>
  </si>
  <si>
    <t>Settings1.SettingsLeft</t>
  </si>
  <si>
    <t>Settings2.SettingsTop</t>
  </si>
  <si>
    <t>Settings2.SettingsLeft</t>
  </si>
  <si>
    <t>DefaultComputer</t>
  </si>
  <si>
    <t>Speed</t>
  </si>
  <si>
    <t>Daily</t>
  </si>
  <si>
    <t>Score</t>
  </si>
  <si>
    <t>Minutes</t>
  </si>
  <si>
    <t>% Correct</t>
  </si>
  <si>
    <t>(Min per Pt)</t>
  </si>
  <si>
    <t>Goal</t>
  </si>
  <si>
    <t>Remaining</t>
  </si>
  <si>
    <t>TOTALS</t>
  </si>
  <si>
    <t>Day</t>
  </si>
  <si>
    <t>Home (Laptop Screen)</t>
  </si>
  <si>
    <t>Avg Score</t>
  </si>
  <si>
    <t>Points Correct</t>
  </si>
  <si>
    <t>Points Answered</t>
  </si>
  <si>
    <t>Goal Remainder</t>
  </si>
  <si>
    <t>Est Time to Goal</t>
  </si>
  <si>
    <t>Today</t>
  </si>
  <si>
    <t>Lifetime</t>
  </si>
  <si>
    <t>Percent Correct</t>
  </si>
  <si>
    <t>Pages</t>
  </si>
  <si>
    <t>All</t>
  </si>
  <si>
    <t>Confidence</t>
  </si>
  <si>
    <t>Home (Full Screen)</t>
  </si>
  <si>
    <t>Venter</t>
  </si>
  <si>
    <t>Page Cnt</t>
  </si>
  <si>
    <t>Priority</t>
  </si>
  <si>
    <t>Syl Wt</t>
  </si>
  <si>
    <t>Study Val</t>
  </si>
  <si>
    <t>Time in</t>
  </si>
  <si>
    <t>Time Out</t>
  </si>
  <si>
    <t>Total Time</t>
  </si>
  <si>
    <t>Total</t>
  </si>
  <si>
    <t>Time Studied (Hours)</t>
  </si>
  <si>
    <t>Anderson et al</t>
  </si>
  <si>
    <t>Bailey &amp; Simon</t>
  </si>
  <si>
    <t>Bernegger</t>
  </si>
  <si>
    <t>Couret &amp; Venter</t>
  </si>
  <si>
    <t>Fisher</t>
  </si>
  <si>
    <t>Gillam</t>
  </si>
  <si>
    <t>ISO</t>
  </si>
  <si>
    <t>Lee 1</t>
  </si>
  <si>
    <t>Lee 2</t>
  </si>
  <si>
    <t>Mahler 1</t>
  </si>
  <si>
    <t>Mahler 2</t>
  </si>
  <si>
    <t>Mahler 3</t>
  </si>
  <si>
    <t>Miccolis</t>
  </si>
  <si>
    <t>Skurnick</t>
  </si>
  <si>
    <t>Teng</t>
  </si>
  <si>
    <t>Gillam &amp; Snader1</t>
  </si>
  <si>
    <t>Gillam &amp; Snader2</t>
  </si>
  <si>
    <t>Gillam &amp; Snader3</t>
  </si>
  <si>
    <t>Planned Hours</t>
  </si>
  <si>
    <t>Actual Hours</t>
  </si>
  <si>
    <t>NCCI2</t>
  </si>
  <si>
    <t>NCCI3</t>
  </si>
  <si>
    <t>Pg</t>
  </si>
  <si>
    <t>Personal</t>
  </si>
  <si>
    <t>Actual</t>
  </si>
  <si>
    <t>Planned</t>
  </si>
  <si>
    <t>x</t>
  </si>
  <si>
    <t>Sel Probs</t>
  </si>
  <si>
    <t>Planned Points</t>
  </si>
  <si>
    <t>Actual Points</t>
  </si>
  <si>
    <t>TIA Notes</t>
  </si>
  <si>
    <t>Note:</t>
  </si>
  <si>
    <t>Study Hours</t>
  </si>
  <si>
    <t>Weekly</t>
  </si>
  <si>
    <t>Planned Study Time</t>
  </si>
  <si>
    <t>Actual Study Time</t>
  </si>
  <si>
    <t>Original</t>
  </si>
  <si>
    <t>Overall</t>
  </si>
  <si>
    <t>Deficit</t>
  </si>
  <si>
    <t>Problems in Bank</t>
  </si>
  <si>
    <t>Complete</t>
  </si>
  <si>
    <t>Paper/Topic</t>
  </si>
  <si>
    <t>MAX</t>
  </si>
  <si>
    <t>Planned Def/Surp</t>
  </si>
  <si>
    <t>Total Hour Goal</t>
  </si>
  <si>
    <t>Remain</t>
  </si>
  <si>
    <t>Info</t>
  </si>
  <si>
    <t>1st Pass</t>
  </si>
  <si>
    <t>Grossi</t>
  </si>
  <si>
    <t>Work (Laptop)</t>
  </si>
  <si>
    <t>CF Pg Cnt</t>
  </si>
  <si>
    <t>AAA</t>
  </si>
  <si>
    <t>Robertson</t>
  </si>
  <si>
    <t>NCCI1</t>
  </si>
  <si>
    <t>M</t>
  </si>
  <si>
    <t>Fall 1995</t>
  </si>
  <si>
    <t>Fall 1996</t>
  </si>
  <si>
    <t>Fall 1997</t>
  </si>
  <si>
    <t>Fall 1998</t>
  </si>
  <si>
    <t>Fall 1999</t>
  </si>
  <si>
    <t>Fall 2000</t>
  </si>
  <si>
    <t>Fall 2001</t>
  </si>
  <si>
    <t>Fall 2002</t>
  </si>
  <si>
    <t>Fall 2003</t>
  </si>
  <si>
    <t>Fall 2004</t>
  </si>
  <si>
    <t>Spring 2005</t>
  </si>
  <si>
    <t>Fall 2005</t>
  </si>
  <si>
    <t>Spring 2006</t>
  </si>
  <si>
    <t>Fall 2006</t>
  </si>
  <si>
    <t>Fall 2007</t>
  </si>
  <si>
    <t>Spring 2008</t>
  </si>
  <si>
    <t>Fall 2008</t>
  </si>
  <si>
    <t>Fall 2009</t>
  </si>
  <si>
    <t>Fall 1988</t>
  </si>
  <si>
    <t>Fall 1994</t>
  </si>
  <si>
    <t>M_Bernegger</t>
  </si>
  <si>
    <t>M_Brosius</t>
  </si>
  <si>
    <t>M_Couret &amp; Venter</t>
  </si>
  <si>
    <t>M_Fisher</t>
  </si>
  <si>
    <t>M_Gillam &amp; Snader1</t>
  </si>
  <si>
    <t>M_Anderson et al</t>
  </si>
  <si>
    <t>M_Lee 2</t>
  </si>
  <si>
    <t>Fall 1992</t>
  </si>
  <si>
    <t>Spring 2004</t>
  </si>
  <si>
    <t>M_Mahler 2</t>
  </si>
  <si>
    <t>Spring 1993</t>
  </si>
  <si>
    <t>Spring 1995</t>
  </si>
  <si>
    <t>Spring 1996</t>
  </si>
  <si>
    <t>Spring 1997</t>
  </si>
  <si>
    <t>40a</t>
  </si>
  <si>
    <t>Spring 1998</t>
  </si>
  <si>
    <t>Spring 1999</t>
  </si>
  <si>
    <t>33a</t>
  </si>
  <si>
    <t>Spring 2000</t>
  </si>
  <si>
    <t>Spring 2002</t>
  </si>
  <si>
    <t>Spring 1994</t>
  </si>
  <si>
    <t>35a</t>
  </si>
  <si>
    <t>Spring 1992</t>
  </si>
  <si>
    <t>M_AAA</t>
  </si>
  <si>
    <t>M_Mahler 1</t>
  </si>
  <si>
    <t>M_Robertson</t>
  </si>
  <si>
    <t>M_Bailey &amp; Simon</t>
  </si>
  <si>
    <t>M_Miccolis</t>
  </si>
  <si>
    <t>M_Mahler 3</t>
  </si>
  <si>
    <t>M_Gillam &amp; Snader2</t>
  </si>
  <si>
    <t>M_Skurnick</t>
  </si>
  <si>
    <t>M_ISO</t>
  </si>
  <si>
    <t>M_NCCI2</t>
  </si>
  <si>
    <t>M_Gillam</t>
  </si>
  <si>
    <t>M_Venter</t>
  </si>
  <si>
    <t>M_NCCI3</t>
  </si>
  <si>
    <t>Fall 1986</t>
  </si>
  <si>
    <t>M_NCCI1</t>
  </si>
  <si>
    <t>TIA_Bernegger</t>
  </si>
  <si>
    <t>TIA</t>
  </si>
  <si>
    <t>TIA_Clark</t>
  </si>
  <si>
    <t>TIA_Grossi</t>
  </si>
  <si>
    <t>M_AAAM171626</t>
  </si>
  <si>
    <t>M_AAAM35418</t>
  </si>
  <si>
    <t>M_AAAM82524</t>
  </si>
  <si>
    <t>M_AAAM181627</t>
  </si>
  <si>
    <t>M_AAAFall 200811.51543</t>
  </si>
  <si>
    <t>M_Mahler 1M2624271</t>
  </si>
  <si>
    <t>OMIT</t>
  </si>
  <si>
    <t>M_AAAM211628</t>
  </si>
  <si>
    <t>M_Mahler 1M2014065</t>
  </si>
  <si>
    <t>M_Mahler 1M733757</t>
  </si>
  <si>
    <t>M_Mahler 1M1433962</t>
  </si>
  <si>
    <t>M_Mahler 1M413655</t>
  </si>
  <si>
    <t>M_Mahler 1M1323862</t>
  </si>
  <si>
    <t>M_Anderson et alFall 2004342.5113150</t>
  </si>
  <si>
    <t>M_Anderson et alM347106140</t>
  </si>
  <si>
    <t>Anderson 37-39</t>
  </si>
  <si>
    <t>M_Bailey &amp; SimonFall 2008525271</t>
  </si>
  <si>
    <t>M_Bailey &amp; SimonM414055</t>
  </si>
  <si>
    <t>M_Bailey &amp; SimonM614156</t>
  </si>
  <si>
    <t>M_Mahler 1M1013758</t>
  </si>
  <si>
    <t>M_Mahler 1M3064376</t>
  </si>
  <si>
    <t>M_Couret &amp; VenterM713250</t>
  </si>
  <si>
    <t>M_Couret &amp; VenterM523148</t>
  </si>
  <si>
    <t>M_RobertsonM7123844</t>
  </si>
  <si>
    <t>M_Anderson et alM312105137</t>
  </si>
  <si>
    <t>M_Anderson et alM461109145</t>
  </si>
  <si>
    <t>M_Bailey &amp; SimonM1334258</t>
  </si>
  <si>
    <t>M_Bailey &amp; SimonFall 19881114460</t>
  </si>
  <si>
    <t>M_Mahler 1M113555</t>
  </si>
  <si>
    <t>M_Mahler 1Fall 2004315288</t>
  </si>
  <si>
    <t>M_RobertsonM433643</t>
  </si>
  <si>
    <t>M_RobertsonM50.53743</t>
  </si>
  <si>
    <t>M_Couret &amp; VenterM643249</t>
  </si>
  <si>
    <t>M_Gillam &amp; Snader1Fall 1998372.51319</t>
  </si>
  <si>
    <t>M_NCCI2Fall 20004231937</t>
  </si>
  <si>
    <t>M_GillamFall 2008232.54881</t>
  </si>
  <si>
    <t>M_VenterFall 20004322133</t>
  </si>
  <si>
    <t>M_Mahler 1Fall 19982544985</t>
  </si>
  <si>
    <t>M_Lee 1M514467</t>
  </si>
  <si>
    <t>M_Lee 1</t>
  </si>
  <si>
    <t>M_Gillam &amp; Snader2Fall 19963421641</t>
  </si>
  <si>
    <t>M_NCCI3Spring 19923322344</t>
  </si>
  <si>
    <t>M_BrosiusFall 20044322943</t>
  </si>
  <si>
    <t>M_SkurnickM61.54370</t>
  </si>
  <si>
    <t>M_SkurnickFall 2006341.55588</t>
  </si>
  <si>
    <t>M_Lee 2Fall 20041712642</t>
  </si>
  <si>
    <t>M_Mahler 3M322536</t>
  </si>
  <si>
    <t>1 pt problem</t>
  </si>
  <si>
    <t>M_Mahler 2M253144</t>
  </si>
  <si>
    <t>M_MiccolisM3270120</t>
  </si>
  <si>
    <t>M_Gillam &amp; Snader1Fall 19981611319</t>
  </si>
  <si>
    <t>M_NCCI2M111128</t>
  </si>
  <si>
    <t>M_NCCI1Fall 1999111711</t>
  </si>
  <si>
    <t>M_Lee 1Fall 1992815583</t>
  </si>
  <si>
    <t>M_Mahler 1Fall 19981414884</t>
  </si>
  <si>
    <t>M_NCCI3Fall 20024023251</t>
  </si>
  <si>
    <t>M_SkurnickM114159</t>
  </si>
  <si>
    <t>M_VenterFall 1996411729</t>
  </si>
  <si>
    <t>M_VenterM331627</t>
  </si>
  <si>
    <t>pointless</t>
  </si>
  <si>
    <t>M_Lee 1Spring 2006282.564101</t>
  </si>
  <si>
    <t>M_SkurnickFall 20004535284</t>
  </si>
  <si>
    <t>M_ISOM4514470</t>
  </si>
  <si>
    <t>M_Mahler 1Fall 19981314784</t>
  </si>
  <si>
    <t>M_Gillam &amp; Snader1Fall 2000411520</t>
  </si>
  <si>
    <t>M_SkurnickFall 1996614675</t>
  </si>
  <si>
    <t>***</t>
  </si>
  <si>
    <t>M_Gillam &amp; Snader1Fall 1998381.51419</t>
  </si>
  <si>
    <t>M_NCCI3Fall 20023553150</t>
  </si>
  <si>
    <t>M_NCCI3Fall 1996912646</t>
  </si>
  <si>
    <t>M_SkurnickM714370</t>
  </si>
  <si>
    <t>M_NCCI3Fall 20042013452</t>
  </si>
  <si>
    <t>M_NCCI3M541739</t>
  </si>
  <si>
    <t>M_NCCI3Fall 20063033554</t>
  </si>
  <si>
    <t>M_Lee 2Fall 2004412542</t>
  </si>
  <si>
    <t>M_GillamFall 20062634678</t>
  </si>
  <si>
    <t>M_GillamM123451</t>
  </si>
  <si>
    <t>M_Gillam &amp; Snader1M121217</t>
  </si>
  <si>
    <t>M_NCCI1Fall 1999141711</t>
  </si>
  <si>
    <t>M_VenterFall 20043932134</t>
  </si>
  <si>
    <t>M_NCCI1Fall 1999284.5812</t>
  </si>
  <si>
    <t>M_Gillam &amp; Snader1M231217</t>
  </si>
  <si>
    <t>M_Mahler 1M213555</t>
  </si>
  <si>
    <t>M_GillamFall 20041614474</t>
  </si>
  <si>
    <t>M_ISOSpring 20064924470</t>
  </si>
  <si>
    <t>M_Lee 1M314467</t>
  </si>
  <si>
    <t>M_NCCI2M421129</t>
  </si>
  <si>
    <t>M_NCCI2M731332</t>
  </si>
  <si>
    <t>M_VenterFall 19962831829</t>
  </si>
  <si>
    <t>M_NCCI1M22710</t>
  </si>
  <si>
    <t>M_NCCI2Fall 20082542543</t>
  </si>
  <si>
    <t>M_Lee 1M414467</t>
  </si>
  <si>
    <t>M_ISOFall 20044154267</t>
  </si>
  <si>
    <t>M_Gillam &amp; Snader1Fall 1998393.251420</t>
  </si>
  <si>
    <t>M_Mahler 1M513656</t>
  </si>
  <si>
    <t>M_ISOFall 19962123157</t>
  </si>
  <si>
    <t>M_Lee 1Fall 19944135684</t>
  </si>
  <si>
    <t>M_NCCI2Fall 20023322139</t>
  </si>
  <si>
    <t>M_VenterM121525</t>
  </si>
  <si>
    <t>M_NCCI2M911333</t>
  </si>
  <si>
    <t>M_NCCI2Fall 2006243.52242</t>
  </si>
  <si>
    <t>M_Mahler 1Fall 19962014683</t>
  </si>
  <si>
    <t>M_ISOFall 2006284.54571</t>
  </si>
  <si>
    <t>M_Lee 2M312131</t>
  </si>
  <si>
    <t>M_Gillam &amp; Snader1Fall 20004031521</t>
  </si>
  <si>
    <t>M_Gillam &amp; Snader1Fall 1996511218</t>
  </si>
  <si>
    <t>M_SkurnickFall 2006735587</t>
  </si>
  <si>
    <t>M_ISOFall 1998412.53560</t>
  </si>
  <si>
    <t>M_Gillam &amp; Snader2Fall 20021612450</t>
  </si>
  <si>
    <t>M_Lee 1M114467</t>
  </si>
  <si>
    <t>M_SkurnickFall 20083525791</t>
  </si>
  <si>
    <t>M_Mahler 1Fall 20003425087</t>
  </si>
  <si>
    <t>M_VenterFall 20044022235</t>
  </si>
  <si>
    <t>M_BrosiusFall 19863232738</t>
  </si>
  <si>
    <t>M_Lee 1Fall 20024335896</t>
  </si>
  <si>
    <t>M_NCCI2Fall 19983641937</t>
  </si>
  <si>
    <t>M_ISOM212551</t>
  </si>
  <si>
    <t>M_Mahler 1M313555</t>
  </si>
  <si>
    <t>M_Lee 1Fall 19963925687</t>
  </si>
  <si>
    <t>M_NCCI2M221128</t>
  </si>
  <si>
    <t>M_VenterFall 2000312033</t>
  </si>
  <si>
    <t>M_VenterFall 20062722236</t>
  </si>
  <si>
    <t>M_ISOFall 19962233258</t>
  </si>
  <si>
    <t>M_Mahler 2M353146</t>
  </si>
  <si>
    <t>M_Mahler 3M3413453</t>
  </si>
  <si>
    <t>M_SkurnickM214160</t>
  </si>
  <si>
    <t>M_GillamM523554</t>
  </si>
  <si>
    <t>M_SkurnickM844470</t>
  </si>
  <si>
    <t>M_Lee 2M412132</t>
  </si>
  <si>
    <t>M_VenterFall 19981911931</t>
  </si>
  <si>
    <t>M_BrosiusM232634</t>
  </si>
  <si>
    <t>M_Mahler 2Fall 2008203.53763</t>
  </si>
  <si>
    <t>M_Mahler 3M112536</t>
  </si>
  <si>
    <t>M_Gillam &amp; Snader3Spring 1998211931</t>
  </si>
  <si>
    <t>M_Gillam &amp; Snader3</t>
  </si>
  <si>
    <t>M_FisherFall 20044622340</t>
  </si>
  <si>
    <t>M_Gillam &amp; Snader3Spring 19964131628</t>
  </si>
  <si>
    <t>M_FisherFall 20063622441</t>
  </si>
  <si>
    <t>M_Gillam &amp; Snader3Fall 1998612031</t>
  </si>
  <si>
    <t>Exam Mode</t>
  </si>
  <si>
    <t>M_FisherM622037</t>
  </si>
  <si>
    <t>M_TengM111430</t>
  </si>
  <si>
    <t>M_Teng</t>
  </si>
  <si>
    <t>M_FisherM531936</t>
  </si>
  <si>
    <t>M_TengSpring 200090.52236</t>
  </si>
  <si>
    <t>M_TengSpring 20021412438</t>
  </si>
  <si>
    <t>M_TengM211430</t>
  </si>
  <si>
    <t>M_TengFall 2006332.52641</t>
  </si>
  <si>
    <t>M_Gillam &amp; Snader3Fall 19961111729</t>
  </si>
  <si>
    <t>M_Gillam &amp; Snader3Fall 20002012133</t>
  </si>
  <si>
    <t>M_Gillam &amp; Snader3Fall 19963631729</t>
  </si>
  <si>
    <t>M_AAASpring 2006811439</t>
  </si>
  <si>
    <t>M_Bailey &amp; SimonFall 19982634764</t>
  </si>
  <si>
    <t>M_Anderson et alM3594122</t>
  </si>
  <si>
    <t>M_Anderson et alM4194123</t>
  </si>
  <si>
    <t>M_Bailey &amp; SimonFall 19965024663</t>
  </si>
  <si>
    <t>M_Couret &amp; VenterM123040</t>
  </si>
  <si>
    <t>M_MiccolisSpring 200050297161</t>
  </si>
  <si>
    <t>M_Lee 1M214467</t>
  </si>
  <si>
    <t>M_Mahler 3M212536</t>
  </si>
  <si>
    <t>M_Mahler 3M3233351</t>
  </si>
  <si>
    <t>M_NCCI2Fall 19982011836</t>
  </si>
  <si>
    <t>M_BrosiusM312634</t>
  </si>
  <si>
    <t>M_GillamFall 2000201107119</t>
  </si>
  <si>
    <t>M_BrosiusFall 19961012841</t>
  </si>
  <si>
    <t>M_Lee 2M112130</t>
  </si>
  <si>
    <t>M_TengFall 2002112438</t>
  </si>
  <si>
    <t>M_NCCI3Fall 19984632848</t>
  </si>
  <si>
    <t>M_Gillam &amp; Snader3Fall 19923721426</t>
  </si>
  <si>
    <t>M_SkurnickFall 1996354.54776</t>
  </si>
  <si>
    <t>M_Anderson et alM1294121</t>
  </si>
  <si>
    <t>M_BrosiusM432635</t>
  </si>
  <si>
    <t>M_TengFall 20003842337</t>
  </si>
  <si>
    <t>M_MiccolisSpring 2004342102169</t>
  </si>
  <si>
    <t>* May not be on syllabus</t>
  </si>
  <si>
    <t>M_TengM411530</t>
  </si>
  <si>
    <t>M_Gillam &amp; Snader2Fall 2000512146</t>
  </si>
  <si>
    <t>M_MiccolisFall 199638488149</t>
  </si>
  <si>
    <t>M_Gillam &amp; Snader2Fall 2000612146</t>
  </si>
  <si>
    <t>M_Lee 2M512136</t>
  </si>
  <si>
    <t>M_MiccolisFall 200662109173</t>
  </si>
  <si>
    <t>M_Mahler 2M663355</t>
  </si>
  <si>
    <t>M_Lee 1Fall 19944025584</t>
  </si>
  <si>
    <t>M_Anderson et alFall 200654113151</t>
  </si>
  <si>
    <t>M_Gillam &amp; Snader2M31.51335</t>
  </si>
  <si>
    <t>M_ISOFall 20023433964</t>
  </si>
  <si>
    <t>M_RobertsonM223641</t>
  </si>
  <si>
    <t>M_Gillam &amp; Snader2Fall 19984732045</t>
  </si>
  <si>
    <t>M_Gillam &amp; Snader3Fall 20041912335</t>
  </si>
  <si>
    <t>M_TengSpring 20002712337</t>
  </si>
  <si>
    <t>M_RobertsonM343642</t>
  </si>
  <si>
    <t>M_GillamFall 20001714166</t>
  </si>
  <si>
    <t>M_TengFall 1998712034</t>
  </si>
  <si>
    <t>M_Anderson et alFall 200832114152</t>
  </si>
  <si>
    <t>M_MiccolisSpring 200241299165</t>
  </si>
  <si>
    <t>M_GillamFall 2004191109121</t>
  </si>
  <si>
    <t>M_NCCI3M211638</t>
  </si>
  <si>
    <t>M_Lee 2Fall 20021712339</t>
  </si>
  <si>
    <t>M_AAAFall 20024841235</t>
  </si>
  <si>
    <t>M_RobertsonM123641</t>
  </si>
  <si>
    <t>M_Anderson et alM51.595123</t>
  </si>
  <si>
    <t>M_Bailey &amp; SimonFall 19881214460</t>
  </si>
  <si>
    <t>M_TengM511530</t>
  </si>
  <si>
    <t>M_Mahler 2M443148</t>
  </si>
  <si>
    <t>M_NCCI2M1021433</t>
  </si>
  <si>
    <t>M_MiccolisM5270121</t>
  </si>
  <si>
    <t>M_Bailey &amp; SimonFall 2006245169</t>
  </si>
  <si>
    <t>M_MiccolisFall 19926182143</t>
  </si>
  <si>
    <t>M_GillamFall 20021014268</t>
  </si>
  <si>
    <t>M_Mahler 3M422536</t>
  </si>
  <si>
    <t>M_Anderson et alM2294121</t>
  </si>
  <si>
    <t>M_VenterFall 2000112032</t>
  </si>
  <si>
    <t>M_Anderson et alFall 2004222113150</t>
  </si>
  <si>
    <t>M_TengM611530</t>
  </si>
  <si>
    <t>M_Gillam &amp; Snader3Fall 19983132032</t>
  </si>
  <si>
    <t>M_TengM311430</t>
  </si>
  <si>
    <t>M_VenterFall 19962721729</t>
  </si>
  <si>
    <t>M_SkurnickM934471</t>
  </si>
  <si>
    <t>M_Mahler 3Fall 2008344.53249</t>
  </si>
  <si>
    <t>M_Lee 2Fall 20082922847</t>
  </si>
  <si>
    <t>M_VenterFall 1998402.51931</t>
  </si>
  <si>
    <t>M_NCCI2Fall 19962531735</t>
  </si>
  <si>
    <t>M_MiccolisFall 2008262113177</t>
  </si>
  <si>
    <t>M_Lee 2M212130</t>
  </si>
  <si>
    <t>M_NCCI2Spring 19981911836</t>
  </si>
  <si>
    <t>M_ISOM4014268</t>
  </si>
  <si>
    <t>M_MiccolisSpring 199648387148</t>
  </si>
  <si>
    <t>M_Lee 1M614467</t>
  </si>
  <si>
    <t>M_Mahler 3M3743556</t>
  </si>
  <si>
    <t>M_NCCI3M111638</t>
  </si>
  <si>
    <t>M_ISOSpring 20044334166</t>
  </si>
  <si>
    <t>M_Gillam &amp; Snader2Fall 20004832248</t>
  </si>
  <si>
    <t>M_AAASpring 20082921543</t>
  </si>
  <si>
    <t>M_MiccolisSpring 2004151102169</t>
  </si>
  <si>
    <t>M_Gillam &amp; Snader2Fall 20004422147</t>
  </si>
  <si>
    <t>M_Couret &amp; VenterM323143</t>
  </si>
  <si>
    <t>M_ISOFall 19962323358</t>
  </si>
  <si>
    <t>M_Bailey &amp; SimonFall 20003234865</t>
  </si>
  <si>
    <t>M_Lee 2M622137</t>
  </si>
  <si>
    <t>M_Gillam &amp; Snader3Fall 2002212235</t>
  </si>
  <si>
    <t>M_SkurnickM334160</t>
  </si>
  <si>
    <t>M_Gillam &amp; Snader3M121425</t>
  </si>
  <si>
    <t>M_NCCI2M311129</t>
  </si>
  <si>
    <t>M_Bailey &amp; SimonM114054</t>
  </si>
  <si>
    <t>M_SkurnickM1124572</t>
  </si>
  <si>
    <t>M_NCCI3Fall 1998421.52747</t>
  </si>
  <si>
    <t>M_NCCI3Fall 1998512747</t>
  </si>
  <si>
    <t>M_BrosiusFall 20082833147</t>
  </si>
  <si>
    <t>M_NCCI3Fall 1998212646</t>
  </si>
  <si>
    <t>M_AAAFall 1996181729</t>
  </si>
  <si>
    <t>E does not correspond with all 3</t>
  </si>
  <si>
    <t>M_TengFall 20083142843</t>
  </si>
  <si>
    <t>M_FisherM231734</t>
  </si>
  <si>
    <t>M_BrosiusM16.52632</t>
  </si>
  <si>
    <t>M_NCCI3M311638</t>
  </si>
  <si>
    <t>M_Lee 1Fall 2004302.563100</t>
  </si>
  <si>
    <t>M_NCCI2Spring 2002212038</t>
  </si>
  <si>
    <t>M_FisherFall 20083032642</t>
  </si>
  <si>
    <t>M_TengFall 20024422539</t>
  </si>
  <si>
    <t>M_FisherM742038</t>
  </si>
  <si>
    <t>M_NCCI2M631231</t>
  </si>
  <si>
    <t>M_BrosiusFall 20001912941</t>
  </si>
  <si>
    <t>M_Lee 1Fall 20003735794</t>
  </si>
  <si>
    <t>M_Gillam &amp; Snader2Fall 20063242852</t>
  </si>
  <si>
    <t>*KEY</t>
  </si>
  <si>
    <t>M_Gillam &amp; Snader2Fall 20044722651</t>
  </si>
  <si>
    <t>M_TengFall 2004482.52540</t>
  </si>
  <si>
    <t>M_Lee 1Spring 2004332.56299</t>
  </si>
  <si>
    <t>****</t>
  </si>
  <si>
    <t>M_NCCI3Fall 20041813352</t>
  </si>
  <si>
    <t>M_SkurnickFall 1996302.54675</t>
  </si>
  <si>
    <t>M_NCCI3M421739</t>
  </si>
  <si>
    <t>M_TengFall 1998271.752035</t>
  </si>
  <si>
    <t>M_Gillam &amp; Snader2Fall 1998411845</t>
  </si>
  <si>
    <t>M_NCCI2Fall 19962421635</t>
  </si>
  <si>
    <t>M_BrosiusM542636</t>
  </si>
  <si>
    <t>M_NCCI2Fall 19981711836</t>
  </si>
  <si>
    <t>M_MiccolisFall 200039297162</t>
  </si>
  <si>
    <t>M_NCCI3Fall 20044543453</t>
  </si>
  <si>
    <t>M_NCCI2Spring 19942611534</t>
  </si>
  <si>
    <t>M_GillamFall 20062524677</t>
  </si>
  <si>
    <t>M_GillamFall 2008222.254880</t>
  </si>
  <si>
    <t>M_GillamFall 1998313106118</t>
  </si>
  <si>
    <t>M_AAAFall 1996483830</t>
  </si>
  <si>
    <t>M_Gillam &amp; Snader2M211335</t>
  </si>
  <si>
    <t>M_FisherM31.51834</t>
  </si>
  <si>
    <t>M_MiccolisSpring 199837391157</t>
  </si>
  <si>
    <t>M_MiccolisFall 2002423100166</t>
  </si>
  <si>
    <t>M_ISOM512651</t>
  </si>
  <si>
    <t>M_NCCI3Fall 20083643655</t>
  </si>
  <si>
    <t>M_Bailey &amp; SimonFall 20024724966</t>
  </si>
  <si>
    <t>M_MiccolisFall 199211183143</t>
  </si>
  <si>
    <t>M_FisherM431835</t>
  </si>
  <si>
    <t>*Key idea between types of Tables</t>
  </si>
  <si>
    <t>M_TengFall 20063122641</t>
  </si>
  <si>
    <t>M_Lee 1Fall 1998293.755689</t>
  </si>
  <si>
    <t>M_SkurnickFall 1998434.754978</t>
  </si>
  <si>
    <t>M_Bailey &amp; SimonM254054</t>
  </si>
  <si>
    <t>M_RobertsonM1123947</t>
  </si>
  <si>
    <t>M_Mahler 1M913757</t>
  </si>
  <si>
    <t>M_ISOFall 1996113157</t>
  </si>
  <si>
    <t>M_NCCI2M531230</t>
  </si>
  <si>
    <t>M_Anderson et alM352107141</t>
  </si>
  <si>
    <t>M_ISOFall 19993033662</t>
  </si>
  <si>
    <t>M_SkurnickFall 20013435284</t>
  </si>
  <si>
    <t>???</t>
  </si>
  <si>
    <t>M_Bailey &amp; SimonFall 2004215067</t>
  </si>
  <si>
    <t>M_Anderson et alM184100131</t>
  </si>
  <si>
    <t>M_Gillam &amp; Snader3Spring 19973231830</t>
  </si>
  <si>
    <t>M_NCCI3Fall 20093043655</t>
  </si>
  <si>
    <t>M_NCCI1M13710</t>
  </si>
  <si>
    <t>M_Gillam &amp; Snader2Fall 20031012550</t>
  </si>
  <si>
    <t>M_GillamFall 20023234370</t>
  </si>
  <si>
    <t>M_Anderson et alM231.5103133</t>
  </si>
  <si>
    <t>M_Gillam &amp; Snader1Spring 20051711622</t>
  </si>
  <si>
    <t>M_RobertsonM833846</t>
  </si>
  <si>
    <t>M_Gillam &amp; Snader2Fall 20021412450</t>
  </si>
  <si>
    <t>M_VenterFall 1997611830</t>
  </si>
  <si>
    <t>M_Lee 1M4015076</t>
  </si>
  <si>
    <t>M_Couret &amp; VenterM1113552</t>
  </si>
  <si>
    <t>M_NCCI3Fall 1999912848</t>
  </si>
  <si>
    <t>M_MiccolisSpring 199545485145</t>
  </si>
  <si>
    <t>M_RobertsonFall 2005923947</t>
  </si>
  <si>
    <t>M_NCCI2Fall 20052742241</t>
  </si>
  <si>
    <t>M_NCCI1Fall 2005242913</t>
  </si>
  <si>
    <t>M_Anderson et alM261104134</t>
  </si>
  <si>
    <t>M_VenterFall 19954231628</t>
  </si>
  <si>
    <t>M_ISOFall 20092224875</t>
  </si>
  <si>
    <t>M_GillamM1233759</t>
  </si>
  <si>
    <t>M_NCCI1Fall 200141813</t>
  </si>
  <si>
    <t>M_VenterFall 19972921931</t>
  </si>
  <si>
    <t>M_NCCI1Fall 2008211.5913</t>
  </si>
  <si>
    <t>M_Gillam &amp; Snader1Spring 2005381.51623</t>
  </si>
  <si>
    <t>M_GillamM143.53861</t>
  </si>
  <si>
    <t>M_NCCI2Fall 20072532342</t>
  </si>
  <si>
    <t>M_ISOFall 19951713157</t>
  </si>
  <si>
    <t>M_Gillam &amp; Snader1Fall 19954021218</t>
  </si>
  <si>
    <t>M_ISOSpring 20002813762</t>
  </si>
  <si>
    <t>M_NCCI2Fall 19951611534</t>
  </si>
  <si>
    <t>M_VenterFall 1997711930</t>
  </si>
  <si>
    <t>M_VenterFall 19992932032</t>
  </si>
  <si>
    <t>M_GillamFall 1996363103115</t>
  </si>
  <si>
    <t>M_VenterFall 2009232.52338</t>
  </si>
  <si>
    <t>M_NCCI2Fall 20012522038</t>
  </si>
  <si>
    <t>M_NCCI2Fall 19954131634</t>
  </si>
  <si>
    <t>M_VenterFall 2001612133</t>
  </si>
  <si>
    <t>M_NCCI2Fall 19973431736</t>
  </si>
  <si>
    <t>M_Gillam &amp; Snader1Fall 19951511218</t>
  </si>
  <si>
    <t>M_VenterFall 20052922235</t>
  </si>
  <si>
    <t>M_VenterFall 19991511932</t>
  </si>
  <si>
    <t>M_Gillam &amp; Snader1Fall 19991211420</t>
  </si>
  <si>
    <t>M_VenterFall 19951911628</t>
  </si>
  <si>
    <t>M_VenterFall 2009201.52237</t>
  </si>
  <si>
    <t>M_NCCI2Fall 19971011735</t>
  </si>
  <si>
    <t>M_Gillam &amp; Snader1Fall 20032831521</t>
  </si>
  <si>
    <t>M_GillamM723556</t>
  </si>
  <si>
    <t>M_GillamFall 19993134164</t>
  </si>
  <si>
    <t>M_ISOM1232855</t>
  </si>
  <si>
    <t>M_Mahler 2M933456</t>
  </si>
  <si>
    <t>M_Mahler 2M1333561</t>
  </si>
  <si>
    <t>M_Mahler 2M142.53661</t>
  </si>
  <si>
    <t>M_FisherFall 20033532239</t>
  </si>
  <si>
    <t>M_Mahler 2M733455</t>
  </si>
  <si>
    <t>M_MiccolisFall 199740a2.591156</t>
  </si>
  <si>
    <t>M_MiccolisFall 2009172115178</t>
  </si>
  <si>
    <t>M_Mahler 3M1122639</t>
  </si>
  <si>
    <t>M_Mahler 3M712638</t>
  </si>
  <si>
    <t>M_Mahler 3M2633046</t>
  </si>
  <si>
    <t>M_MiccolisFall 200572107172</t>
  </si>
  <si>
    <t>M_Gillam &amp; Snader3Fall 2009262.52337</t>
  </si>
  <si>
    <t>M_MiccolisFall 199933a194160</t>
  </si>
  <si>
    <t>M_Mahler 2M1063556</t>
  </si>
  <si>
    <t>M_Mahler 2M1113559</t>
  </si>
  <si>
    <t>M_FisherFall 20073332541</t>
  </si>
  <si>
    <t>M_Mahler 2M833455</t>
  </si>
  <si>
    <t>M_Mahler 3M922638</t>
  </si>
  <si>
    <t>M_MiccolisFall 200562106171</t>
  </si>
  <si>
    <t>M_Mahler 3M2122943</t>
  </si>
  <si>
    <t>M_Mahler 3M1912943</t>
  </si>
  <si>
    <t>M_TengFall 20011212437</t>
  </si>
  <si>
    <t>M_TengM1611833</t>
  </si>
  <si>
    <t>M_Gillam &amp; Snader3Fall 19994122133</t>
  </si>
  <si>
    <t>M_Gillam &amp; Snader3Fall 20011312233</t>
  </si>
  <si>
    <t>M_Mahler 2M1553662</t>
  </si>
  <si>
    <t>M_MiccolisM14273125</t>
  </si>
  <si>
    <t>M_Gillam &amp; Snader3Fall 19971211830</t>
  </si>
  <si>
    <t>M_FisherFall 20092752743</t>
  </si>
  <si>
    <t>M_FisherFall 20031212139</t>
  </si>
  <si>
    <t>M_MiccolisM40180140</t>
  </si>
  <si>
    <t>M_FisherFall 20053632340</t>
  </si>
  <si>
    <t>M_MiccolisM37379138</t>
  </si>
  <si>
    <t>M_Gillam &amp; Snader3Fall 199735a21931</t>
  </si>
  <si>
    <t>M_MiccolisFall 2001352.598163</t>
  </si>
  <si>
    <t>M_Mahler 3M1562741</t>
  </si>
  <si>
    <t>M_Gillam &amp; Snader3Fall 19971311830</t>
  </si>
  <si>
    <t>M_MiccolisM251.575131</t>
  </si>
  <si>
    <t>M_MiccolisM2270120</t>
  </si>
  <si>
    <t>M_TengFall 19991712135</t>
  </si>
  <si>
    <t>M_MiccolisFall 2008272.25114177</t>
  </si>
  <si>
    <t>M_TengM141.51832</t>
  </si>
  <si>
    <t>M_TengM1922034</t>
  </si>
  <si>
    <t>M_Mahler 3M812638</t>
  </si>
  <si>
    <t>M_TengFall 20092922844</t>
  </si>
  <si>
    <t>M_Mahler 3M2523045</t>
  </si>
  <si>
    <t>M_Mahler 3M281.53148</t>
  </si>
  <si>
    <t>M_MiccolisM10271122</t>
  </si>
  <si>
    <t>M_Gillam &amp; Snader3Spring 19994522132</t>
  </si>
  <si>
    <t>M_Mahler 3M1222639</t>
  </si>
  <si>
    <t>M_MiccolisSpring 199916194159</t>
  </si>
  <si>
    <t>Good Q</t>
  </si>
  <si>
    <t>M_Mahler 3M291.53249</t>
  </si>
  <si>
    <t>M_Mahler 3M612538</t>
  </si>
  <si>
    <t>M_MiccolisFall 199614187148</t>
  </si>
  <si>
    <t>M_TengM1811934</t>
  </si>
  <si>
    <t>M_Mahler 3M1012638</t>
  </si>
  <si>
    <t>M_NCCI2Fall 20032732140</t>
  </si>
  <si>
    <t>KEY</t>
  </si>
  <si>
    <t>M_ISOM342551</t>
  </si>
  <si>
    <t>M_Lee 1M3424674</t>
  </si>
  <si>
    <t>M_NCCI2Fall 20072842443</t>
  </si>
  <si>
    <t>M_Lee 1M1514467</t>
  </si>
  <si>
    <t>M_BrosiusFall 200692.53045</t>
  </si>
  <si>
    <t>M_Lee 2Fall 19972632339</t>
  </si>
  <si>
    <t>M_TengM1211732</t>
  </si>
  <si>
    <t>M_Gillam &amp; Snader3Spring 19952731527</t>
  </si>
  <si>
    <t>M_Gillam &amp; Snader2Fall 20021512450</t>
  </si>
  <si>
    <t>M_SkurnickFall 19952514574</t>
  </si>
  <si>
    <t>M_Gillam &amp; Snader1Fall 1997312.51318</t>
  </si>
  <si>
    <t>M_Lee 1M4835177</t>
  </si>
  <si>
    <t>M_Lee 2Fall 1997412238</t>
  </si>
  <si>
    <t>M_Mahler 1Fall 2005235388</t>
  </si>
  <si>
    <t>M_Mahler 1M3324479</t>
  </si>
  <si>
    <t>M_Mahler 1Fall 19994845086</t>
  </si>
  <si>
    <t>M_Mahler 1M2914375</t>
  </si>
  <si>
    <t>M_Mahler 1M1613963</t>
  </si>
  <si>
    <t>M_Mahler 1Fall 2001115187</t>
  </si>
  <si>
    <t>M_Mahler 1M2524269</t>
  </si>
  <si>
    <t>M_Mahler 1M1213861</t>
  </si>
  <si>
    <t>M_Anderson et alM6296124</t>
  </si>
  <si>
    <t>M_Anderson et alM7397126</t>
  </si>
  <si>
    <t>Good Q on interaction and correlation</t>
  </si>
  <si>
    <t>M_Anderson et alFall 200742114151</t>
  </si>
  <si>
    <t>M_Anderson et alM522111148</t>
  </si>
  <si>
    <t>M_Anderson et alM191100132</t>
  </si>
  <si>
    <t>M_Anderson et alM16299130</t>
  </si>
  <si>
    <t>M_Anderson et alM15199129</t>
  </si>
  <si>
    <t>M_Anderson et alM476109146</t>
  </si>
  <si>
    <t>M_Gillam &amp; Snader3Fall 20013622234</t>
  </si>
  <si>
    <t>M_Lee 1M1014467</t>
  </si>
  <si>
    <t>M_NCCI3M1121942</t>
  </si>
  <si>
    <t>M_Lee 1M2614568</t>
  </si>
  <si>
    <t>TIA_ClarkFall 2007231.51324</t>
  </si>
  <si>
    <t>M_Gillam &amp; Snader3Spring 19932621526</t>
  </si>
  <si>
    <t>M_Mahler 1Fall 19974434683</t>
  </si>
  <si>
    <t>*** remove</t>
  </si>
  <si>
    <t>M_Bailey &amp; SimonM1014257</t>
  </si>
  <si>
    <t>M_Bailey &amp; SimonFall 200723.55170</t>
  </si>
  <si>
    <t>M_Couret &amp; VenterM823350</t>
  </si>
  <si>
    <t>M_VenterFall 20012632134</t>
  </si>
  <si>
    <t>M_Couret &amp; VenterM913350</t>
  </si>
  <si>
    <t>M_GillamFall 19954333862</t>
  </si>
  <si>
    <t>M_RobertsonM923946</t>
  </si>
  <si>
    <t>M_ISOM942753</t>
  </si>
  <si>
    <t>M_SkurnickFall 20083235689</t>
  </si>
  <si>
    <t>M_TengM721631</t>
  </si>
  <si>
    <t>M_SkurnickFall 20033055485</t>
  </si>
  <si>
    <t>M_Gillam &amp; Snader1Fall 19991311420</t>
  </si>
  <si>
    <t>M_BrosiusFall 19954542840</t>
  </si>
  <si>
    <t>M_AAAFall 200611.51441</t>
  </si>
  <si>
    <t>M_MiccolisFall 200683.5110174</t>
  </si>
  <si>
    <t>M_Lee 2Fall 20062912644</t>
  </si>
  <si>
    <t>M_Gillam &amp; Snader2Fall 20063532852</t>
  </si>
  <si>
    <t>M_GillamFall 20062324577</t>
  </si>
  <si>
    <t>M_AAAFall 2007121442</t>
  </si>
  <si>
    <t>M_MiccolisFall 200772111175</t>
  </si>
  <si>
    <t>M_MiccolisFall 200782.5112175</t>
  </si>
  <si>
    <t>M_MiccolisFall 2007102112176</t>
  </si>
  <si>
    <t>M_GillamFall 20072624778</t>
  </si>
  <si>
    <t>M_ISOFall 20072744672</t>
  </si>
  <si>
    <t>M_GillamFall 20072924779</t>
  </si>
  <si>
    <t>M_Gillam &amp; Snader2Fall 20073022953</t>
  </si>
  <si>
    <t>M_Lee 2Fall 20073112746</t>
  </si>
  <si>
    <t>M_Gillam &amp; Snader2Fall 20073232953</t>
  </si>
  <si>
    <t>M_BrosiusFall 2007343.53146</t>
  </si>
  <si>
    <t>M_Gillam &amp; Snader2Fall 20073543053</t>
  </si>
  <si>
    <t>M_TengFall 20073632742</t>
  </si>
  <si>
    <t>M_AAAFall 2008231544</t>
  </si>
  <si>
    <t>M_ISOFall 2008244.54773</t>
  </si>
  <si>
    <t>M_SkurnickFall 20083325690</t>
  </si>
  <si>
    <t>TIA_ClarkFall 2008313.251224</t>
  </si>
  <si>
    <t>TIA_ClarkFall 20083821123</t>
  </si>
  <si>
    <t>TIA_ClarkFall 2008392.51123</t>
  </si>
  <si>
    <t>M_Bailey &amp; SimonFall 2001214865</t>
  </si>
  <si>
    <t>M_AAAFall 2001311133</t>
  </si>
  <si>
    <t>M_GillamFall 2001514267</t>
  </si>
  <si>
    <t>M_Gillam &amp; Snader2Fall 2001812249</t>
  </si>
  <si>
    <t>M_NCCI3Fall 2001913049</t>
  </si>
  <si>
    <t>M_Gillam &amp; Snader2Fall 20011012349</t>
  </si>
  <si>
    <t>M_MiccolisFall 200111198162</t>
  </si>
  <si>
    <t>M_Bailey &amp; SimonFall 2001222.54966</t>
  </si>
  <si>
    <t>M_AAAFall 2001231.51133</t>
  </si>
  <si>
    <t>M_ISOFall 20012733862</t>
  </si>
  <si>
    <t>M_GillamFall 2001282.54268</t>
  </si>
  <si>
    <t>M_BrosiusFall 20013042942</t>
  </si>
  <si>
    <t>M_Gillam &amp; Snader2Fall 20013122349</t>
  </si>
  <si>
    <t>M_Gillam &amp; Snader2Fall 20013232350</t>
  </si>
  <si>
    <t>M_NCCI3Fall 20013333150</t>
  </si>
  <si>
    <t>M_MiccolisFall 200137499163</t>
  </si>
  <si>
    <t>M_ISOFall 2000213762</t>
  </si>
  <si>
    <t>M_AAAFall 20001611032</t>
  </si>
  <si>
    <t>M_MiccolisFall 200018197162</t>
  </si>
  <si>
    <t>M_AAAFall 2000351.51033</t>
  </si>
  <si>
    <t>M_GillamFall 20004124267</t>
  </si>
  <si>
    <t>TIA_ClarkFall 20007131526</t>
  </si>
  <si>
    <t>M_BerneggerM533442</t>
  </si>
  <si>
    <t>TIA_ClarkFall 19993741627</t>
  </si>
  <si>
    <t>M_BerneggerM153338</t>
  </si>
  <si>
    <t>M_BerneggerM112.53647</t>
  </si>
  <si>
    <t>M_BerneggerM743445</t>
  </si>
  <si>
    <t>M_BerneggerM1333650</t>
  </si>
  <si>
    <t>TIA_BerneggerTIA3235</t>
  </si>
  <si>
    <t>M_BerneggerM171.53754</t>
  </si>
  <si>
    <t>M_ISOFall 20021113863</t>
  </si>
  <si>
    <t>Make sure to know differences and similarities between ISO and NCCI, for example, that accident limit is used for both.</t>
  </si>
  <si>
    <t>M_ISOFall 20021213963</t>
  </si>
  <si>
    <t>M_AAAFall 20022011133</t>
  </si>
  <si>
    <t>M_MiccolisSpring 200230299164</t>
  </si>
  <si>
    <t>ILFs be loss bands calculate in pieces where you do not use policy limits less than max of loss band. Use total loss and divide by total loss in base layer.</t>
  </si>
  <si>
    <t>M_GillamFall 20023144269</t>
  </si>
  <si>
    <t>Understand differences in tests.</t>
  </si>
  <si>
    <t>SRP and SACC calcs use trended (same period for all pol years) but NOT DEVELOPED losses.</t>
  </si>
  <si>
    <t>M_Gillam &amp; Snader2Fall 2002362.52550</t>
  </si>
  <si>
    <t>On charge and retro in general, remember that you only need to multiply charge by LR if you calculated using entry ratios. Otherwise you can use as is.</t>
  </si>
  <si>
    <t>M_SkurnickFall 20023825284</t>
  </si>
  <si>
    <t>ICRLL shifts loss up to use as if larger risk to estimate impact of curve shifting down.</t>
  </si>
  <si>
    <t>M_SkurnickFall 2002393.55385</t>
  </si>
  <si>
    <t>Good tricky Table L question</t>
  </si>
  <si>
    <t>Both retro development and excess factors are based off of standard premium</t>
  </si>
  <si>
    <t>LDD taxed at WC while excess taxed like GL generally. (Look up impact). ELFs are higher for excess policies because they do not have control over primary losses and cannot take measures to control.</t>
  </si>
  <si>
    <t>M_AAAFall 20024621134</t>
  </si>
  <si>
    <t>TIA_ClarkFall 20023921425</t>
  </si>
  <si>
    <t>***In Clark, ELF is percentage of loss. Check to see if question clarifies this and if not, STATE ASSUMPTION</t>
  </si>
  <si>
    <t>TIA_GrossiTIA2248</t>
  </si>
  <si>
    <t>M_BerneggerM1233649</t>
  </si>
  <si>
    <t>TIA_ClarkFall 2005332.51325</t>
  </si>
  <si>
    <t>TIA_BerneggerTIA2235</t>
  </si>
  <si>
    <t>M_BerneggerM923546</t>
  </si>
  <si>
    <t>Anderson7122013</t>
  </si>
  <si>
    <t>Fisher information</t>
  </si>
  <si>
    <t>Relevant Page Info</t>
  </si>
  <si>
    <t>Answer</t>
  </si>
  <si>
    <t>Question</t>
  </si>
  <si>
    <t>Highlighted rows, do Mahler questions</t>
  </si>
  <si>
    <t>Thur</t>
  </si>
  <si>
    <t>Sat</t>
  </si>
  <si>
    <t>Mon</t>
  </si>
  <si>
    <t>Tues</t>
  </si>
  <si>
    <t>Fri</t>
  </si>
  <si>
    <t>Retro</t>
  </si>
  <si>
    <t>Ded</t>
  </si>
  <si>
    <t>A and C</t>
  </si>
  <si>
    <t>Clark/Anderson/Grossi</t>
  </si>
  <si>
    <t>BKM</t>
  </si>
  <si>
    <t>Butsic</t>
  </si>
  <si>
    <t>Coval, Jurek, and Stafford</t>
  </si>
  <si>
    <t>Culp, Miller, and Neves</t>
  </si>
  <si>
    <t>Cummins Capital</t>
  </si>
  <si>
    <t>Cummins CAT Bond</t>
  </si>
  <si>
    <t>Feldblum Asset</t>
  </si>
  <si>
    <t>Feldblum Financial</t>
  </si>
  <si>
    <t>Ferrari</t>
  </si>
  <si>
    <t>Goldfarb</t>
  </si>
  <si>
    <t>Hull</t>
  </si>
  <si>
    <t>Kreps</t>
  </si>
  <si>
    <t>Mango</t>
  </si>
  <si>
    <t>McClenahan</t>
  </si>
  <si>
    <t>Noris</t>
  </si>
  <si>
    <t>Panning</t>
  </si>
  <si>
    <t>Roth</t>
  </si>
  <si>
    <t>Stultz</t>
  </si>
  <si>
    <t>Ferrari Discussion</t>
  </si>
  <si>
    <t>Robbin</t>
  </si>
  <si>
    <t>Sec 1, 3, 6</t>
  </si>
  <si>
    <t>Ch 6 (ex section 4)</t>
  </si>
  <si>
    <t>B4-B5</t>
  </si>
  <si>
    <t>D1</t>
  </si>
  <si>
    <t>D2</t>
  </si>
  <si>
    <t>D8</t>
  </si>
  <si>
    <t>D9</t>
  </si>
  <si>
    <t>D3</t>
  </si>
  <si>
    <t>B6</t>
  </si>
  <si>
    <t>D4-D5</t>
  </si>
  <si>
    <t>D6-D7</t>
  </si>
  <si>
    <t>A</t>
  </si>
  <si>
    <t>B</t>
  </si>
  <si>
    <t>C</t>
  </si>
  <si>
    <t>D</t>
  </si>
  <si>
    <t>20-30</t>
  </si>
  <si>
    <t>15-25</t>
  </si>
  <si>
    <t>25-35</t>
  </si>
  <si>
    <t>Rate of Return, Risk Loads, Contingency Provision</t>
  </si>
  <si>
    <t>Financial Risk Management</t>
  </si>
  <si>
    <t>Portfolio Theory and Equilibrium in Capital Markets</t>
  </si>
  <si>
    <t>Asset-Liability Management</t>
  </si>
  <si>
    <t>DEADLINE</t>
  </si>
  <si>
    <t>Week 0</t>
  </si>
  <si>
    <t>26-35 (ex Appendix)</t>
  </si>
  <si>
    <t>GoldfarbManual</t>
  </si>
  <si>
    <t>TIA_Exam9_2016Manual</t>
  </si>
  <si>
    <t>C4-C5</t>
  </si>
  <si>
    <t>pg 18-19, 39-41, sec 16.2</t>
  </si>
  <si>
    <t>ex sec 1, 2, 5, 6</t>
  </si>
  <si>
    <t>C6</t>
  </si>
  <si>
    <t>C6, C7-C9</t>
  </si>
  <si>
    <t>BKM8</t>
  </si>
  <si>
    <t>BKM10</t>
  </si>
  <si>
    <t>BKM13</t>
  </si>
  <si>
    <t>Feldblum (Assets)</t>
  </si>
  <si>
    <t>BKM6</t>
  </si>
  <si>
    <t>Hull23</t>
  </si>
  <si>
    <t>BKM7</t>
  </si>
  <si>
    <t>BKM9</t>
  </si>
  <si>
    <t>BKM11</t>
  </si>
  <si>
    <t>Miller</t>
  </si>
  <si>
    <t>BKM12</t>
  </si>
  <si>
    <t>Stulz</t>
  </si>
  <si>
    <t>BKM1 &amp; 16.2</t>
  </si>
  <si>
    <t>BKM16/Hull7</t>
  </si>
  <si>
    <t>Feldblum (Financial)</t>
  </si>
  <si>
    <t>BKM15/Hull4</t>
  </si>
  <si>
    <t>Cummins CAT</t>
  </si>
  <si>
    <t>1. Jan 4 to Jan 10</t>
  </si>
  <si>
    <t>2. Jan 11 to Jan 17</t>
  </si>
  <si>
    <t>3. Jan 18 to Jan 24</t>
  </si>
  <si>
    <t>4. Jan 25 to Jan 31</t>
  </si>
  <si>
    <t>5. Feb 1 to Feb 1</t>
  </si>
  <si>
    <t>6. Feb 8 to Feb 14</t>
  </si>
  <si>
    <t>7. Feb 15 to Feb 21</t>
  </si>
  <si>
    <t>Hull24</t>
  </si>
  <si>
    <t>A1</t>
  </si>
  <si>
    <t>A2-4</t>
  </si>
  <si>
    <t>A5</t>
  </si>
  <si>
    <t>A6-7</t>
  </si>
  <si>
    <t>A8</t>
  </si>
  <si>
    <t>A9</t>
  </si>
  <si>
    <t>A10</t>
  </si>
  <si>
    <t>A11-12</t>
  </si>
  <si>
    <t>Sec 1 to 9</t>
  </si>
  <si>
    <t>GF</t>
  </si>
  <si>
    <t>B1-2</t>
  </si>
  <si>
    <t>B3</t>
  </si>
  <si>
    <t>C1-2</t>
  </si>
  <si>
    <t>C3</t>
  </si>
  <si>
    <t>C3, C4-5</t>
  </si>
  <si>
    <t>BKM1</t>
  </si>
  <si>
    <t>Topic</t>
  </si>
  <si>
    <t>BKM 15</t>
  </si>
  <si>
    <t>Hull 7</t>
  </si>
  <si>
    <t>What is the difference between zero rates and the yield curve?</t>
  </si>
  <si>
    <t>Hull 84</t>
  </si>
  <si>
    <t>Is the current spot rate and 1 yr short rate the same thing always?</t>
  </si>
  <si>
    <t>BKM ch 15</t>
  </si>
  <si>
    <t>BKM/Hull</t>
  </si>
  <si>
    <t>BKM16/Hull7, 4.8-9</t>
  </si>
  <si>
    <t>SectionA_Exam</t>
  </si>
  <si>
    <t>GoldfarbQandA</t>
  </si>
  <si>
    <t>SectionA_SampleQ</t>
  </si>
  <si>
    <t>SectionB_SampleQ</t>
  </si>
  <si>
    <t>SectionC_SampleQ</t>
  </si>
  <si>
    <t>SectionD_SampleQ</t>
  </si>
  <si>
    <t>SectionB_Exam</t>
  </si>
  <si>
    <t>SectionC_Exam</t>
  </si>
  <si>
    <t>SectionD_Exam</t>
  </si>
  <si>
    <t>SectionA_SampleQTIA1213</t>
  </si>
  <si>
    <t>SectionA_SampleQTIA2213</t>
  </si>
  <si>
    <t>SectionA_SampleQTIA3214</t>
  </si>
  <si>
    <t>SectionA_SampleQTIA4214</t>
  </si>
  <si>
    <t>SectionA_SampleQTIA5215</t>
  </si>
  <si>
    <t>SectionA_SampleQTIA6225</t>
  </si>
  <si>
    <t>SectionA_SampleQTIA7225</t>
  </si>
  <si>
    <t>SectionA_SampleQTIA8226</t>
  </si>
  <si>
    <t>SectionA_SampleQTIA9226</t>
  </si>
  <si>
    <t>SectionA_SampleQTIA1279</t>
  </si>
  <si>
    <t>SectionA_SampleQTIA2279</t>
  </si>
  <si>
    <t>SectionA_SampleQTIA32710</t>
  </si>
  <si>
    <t>SectionA_SampleQTIA42711</t>
  </si>
  <si>
    <t>SectionA_SampleQTIA52811</t>
  </si>
  <si>
    <t>SectionA_SampleQTIA62811</t>
  </si>
  <si>
    <t>SectionA_SampleQTIA72812</t>
  </si>
  <si>
    <t>SectionA_SampleQTIA82813</t>
  </si>
  <si>
    <t>SectionA_SampleQTIA121516</t>
  </si>
  <si>
    <t>SectionA_SampleQTIA221516</t>
  </si>
  <si>
    <t>SectionA_SampleQTIA321517</t>
  </si>
  <si>
    <t>SectionA_SampleQTIA121921</t>
  </si>
  <si>
    <t>SectionA_SampleQTIA221921</t>
  </si>
  <si>
    <t>SectionA_SampleQTIA321922</t>
  </si>
  <si>
    <t>SectionA_SampleQTIA422022</t>
  </si>
  <si>
    <t>SectionA_SampleQTIA522023</t>
  </si>
  <si>
    <t>SectionA_SampleQTIA622023</t>
  </si>
  <si>
    <t>SectionA_SampleQTIA722023</t>
  </si>
  <si>
    <t>SectionA_SampleQTIA122426</t>
  </si>
  <si>
    <t>SectionA_SampleQTIA222426</t>
  </si>
  <si>
    <t>SectionA_SampleQTIA322427</t>
  </si>
  <si>
    <t>SectionA_SampleQTIA422427</t>
  </si>
  <si>
    <t>SectionA_SampleQTIA522528</t>
  </si>
  <si>
    <t>SectionA_SampleQTIA122930</t>
  </si>
  <si>
    <t>SectionA_SampleQTIA222930</t>
  </si>
  <si>
    <t>SectionA_SampleQTIA322930</t>
  </si>
  <si>
    <t>SectionA_SampleQTIA422930</t>
  </si>
  <si>
    <t>SectionA_SampleQTIA522931</t>
  </si>
  <si>
    <t>SectionA_SampleQTIA622931</t>
  </si>
  <si>
    <t>SectionA_SampleQTIA123234</t>
  </si>
  <si>
    <t>SectionA_SampleQTIA223234</t>
  </si>
  <si>
    <t>SectionA_SampleQTIA323235</t>
  </si>
  <si>
    <t>SectionA_SampleQTIA423335</t>
  </si>
  <si>
    <t>SectionA_SampleQTIA123739</t>
  </si>
  <si>
    <t>SectionA_SampleQTIA223740</t>
  </si>
  <si>
    <t>SectionA_SampleQTIA323840</t>
  </si>
  <si>
    <t>SectionA_SampleQTIA423841</t>
  </si>
  <si>
    <t>SectionA_SampleQTIA523842</t>
  </si>
  <si>
    <t>SectionB_SampleQTIA1213</t>
  </si>
  <si>
    <t>SectionB_SampleQTIA2213</t>
  </si>
  <si>
    <t>SectionB_SampleQTIA3214</t>
  </si>
  <si>
    <t>SectionB_SampleQTIA4214</t>
  </si>
  <si>
    <t>SectionB_SampleQTIA5225</t>
  </si>
  <si>
    <t>SectionB_SampleQTIA6225</t>
  </si>
  <si>
    <t>SectionB_SampleQTIA7226</t>
  </si>
  <si>
    <t>SectionB_SampleQTIA1279</t>
  </si>
  <si>
    <t>SectionB_SampleQTIA2279</t>
  </si>
  <si>
    <t>SectionB_SampleQTIA32711</t>
  </si>
  <si>
    <t>SectionB_SampleQTIA42812</t>
  </si>
  <si>
    <t>SectionB_SampleQTIA52812</t>
  </si>
  <si>
    <t>SectionB_SampleQTIA62813</t>
  </si>
  <si>
    <t>SectionB_SampleQTIA121617</t>
  </si>
  <si>
    <t>SectionB_SampleQTIA221617</t>
  </si>
  <si>
    <t>SectionB_SampleQTIA121819</t>
  </si>
  <si>
    <t>SectionB_SampleQTIA221820</t>
  </si>
  <si>
    <t>SectionB_SampleQTIA122122</t>
  </si>
  <si>
    <t>SectionC_SampleQTIA1213</t>
  </si>
  <si>
    <t>SectionC_SampleQTIA2213</t>
  </si>
  <si>
    <t>SectionC_SampleQTIA3214</t>
  </si>
  <si>
    <t>SectionC_SampleQTIA4214</t>
  </si>
  <si>
    <t>SectionC_SampleQTIA5225</t>
  </si>
  <si>
    <t>SectionC_SampleQTIA6226</t>
  </si>
  <si>
    <t>SectionC_SampleQTIA7227</t>
  </si>
  <si>
    <t>SectionC_SampleQTIA12810</t>
  </si>
  <si>
    <t>SectionC_SampleQTIA22810</t>
  </si>
  <si>
    <t>SectionC_SampleQTIA32812</t>
  </si>
  <si>
    <t>SectionC_SampleQTIA42913</t>
  </si>
  <si>
    <t>SectionC_SampleQTIA52914</t>
  </si>
  <si>
    <t>SectionC_SampleQTIA62915</t>
  </si>
  <si>
    <t>SectionC_SampleQTIA121617</t>
  </si>
  <si>
    <t>SectionC_SampleQTIA221617</t>
  </si>
  <si>
    <t>SectionC_SampleQTIA321617</t>
  </si>
  <si>
    <t>SectionC_SampleQTIA121921</t>
  </si>
  <si>
    <t>SectionC_SampleQTIA221921</t>
  </si>
  <si>
    <t>SectionC_SampleQTIA321922</t>
  </si>
  <si>
    <t>SectionC_SampleQTIA422023</t>
  </si>
  <si>
    <t>SectionC_SampleQTIA522024</t>
  </si>
  <si>
    <t>SectionC_SampleQTIA122528</t>
  </si>
  <si>
    <t>SectionC_SampleQTIA222529</t>
  </si>
  <si>
    <t>SectionC_SampleQTIA322630</t>
  </si>
  <si>
    <t>SectionC_SampleQTIA422731</t>
  </si>
  <si>
    <t>SectionC_SampleQTIA522732</t>
  </si>
  <si>
    <t>SectionD_SampleQTIA1212</t>
  </si>
  <si>
    <t>SectionD_SampleQTIA2212</t>
  </si>
  <si>
    <t>SectionD_SampleQTIA3212</t>
  </si>
  <si>
    <t>SectionD_SampleQTIA4212</t>
  </si>
  <si>
    <t>SectionD_SampleQTIA5212</t>
  </si>
  <si>
    <t>SectionD_SampleQTIA6213</t>
  </si>
  <si>
    <t>SectionD_SampleQTIA7213</t>
  </si>
  <si>
    <t>SectionD_SampleQTIA1247</t>
  </si>
  <si>
    <t>SectionD_SampleQTIA2247</t>
  </si>
  <si>
    <t>SectionD_SampleQTIA3247</t>
  </si>
  <si>
    <t>SectionD_SampleQTIA4247</t>
  </si>
  <si>
    <t>SectionD_SampleQTIA5248</t>
  </si>
  <si>
    <t>SectionD_SampleQTIA6259</t>
  </si>
  <si>
    <t>SectionD_SampleQTIA7259</t>
  </si>
  <si>
    <t>SectionD_SampleQTIA82510</t>
  </si>
  <si>
    <t>SectionD_SampleQTIA92511</t>
  </si>
  <si>
    <t>SectionD_SampleQTIA102611</t>
  </si>
  <si>
    <t>SectionD_SampleQTIA121415</t>
  </si>
  <si>
    <t>SectionD_SampleQTIA221415</t>
  </si>
  <si>
    <t>SectionD_SampleQTIA321416</t>
  </si>
  <si>
    <t>SectionD_SampleQTIA121719</t>
  </si>
  <si>
    <t>SectionD_SampleQTIA221719</t>
  </si>
  <si>
    <t>SectionD_SampleQTIA321719</t>
  </si>
  <si>
    <t>SectionD_SampleQTIA421720</t>
  </si>
  <si>
    <t>SectionD_SampleQTIA521820</t>
  </si>
  <si>
    <t>SectionD_SampleQTIA621820</t>
  </si>
  <si>
    <t>SectionD_SampleQTIA721821</t>
  </si>
  <si>
    <t>SectionD_SampleQTIA821821</t>
  </si>
  <si>
    <t>SectionD_SampleQTIA921821</t>
  </si>
  <si>
    <t>SectionD_SampleQTIA122330</t>
  </si>
  <si>
    <t>SectionD_SampleQTIA222331</t>
  </si>
  <si>
    <t>SectionD_SampleQTIA322331</t>
  </si>
  <si>
    <t>SectionD_SampleQTIA422432</t>
  </si>
  <si>
    <t>SectionD_SampleQTIA522432</t>
  </si>
  <si>
    <t>SectionD_SampleQTIA622433</t>
  </si>
  <si>
    <t>SectionD_SampleQTIA722433</t>
  </si>
  <si>
    <t>SectionD_SampleQTIA822534</t>
  </si>
  <si>
    <t>SectionD_SampleQTIA922636</t>
  </si>
  <si>
    <t>SectionD_SampleQTIA1022737</t>
  </si>
  <si>
    <t>SectionD_SampleQTIA1122839</t>
  </si>
  <si>
    <t>SectionD_SampleQTIA1222940</t>
  </si>
  <si>
    <t>SectionD_SampleQTIA124144</t>
  </si>
  <si>
    <t>SectionD_SampleQTIA224144</t>
  </si>
  <si>
    <t>SectionD_SampleQTIA324145</t>
  </si>
  <si>
    <t>SectionD_SampleQTIA424246</t>
  </si>
  <si>
    <t>SectionD_SampleQTIA524348</t>
  </si>
  <si>
    <t>SectionD_SampleQTIA125052</t>
  </si>
  <si>
    <t>SectionD_SampleQTIA225052</t>
  </si>
  <si>
    <t>SectionD_SampleQTIA325052</t>
  </si>
  <si>
    <t>SectionD_SampleQTIA425052</t>
  </si>
  <si>
    <t>SectionD_SampleQTIA525052</t>
  </si>
  <si>
    <t>SectionD_SampleQTIA625053</t>
  </si>
  <si>
    <t>SectionD_SampleQTIA725153</t>
  </si>
  <si>
    <t>SectionD_SampleQTIA825154</t>
  </si>
  <si>
    <t>SectionD_SampleQTIA925154</t>
  </si>
  <si>
    <t>C:\Program Files (x86)\Adobe\Reader 10.0\Reader\AcroRd32.exe</t>
  </si>
  <si>
    <t>Concept of Indifference Curve</t>
  </si>
  <si>
    <t>Standard Deviation of borrowed investment</t>
  </si>
  <si>
    <t>Risk Premium in Dollars</t>
  </si>
  <si>
    <t>Who's more risk averse</t>
  </si>
  <si>
    <t xml:space="preserve">Progress update: </t>
  </si>
  <si>
    <t>Need to go over some appendix, hard points</t>
  </si>
  <si>
    <t>did not read any appendix from Goldfarb, Miller, Cummins Capital, Bustic</t>
  </si>
  <si>
    <t xml:space="preserve">Study group Review </t>
  </si>
  <si>
    <t>Done with Roth 24</t>
  </si>
  <si>
    <t>Feldblum 21</t>
  </si>
  <si>
    <t>McCleanahan 12</t>
  </si>
  <si>
    <t>C:\Program Files (x86)\Microsoft Office\Office14\WINWORD.exe</t>
  </si>
  <si>
    <t>what is heterogeneous experience? what does that mean</t>
  </si>
  <si>
    <t>formula of optimal risky profile</t>
  </si>
  <si>
    <t>negative A</t>
  </si>
  <si>
    <t xml:space="preserve">Individual risk </t>
  </si>
  <si>
    <t>Security Mkt Line doesn't go through 0,0</t>
  </si>
  <si>
    <t>Notecard material</t>
  </si>
  <si>
    <t>Covexity Formular: Use t as period not real annual timing-- 6 month is one period, not 0.5; at last need to divide by number of periods in one year for duration /2, and number of periods in one year ^ 2 for convexity /sqr(2)</t>
  </si>
  <si>
    <t>annual compound mixed with continuously compounding</t>
  </si>
  <si>
    <t>part b lag</t>
  </si>
  <si>
    <t>July 1 ! and fwd rate is annualized</t>
  </si>
  <si>
    <t>same as regular swap</t>
  </si>
  <si>
    <t>C:\Program Files (x86)\Adobe\Acrobat Reader DC\Reader\AcroRd32.exe</t>
  </si>
  <si>
    <t>Liquidity Theorem</t>
  </si>
  <si>
    <t>semi annual!</t>
  </si>
  <si>
    <t>callable convexity</t>
  </si>
  <si>
    <t xml:space="preserve">Immunization </t>
  </si>
  <si>
    <t>SectionC_Exam200517219</t>
  </si>
  <si>
    <t>SectionC_Exam200519219</t>
  </si>
  <si>
    <t>SectionC_Exam2007131.5210</t>
  </si>
  <si>
    <t>SectionC_Exam2007321.5211</t>
  </si>
  <si>
    <t>SectionC_Exam2009134413</t>
  </si>
  <si>
    <t>SectionC_Exam2009322.25414</t>
  </si>
  <si>
    <t>SectionC_Exam201093.25415</t>
  </si>
  <si>
    <t>SectionC_Exam2010104.25515</t>
  </si>
  <si>
    <t>SectionC_Exam200981.253337</t>
  </si>
  <si>
    <t>SectionC_Exam20054114648</t>
  </si>
  <si>
    <t>SectionC_Exam20004445159</t>
  </si>
  <si>
    <t>SectionC_Exam2009332.755667</t>
  </si>
  <si>
    <t>SectionC_Exam2010301.55668</t>
  </si>
  <si>
    <t>SectionC_Exam20034527274</t>
  </si>
  <si>
    <t>SectionC_Exam20053817274</t>
  </si>
  <si>
    <t>SectionC_Exam20054237894</t>
  </si>
  <si>
    <t>SectionC_Exam2007354.57995</t>
  </si>
  <si>
    <t>SectionC_Exam2009312.758198</t>
  </si>
  <si>
    <t>SectionC_Exam201027582100</t>
  </si>
  <si>
    <t>SectionC_Exam2010284.2584102</t>
  </si>
  <si>
    <t>SectionC_Exam2003471.5116117</t>
  </si>
  <si>
    <t>SectionC_Exam2005391116117</t>
  </si>
  <si>
    <t>Already in bank</t>
  </si>
  <si>
    <t>Sample</t>
  </si>
  <si>
    <t>Exam</t>
  </si>
  <si>
    <t>2000,2003,2005,2007,2009,2010</t>
  </si>
  <si>
    <t>SectionB_Exam2000172111</t>
  </si>
  <si>
    <t>SectionB_Exam2003251.5213</t>
  </si>
  <si>
    <t>SectionB_Exam2003262314</t>
  </si>
  <si>
    <t>SectionB_Exam2003274.5314</t>
  </si>
  <si>
    <t>SectionB_Exam200591517</t>
  </si>
  <si>
    <t>SectionB_Exam2005141517</t>
  </si>
  <si>
    <t>SectionB_Exam2007102518</t>
  </si>
  <si>
    <t>SectionB_Exam200961.25619</t>
  </si>
  <si>
    <t>SectionB_Exam200992.25620</t>
  </si>
  <si>
    <t>SectionB_Exam2009102720</t>
  </si>
  <si>
    <t>SectionB_Exam201071.5721</t>
  </si>
  <si>
    <t>SectionB_Exam20001442840</t>
  </si>
  <si>
    <t>SectionB_Exam2003632841</t>
  </si>
  <si>
    <t>SectionB_Exam200392.52942</t>
  </si>
  <si>
    <t>SectionB_Exam20033432943</t>
  </si>
  <si>
    <t>SectionB_Exam20033523044</t>
  </si>
  <si>
    <t>SectionB_Exam20052523045</t>
  </si>
  <si>
    <t>SectionB_Exam2005342.53146</t>
  </si>
  <si>
    <t>SectionB_Exam2007181.53248</t>
  </si>
  <si>
    <t>SectionB_Exam20071923249</t>
  </si>
  <si>
    <t>SectionB_Exam20091823451</t>
  </si>
  <si>
    <t>SectionB_Exam20101123552</t>
  </si>
  <si>
    <t>SectionB_Exam20102223553</t>
  </si>
  <si>
    <t>SectionB_Exam20003936168</t>
  </si>
  <si>
    <t>SectionB_Exam20072836372</t>
  </si>
  <si>
    <t>SectionB_Exam2009261.256473</t>
  </si>
  <si>
    <t>SectionB_Exam2009271.256473</t>
  </si>
  <si>
    <t>SectionB_Exam2010211.256574</t>
  </si>
  <si>
    <t>SectionB_Exam20004028083</t>
  </si>
  <si>
    <t>SectionB_Exam2007272.58185</t>
  </si>
  <si>
    <t>SectionB_Exam20072938993</t>
  </si>
  <si>
    <t>SectionB_Exam20092528994</t>
  </si>
  <si>
    <t>SectionB_Exam20102459094</t>
  </si>
  <si>
    <t>immediately after a payment, Bond of floating resets to value of principal</t>
  </si>
  <si>
    <t>recovery be subtracted from risk free value at time of default</t>
  </si>
  <si>
    <t xml:space="preserve">traditional ALM vs Franchise </t>
  </si>
  <si>
    <t>although correct, want to understand what means by forward rating is realized</t>
  </si>
  <si>
    <t>c portion for memorization</t>
  </si>
  <si>
    <t>tricky inflation</t>
  </si>
  <si>
    <t>pay attention to decimal places</t>
  </si>
  <si>
    <t>total</t>
  </si>
  <si>
    <t>used</t>
  </si>
  <si>
    <t>Panning concern about reducing duration: regulator see increasing risk?</t>
  </si>
  <si>
    <t>SectionA_Exam200331.517</t>
  </si>
  <si>
    <t>SectionA_Exam20034118</t>
  </si>
  <si>
    <t>SectionA_Exam200541.7529</t>
  </si>
  <si>
    <t>SectionA_Exam200711.5310</t>
  </si>
  <si>
    <t>SectionA_Exam200911.75311</t>
  </si>
  <si>
    <t>SectionA_Exam201021.25311</t>
  </si>
  <si>
    <t>SectionA_Exam201031.75412</t>
  </si>
  <si>
    <t>SectionA_Exam2000821825</t>
  </si>
  <si>
    <t>SectionA_Exam2003541927</t>
  </si>
  <si>
    <t>SectionA_Exam200371.51928</t>
  </si>
  <si>
    <t>SectionA_Exam2005532029</t>
  </si>
  <si>
    <t>SectionA_Exam2005612130</t>
  </si>
  <si>
    <t>SectionA_Exam200722.52131</t>
  </si>
  <si>
    <t>SectionA_Exam2007312232</t>
  </si>
  <si>
    <t>SectionA_Exam200922.252333</t>
  </si>
  <si>
    <t>SectionA_Exam200931.752334</t>
  </si>
  <si>
    <t>SectionA_Exam2003121.53841</t>
  </si>
  <si>
    <t>SectionA_Exam20031014653</t>
  </si>
  <si>
    <t>SectionA_Exam20031124653</t>
  </si>
  <si>
    <t>SectionA_Exam2005824756</t>
  </si>
  <si>
    <t>SectionA_Exam20051214856</t>
  </si>
  <si>
    <t>SectionA_Exam201041.255060</t>
  </si>
  <si>
    <t>SectionA_Exam20001326872</t>
  </si>
  <si>
    <t>SectionA_Exam2003131.56973</t>
  </si>
  <si>
    <t>SectionA_Exam2009417076</t>
  </si>
  <si>
    <t>SectionA_Exam2003141.57983</t>
  </si>
  <si>
    <t>SectionA_Exam2003151.57983</t>
  </si>
  <si>
    <t>SectionA_Exam2007527984</t>
  </si>
  <si>
    <t>SectionA_Exam201011.58086</t>
  </si>
  <si>
    <t>SectionA_Exam200772.258991</t>
  </si>
  <si>
    <t>SectionA_Exam2000123.59395</t>
  </si>
  <si>
    <t>SectionA_Exam2003161.59396</t>
  </si>
  <si>
    <t>SectionA_Exam20051029497</t>
  </si>
  <si>
    <t>SectionA_Exam201052.59497</t>
  </si>
  <si>
    <t>Covariance and correlation</t>
  </si>
  <si>
    <t>Confidence Index</t>
  </si>
  <si>
    <t>Cumulative Breath</t>
  </si>
  <si>
    <t>Validation Caveats!</t>
  </si>
  <si>
    <t>information processing error</t>
  </si>
  <si>
    <t>Study More!!</t>
  </si>
  <si>
    <t>definition of rates, semi annual/ annual , asking study group</t>
  </si>
  <si>
    <t>6mth period spot rate and fwd rate need to be annualized, (1+r/2)(1+f/2)=(1+R)</t>
  </si>
  <si>
    <t>EPD means Expected Deficient given exceed. Max(L-A, 0)</t>
  </si>
  <si>
    <t>current yield to maturity is semi annual compouded unless indicated otherwise</t>
  </si>
  <si>
    <t>duration is negative!</t>
  </si>
  <si>
    <t>Wealth??</t>
  </si>
  <si>
    <t>Come back! Merton</t>
  </si>
  <si>
    <t>Study Hour Used</t>
  </si>
  <si>
    <t>Other Hour</t>
  </si>
  <si>
    <t>Cum Self</t>
  </si>
  <si>
    <t>SectionD_Exam200116118</t>
  </si>
  <si>
    <t>SectionD_Exam20025118</t>
  </si>
  <si>
    <t>SectionD_Exam200316119</t>
  </si>
  <si>
    <t>SectionD_Exam200340329</t>
  </si>
  <si>
    <t>SectionD_Exam200410129</t>
  </si>
  <si>
    <t>SectionD_Exam2004303210</t>
  </si>
  <si>
    <t>SectionD_Exam2005222311</t>
  </si>
  <si>
    <t>SectionD_Exam2006223311</t>
  </si>
  <si>
    <t>SectionD_Exam2007213412</t>
  </si>
  <si>
    <t>SectionD_Exam2008192413</t>
  </si>
  <si>
    <t>SectionD_Exam2012163.5513</t>
  </si>
  <si>
    <t>SectionD_Exam2000274.51733</t>
  </si>
  <si>
    <t>SectionD_Exam20022231834</t>
  </si>
  <si>
    <t>SectionD_Exam20043131935</t>
  </si>
  <si>
    <t>SectionD_Exam20043521937</t>
  </si>
  <si>
    <t>SectionD_Exam20051622037</t>
  </si>
  <si>
    <t>SectionD_Exam20051812037</t>
  </si>
  <si>
    <t>SectionD_Exam20061632038</t>
  </si>
  <si>
    <t>SectionD_Exam20062122139</t>
  </si>
  <si>
    <t>SectionD_Exam20071542240</t>
  </si>
  <si>
    <t>SectionD_Exam200884.252341</t>
  </si>
  <si>
    <t>SectionD_Exam200892.52343</t>
  </si>
  <si>
    <t>SectionD_Exam2009752443</t>
  </si>
  <si>
    <t>SectionD_Exam2009152.752545</t>
  </si>
  <si>
    <t>SectionD_Exam2010722545</t>
  </si>
  <si>
    <t>SectionD_Exam2010112.52646</t>
  </si>
  <si>
    <t>SectionD_Exam20101342647</t>
  </si>
  <si>
    <t>SectionD_Exam20111842749</t>
  </si>
  <si>
    <t>SectionD_Exam2011192.52851</t>
  </si>
  <si>
    <t>SectionD_Exam2012174.52953</t>
  </si>
  <si>
    <t>SectionD_Exam20002426171</t>
  </si>
  <si>
    <t>SectionD_Exam20011716172</t>
  </si>
  <si>
    <t>SectionD_Exam20014436272</t>
  </si>
  <si>
    <t>SectionD_Exam20022726273</t>
  </si>
  <si>
    <t>SectionD_Exam20034146374</t>
  </si>
  <si>
    <t>SectionD_Exam20041216375</t>
  </si>
  <si>
    <t>SectionD_Exam20052036475</t>
  </si>
  <si>
    <t>SectionD_Exam2006183.56476</t>
  </si>
  <si>
    <t>SectionD_Exam2007131.56577</t>
  </si>
  <si>
    <t>SectionD_Exam2007171.56577</t>
  </si>
  <si>
    <t>SectionD_Exam2008172.56678</t>
  </si>
  <si>
    <t>SectionD_Exam20081816678</t>
  </si>
  <si>
    <t>SectionD_Exam200983.56779</t>
  </si>
  <si>
    <t>SectionD_Exam2009936780</t>
  </si>
  <si>
    <t>SectionD_Exam201092.56881</t>
  </si>
  <si>
    <t>SectionD_Exam2011152.756881</t>
  </si>
  <si>
    <t>SectionD_Exam2012121.56982</t>
  </si>
  <si>
    <t>SectionD_Exam20001018796</t>
  </si>
  <si>
    <t>SectionD_Exam20001118796</t>
  </si>
  <si>
    <t>SectionD_Exam20011518897</t>
  </si>
  <si>
    <t>SectionD_Exam2002418897</t>
  </si>
  <si>
    <t>SectionD_Exam2002253.58998</t>
  </si>
  <si>
    <t>SectionD_Exam20031919099</t>
  </si>
  <si>
    <t>SectionD_Exam2004819099</t>
  </si>
  <si>
    <t>SectionD_Exam200411191100</t>
  </si>
  <si>
    <t>SectionD_Exam200512291100</t>
  </si>
  <si>
    <t>SectionD_Exam200714392101</t>
  </si>
  <si>
    <t>SectionD_Exam200813293102</t>
  </si>
  <si>
    <t>SectionD_Exam200916293103</t>
  </si>
  <si>
    <t>SectionD_Exam201116293103</t>
  </si>
  <si>
    <t>SectionD_Exam2000121109130</t>
  </si>
  <si>
    <t>SectionD_Exam2000263109130</t>
  </si>
  <si>
    <t>SectionD_Exam2001393110131</t>
  </si>
  <si>
    <t>SectionD_Exam2001403110132</t>
  </si>
  <si>
    <t>SectionD_Exam2001434111132</t>
  </si>
  <si>
    <t>SectionD_Exam2002212112134</t>
  </si>
  <si>
    <t>SectionD_Exam2002243112134</t>
  </si>
  <si>
    <t>SectionD_Exam2003425113136</t>
  </si>
  <si>
    <t>SectionD_Exam2003443113137</t>
  </si>
  <si>
    <t>SectionD_Exam2003452114138</t>
  </si>
  <si>
    <t>SectionD_Exam2004131114138</t>
  </si>
  <si>
    <t>SectionD_Exam2004362115139</t>
  </si>
  <si>
    <t>SectionD_Exam2005132.5115140</t>
  </si>
  <si>
    <t>SectionD_Exam2005142116141</t>
  </si>
  <si>
    <t>SectionD_Exam2006174.5116141</t>
  </si>
  <si>
    <t>SectionD_Exam2007182.5117142</t>
  </si>
  <si>
    <t>SectionD_Exam2007193117143</t>
  </si>
  <si>
    <t>SectionD_Exam2008122.5118144</t>
  </si>
  <si>
    <t>SectionD_Exam2008144119145</t>
  </si>
  <si>
    <t>SectionD_Exam2008154.5119146</t>
  </si>
  <si>
    <t>SectionD_Exam2009143.5120147</t>
  </si>
  <si>
    <t>SectionD_Exam2010102121147</t>
  </si>
  <si>
    <t>SectionD_Exam2010123121148</t>
  </si>
  <si>
    <t>SectionD_Exam2010153.5122149</t>
  </si>
  <si>
    <t>SectionD_Exam2011202.75123150</t>
  </si>
  <si>
    <t>SectionD_Exam2011213.5124151</t>
  </si>
  <si>
    <t>SectionD_Exam2012184.5125153</t>
  </si>
  <si>
    <t>SectionD_Exam2004342164174</t>
  </si>
  <si>
    <t>SectionD_Exam2005193164174</t>
  </si>
  <si>
    <t>SectionD_Exam2006193165176</t>
  </si>
  <si>
    <t>SectionD_Exam2006202165177</t>
  </si>
  <si>
    <t>SectionD_Exam2007202166178</t>
  </si>
  <si>
    <t>SectionD_Exam2007234166179</t>
  </si>
  <si>
    <t>SectionD_Exam2008114.5167180</t>
  </si>
  <si>
    <t>SectionD_Exam2009112168180</t>
  </si>
  <si>
    <t>SectionD_Exam2009123.5168180</t>
  </si>
  <si>
    <t>SectionD_Exam2010145169181</t>
  </si>
  <si>
    <t>SectionD_Exam2011173169183</t>
  </si>
  <si>
    <t>SectionD_Exam2012134170184</t>
  </si>
  <si>
    <t>SectionD_Exam2008163192197</t>
  </si>
  <si>
    <t>SectionD_Exam2009104.5193198</t>
  </si>
  <si>
    <t>SectionD_Exam201082193199</t>
  </si>
  <si>
    <t>SectionD_Exam2012153.75194200</t>
  </si>
  <si>
    <t>9:30-10:30</t>
  </si>
  <si>
    <t>8-9:30</t>
  </si>
  <si>
    <t>8:00-8:30</t>
  </si>
  <si>
    <t>don't understand</t>
  </si>
  <si>
    <t>5:30-6:00</t>
  </si>
  <si>
    <t>6:00-6:30</t>
  </si>
  <si>
    <t>Self</t>
  </si>
  <si>
    <t>Study</t>
  </si>
  <si>
    <t>4:30-6:00</t>
  </si>
  <si>
    <t>where is UEPR</t>
  </si>
  <si>
    <t>9-9:30</t>
  </si>
  <si>
    <t>VAR Consistency of measure across lines</t>
  </si>
  <si>
    <t>Risk Margin is charged on premiums</t>
  </si>
  <si>
    <t>VaR and Conditional Tail different!!</t>
  </si>
  <si>
    <t>Marginal Surpluls use SD, how to calculate variance depends on assumption; if these events  are mutully exclusive, then should use e(x^2)-e(x)^2, if not, then var(all) = sum of each event's variance assuming they are independent</t>
  </si>
  <si>
    <t>overstating risk load in Kreps why: no consideration of diversification</t>
  </si>
  <si>
    <t>SectionA_Exam20043328</t>
  </si>
  <si>
    <t>SectionA_Exam20064229</t>
  </si>
  <si>
    <t>SectionA_Exam201112.25412</t>
  </si>
  <si>
    <t>SectionA_Exam201213513</t>
  </si>
  <si>
    <t>SectionA_Exam20011021825</t>
  </si>
  <si>
    <t>SectionA_Exam200271.51826</t>
  </si>
  <si>
    <t>SectionA_Exam20021311927</t>
  </si>
  <si>
    <t>SectionA_Exam200443.52028</t>
  </si>
  <si>
    <t>SectionA_Exam200651.52131</t>
  </si>
  <si>
    <t>SectionA_Exam2008132232</t>
  </si>
  <si>
    <t>SectionA_Exam200482.253841</t>
  </si>
  <si>
    <t>SectionA_Exam20021114653</t>
  </si>
  <si>
    <t>SectionA_Exam2004524654</t>
  </si>
  <si>
    <t>SectionA_Exam2004614755</t>
  </si>
  <si>
    <t>SectionA_Exam2004724755</t>
  </si>
  <si>
    <t>SectionA_Exam200662.54857</t>
  </si>
  <si>
    <t>SectionA_Exam200831.54959</t>
  </si>
  <si>
    <t>SectionA_Exam201130.755061</t>
  </si>
  <si>
    <t>SectionA_Exam201141.55162</t>
  </si>
  <si>
    <t>SectionA_Exam20013236872</t>
  </si>
  <si>
    <t>SectionA_Exam200492.56974</t>
  </si>
  <si>
    <t>SectionA_Exam200671.56974</t>
  </si>
  <si>
    <t>SectionA_Exam2006917075</t>
  </si>
  <si>
    <t>SectionA_Exam200841.57075</t>
  </si>
  <si>
    <t>SectionA_Exam201121.57076</t>
  </si>
  <si>
    <t>SectionA_Exam2004102.57983</t>
  </si>
  <si>
    <t>SectionA_Exam2006827984</t>
  </si>
  <si>
    <t>SectionA_Exam200852.258085</t>
  </si>
  <si>
    <t>SectionA_Exam200871.58085</t>
  </si>
  <si>
    <t>SectionA_Exam2012338186</t>
  </si>
  <si>
    <t>SectionA_Exam200861.58991</t>
  </si>
  <si>
    <t>SectionA_Exam2001110.59396</t>
  </si>
  <si>
    <t>SectionA_Exam20041119496</t>
  </si>
  <si>
    <t>SectionB_Exam2001162111</t>
  </si>
  <si>
    <t>SectionB_Exam2001272112</t>
  </si>
  <si>
    <t>SectionB_Exam2002242.5212</t>
  </si>
  <si>
    <t>SectionB_Exam2004154415</t>
  </si>
  <si>
    <t>SectionB_Exam2004163416</t>
  </si>
  <si>
    <t>SectionB_Exam2004171416</t>
  </si>
  <si>
    <t>SectionB_Exam2006111517</t>
  </si>
  <si>
    <t>SectionB_Exam2006123517</t>
  </si>
  <si>
    <t>SectionB_Exam2008122619</t>
  </si>
  <si>
    <t>SectionB_Exam201222822</t>
  </si>
  <si>
    <t>SectionB_Exam2002532841</t>
  </si>
  <si>
    <t>SectionB_Exam20043213045</t>
  </si>
  <si>
    <t>SectionB_Exam20062023146</t>
  </si>
  <si>
    <t>SectionB_Exam20062223147</t>
  </si>
  <si>
    <t>SectionB_Exam20063123247</t>
  </si>
  <si>
    <t>SectionB_Exam2008202.53349</t>
  </si>
  <si>
    <t>SectionB_Exam2008211.53350</t>
  </si>
  <si>
    <t>SectionB_Exam2008301.53451</t>
  </si>
  <si>
    <t>SectionB_Exam201152.253654</t>
  </si>
  <si>
    <t>SectionB_Exam201171.253655</t>
  </si>
  <si>
    <t>SectionB_Exam201180.753756</t>
  </si>
  <si>
    <t>SectionB_Exam201261.53756</t>
  </si>
  <si>
    <t>SectionB_Exam20014236168</t>
  </si>
  <si>
    <t>SectionB_Exam20023746269</t>
  </si>
  <si>
    <t>SectionB_Exam20043326370</t>
  </si>
  <si>
    <t>SectionB_Exam20063226371</t>
  </si>
  <si>
    <t>SectionB_Exam2008311.756372</t>
  </si>
  <si>
    <t>SectionB_Exam201241.756574</t>
  </si>
  <si>
    <t>SectionB_Exam20014238084</t>
  </si>
  <si>
    <t>SectionB_Exam20023428184</t>
  </si>
  <si>
    <t>SectionB_Exam201161.258186</t>
  </si>
  <si>
    <t>SectionB_Exam201253.759195</t>
  </si>
  <si>
    <t>SectionC_Exam2006151110</t>
  </si>
  <si>
    <t>SectionC_Exam2006342110</t>
  </si>
  <si>
    <t>SectionC_Exam2008141.5312</t>
  </si>
  <si>
    <t>SectionC_Exam2008162.25312</t>
  </si>
  <si>
    <t>SectionC_Exam201193516</t>
  </si>
  <si>
    <t>SectionC_Exam2011103617</t>
  </si>
  <si>
    <t>SectionC_Exam2012852325</t>
  </si>
  <si>
    <t>SectionC_Exam20014413336</t>
  </si>
  <si>
    <t>SectionC_Exam20014513336</t>
  </si>
  <si>
    <t>SectionC_Exam20021253336</t>
  </si>
  <si>
    <t>SectionC_Exam2011123.753437</t>
  </si>
  <si>
    <t>SectionC_Exam20083814648</t>
  </si>
  <si>
    <t>SectionC_Exam2011111.54648</t>
  </si>
  <si>
    <t>SectionC_Exam201292.54649</t>
  </si>
  <si>
    <t>SectionC_Exam2012112.54749</t>
  </si>
  <si>
    <t>SectionC_Exam2001462.55261</t>
  </si>
  <si>
    <t>SectionC_Exam2002401.55262</t>
  </si>
  <si>
    <t>SectionC_Exam20024125363</t>
  </si>
  <si>
    <t>SectionC_Exam20043925464</t>
  </si>
  <si>
    <t>SectionC_Exam2006394.255465</t>
  </si>
  <si>
    <t>SectionC_Exam20083915566</t>
  </si>
  <si>
    <t>SectionC_Exam2006361.57274</t>
  </si>
  <si>
    <t>SectionC_Exam201292.57275</t>
  </si>
  <si>
    <t>SectionC_Exam2004402.57793</t>
  </si>
  <si>
    <t>SectionC_Exam20063817895</t>
  </si>
  <si>
    <t>SectionC_Exam2008352.257996</t>
  </si>
  <si>
    <t>SectionC_Exam20083628097</t>
  </si>
  <si>
    <t>SectionC_Exam2008371.58098</t>
  </si>
  <si>
    <t>SectionC_Exam2011132.585104</t>
  </si>
  <si>
    <t>SectionC_Exam201114185105</t>
  </si>
  <si>
    <t>SectionC_Exam201210286106</t>
  </si>
  <si>
    <t>SectionC_Exam2006372116117</t>
  </si>
  <si>
    <t>6:00-7:00</t>
  </si>
  <si>
    <t>8:30-9:30</t>
  </si>
  <si>
    <t>cov share use expected value to allocate covariance in each event</t>
  </si>
  <si>
    <t>Formula!</t>
  </si>
  <si>
    <t>text</t>
  </si>
  <si>
    <t>Total Points</t>
  </si>
  <si>
    <t>Risk pooling increase total std deviation but sharing reduces</t>
  </si>
  <si>
    <t>centainty equivalent rate = risk free rate to match with the utility offered by investing in risky assets</t>
  </si>
  <si>
    <t>VERBAL: Separation Strategy optimal risky portfolio same for all investors</t>
  </si>
  <si>
    <t>VERBAL: sharpe ratio definition</t>
  </si>
  <si>
    <t>Formula : optimal risky porfolio</t>
  </si>
  <si>
    <t>Systematic risk for a weighted portfolio</t>
  </si>
  <si>
    <t>Formula : SD of 2 investments with correlation</t>
  </si>
  <si>
    <t>Diversification results in higher sharpe ratio</t>
  </si>
  <si>
    <t>Verbal:risk sharing concept, increasing sharpe ratio over long term, but risk also increases to  sigma * t^0.5</t>
  </si>
  <si>
    <t>VERBAL: Diversification effect if not correlated</t>
  </si>
  <si>
    <t xml:space="preserve">Verbal? </t>
  </si>
  <si>
    <t>Efficient front tier, cannot have low return high risk</t>
  </si>
  <si>
    <t>Formula y= RP/(A*sigma^2)  A has to be in the form of E(r)- 0.5A  *sigma^2</t>
  </si>
  <si>
    <t>Formula: Factor Model Factor-RF</t>
  </si>
  <si>
    <t>Verbal: Come back for better understanding</t>
  </si>
  <si>
    <t xml:space="preserve">Formula: Assets and Liability correlation  * (-1) </t>
  </si>
  <si>
    <t>22-23:30</t>
  </si>
  <si>
    <t>Active Portfolio Steps!</t>
  </si>
  <si>
    <t xml:space="preserve">Verbal: High beta vs Low beta returns </t>
  </si>
  <si>
    <t>Verbal: interpretation of graphs, slope and intercept</t>
  </si>
  <si>
    <t>Formula: beta = covariance / variance of market</t>
  </si>
  <si>
    <t>independent</t>
  </si>
  <si>
    <t>Formula: Covariance /Variance= Beta</t>
  </si>
  <si>
    <t>Verbal: Definition of Zero-beta</t>
  </si>
  <si>
    <t>VERBAL: CAPM assumptions</t>
  </si>
  <si>
    <t>Formula: different methods to calculate beta</t>
  </si>
  <si>
    <t>VERBAL: Market efficiency evidence</t>
  </si>
  <si>
    <t>VERBAL: Confident Ratio Formula</t>
  </si>
  <si>
    <t>VERBAL: 3 limits to Arbitrage</t>
  </si>
  <si>
    <t>VERBAL: Efficient Market Forms</t>
  </si>
  <si>
    <t>VERBAL: Anomalies with efficient market</t>
  </si>
  <si>
    <t>VERBAL: Every one is passive</t>
  </si>
  <si>
    <t>WHAT THE HELL</t>
  </si>
  <si>
    <t>VERBAL: IMPORTANT</t>
  </si>
  <si>
    <t>Formula: Fwd rate is y, not 1+y</t>
  </si>
  <si>
    <t>VERBAL: equity premium puzzle</t>
  </si>
  <si>
    <t>VERBAL: Three Theories on Term Structure</t>
  </si>
  <si>
    <t>VERBAL: FFF regression analysis interpretation</t>
  </si>
  <si>
    <t>VERBAL: Test of CAPM--  3 steps!!!</t>
  </si>
  <si>
    <t>VERBAL: Extension of CAPM</t>
  </si>
  <si>
    <t>VERBAL: Concept of style portfolio</t>
  </si>
  <si>
    <t>VERBAL: Behavior explanation: narrow framing and loss aversion</t>
  </si>
  <si>
    <t>VERBAL: Roll's Critique</t>
  </si>
  <si>
    <t>VERBAL: hypothesis implication</t>
  </si>
  <si>
    <t>Formula: half year interest = annual interest rate DIVIDED by TWO</t>
  </si>
  <si>
    <t>Formula: convexity!! t(t+1)</t>
  </si>
  <si>
    <t>Formula: FWR agreement!</t>
  </si>
  <si>
    <t>8:45-9:30</t>
  </si>
  <si>
    <t>9:00-9:30</t>
  </si>
  <si>
    <t>VERBAL: limitation of immunization_x000D_
Formula: Peptuity macaulay duration-- (1+i)/i _x000D_
Calculation needs to continue when answering amounts not percentage!</t>
  </si>
  <si>
    <t>VERBAL: If no limitation use cashflow matching!</t>
  </si>
  <si>
    <t>VERBAL: Three Mitigation Clauses!</t>
  </si>
  <si>
    <t>VERBAL</t>
  </si>
  <si>
    <t>Formula Comparative advantage of rates</t>
  </si>
  <si>
    <t>Formula: Modified= Macaulay =t*pvcf  for continuous compounding yield</t>
  </si>
  <si>
    <t>Formula: Duration gap of economic leverage</t>
  </si>
  <si>
    <t>No clue!!</t>
  </si>
  <si>
    <t>Formula: Only Expected Cash Flow! no hard question</t>
  </si>
  <si>
    <t>VERBAL: Comparative Advantage</t>
  </si>
  <si>
    <t xml:space="preserve">VERBAL: Adv Disadvantage of Cash flow immunization </t>
  </si>
  <si>
    <t>Formula: Tricky question to use y-t-m not current market interest rate!</t>
  </si>
  <si>
    <t>FORMULA:::::::!!!!!! CEV, TEV, FV, DFV, DT</t>
  </si>
  <si>
    <t xml:space="preserve">VERBAL: strategy </t>
  </si>
  <si>
    <t>VERBAL: two layers of solution, PV has to match</t>
  </si>
  <si>
    <t>Formula: Assume half year pay day</t>
  </si>
  <si>
    <t>VERBAL: Just mermorization!</t>
  </si>
  <si>
    <t>VERBAL: Which method is Feldblum Supporting</t>
  </si>
  <si>
    <t xml:space="preserve">tricky risk free rate kicks in </t>
  </si>
  <si>
    <t>FORMULA: CALL-Put quesiton BS formula</t>
  </si>
  <si>
    <t>FORMULA: P= L*PV(x)+E+L(1-PV(x0))/ 1-U0-V_x000D_
Combined= 1- U/P = (L+ E+ VP)/P</t>
  </si>
  <si>
    <t>Robbins  -- Method 5!!</t>
  </si>
  <si>
    <t>FORMULA: set up the right schedule, price difference = expected default losses , using risk-free rate for expected default lossse. Recovery rate =% of face</t>
  </si>
  <si>
    <t>Confusion: what is cumulative default intensity, i though to be the lamda</t>
  </si>
  <si>
    <t xml:space="preserve">Good Problem: </t>
  </si>
  <si>
    <t>VERBAL: answering part d is hard, but the first two should be memorization</t>
  </si>
  <si>
    <t>VERBAL: Purely Memorization</t>
  </si>
  <si>
    <t>VERBAL:memorization</t>
  </si>
  <si>
    <t>Good Question</t>
  </si>
  <si>
    <t>VERBAL: VaR good thing</t>
  </si>
  <si>
    <t>Formula: Purely memorization of CDS formula</t>
  </si>
  <si>
    <t>VERBAL: Notecard</t>
  </si>
  <si>
    <t>VERBAL: Important Notecards</t>
  </si>
  <si>
    <t>VERBAL: Cash flow at Risk</t>
  </si>
  <si>
    <t>VERBAL: last question is interesting, solution is create CDO square!</t>
  </si>
  <si>
    <t>VERBAL: MGRM's story</t>
  </si>
  <si>
    <t>VERBAL: check CDO's definition</t>
  </si>
  <si>
    <t>VERBAL: All things on Coval paper!!  Highly important</t>
  </si>
  <si>
    <t>Formula:  Cummins Capital relationships of betas for assets and liabilities</t>
  </si>
  <si>
    <t>VERBAL: Exceedence Probability</t>
  </si>
  <si>
    <t>VERBAL: Differences between EPD and VaR</t>
  </si>
  <si>
    <t>Formula: Bustic classic problem Come Back</t>
  </si>
  <si>
    <t>Formula: watch out for first pass assets</t>
  </si>
  <si>
    <t>Bustic , two distribution problem</t>
  </si>
  <si>
    <t>Formula: Average Default Intensity</t>
  </si>
  <si>
    <t>VERBAL: Relationship of Ito's lemma</t>
  </si>
  <si>
    <t>Credit Metric Table understanding of credit VaR</t>
  </si>
  <si>
    <t>Formula: Correct formula set up but wrong algebra</t>
  </si>
  <si>
    <t>Formula: What does approximation results-- the average hazard rate</t>
  </si>
  <si>
    <t>Formula: RAROC Claculation</t>
  </si>
  <si>
    <t>Formula</t>
  </si>
  <si>
    <t>Formula: Need to be familar with formula, plus the 10 % point means additionial 10% on roe, not 10% change</t>
  </si>
  <si>
    <t>Formula: be careful of ratios, R/A is not in formula, need conversion</t>
  </si>
  <si>
    <t>Formula: Multi-period commitment on capital</t>
  </si>
  <si>
    <t xml:space="preserve">Formula: Proportion method vs Incremental _x000D_
Verbal: Why risk capital why book capital </t>
  </si>
  <si>
    <t>Formula: Myers-Read</t>
  </si>
  <si>
    <t>VERBAL: McClenahan paper, main arguments for not including some items for profit load</t>
  </si>
  <si>
    <t>VERBAL: Borrowing cost from insurer</t>
  </si>
  <si>
    <t>Formula: Incremental allocates the entire capital</t>
  </si>
  <si>
    <t>Formula: Solution doesn't look like they are feldblum contribution/distribution of equity problem</t>
  </si>
  <si>
    <t>VERBAL: initial commitment, more means less opportunity cost?</t>
  </si>
  <si>
    <t>Formula: IRR feldblum, reserve includes both, what about the duration - based allocation?</t>
  </si>
  <si>
    <t xml:space="preserve">Formula: Kreps </t>
  </si>
  <si>
    <t xml:space="preserve">Formula: Cal Year ROE </t>
  </si>
  <si>
    <t>a</t>
  </si>
  <si>
    <t>b</t>
  </si>
  <si>
    <t>v</t>
  </si>
  <si>
    <t>d</t>
  </si>
  <si>
    <t>e</t>
  </si>
  <si>
    <t>Index</t>
  </si>
  <si>
    <t>IC</t>
  </si>
  <si>
    <t>1:00-2:00</t>
  </si>
  <si>
    <t>VERBAL: don't understand</t>
  </si>
  <si>
    <t>VERBAL: Swap and Put A&amp; D</t>
  </si>
  <si>
    <t>Formula: Cal ROE</t>
  </si>
  <si>
    <t>Formula: Method 6 Robbin</t>
  </si>
  <si>
    <t>Formula: 1st half not sure</t>
  </si>
  <si>
    <t>One Missing Paper : Dynamic relationship</t>
  </si>
  <si>
    <t>Formula: Good Problem</t>
  </si>
  <si>
    <t xml:space="preserve">VERBAL: Ferrari Dynamic </t>
  </si>
  <si>
    <t>VERBAL: Overstate/Understate for Kreps</t>
  </si>
  <si>
    <t>VERBAL: Risk measures in Feldblum Paper</t>
  </si>
  <si>
    <t>Formula: McClenahan</t>
  </si>
  <si>
    <t xml:space="preserve">VERBAL: Explain Mango </t>
  </si>
  <si>
    <t>Formula: swap, rate of investment</t>
  </si>
  <si>
    <t>VERBAL: who cares about what</t>
  </si>
  <si>
    <t>VERBAL: Risk Measure</t>
  </si>
  <si>
    <t>VERBAL: Why is it rarely a issue</t>
  </si>
  <si>
    <t>VERBAL: Robbin's mentioning on when to include surplus/ phsf investment income</t>
  </si>
  <si>
    <t>FORMULA: always forget about equity in uepr!</t>
  </si>
  <si>
    <t>Formula: Robbin method PVI/PVE</t>
  </si>
  <si>
    <t>VERBAL: Dynamic Relationship</t>
  </si>
  <si>
    <t>VERBAL: when low when high of IRR</t>
  </si>
  <si>
    <t>VERBAL: Different Methods Comparisons</t>
  </si>
  <si>
    <t>VERBAL: Overcome allocating problem, switching renewal to build up, force an order</t>
  </si>
  <si>
    <t>VERBAL: Major source of risk ??</t>
  </si>
  <si>
    <t>Formula: Changing Reserve willl cause surplus go opposite direction</t>
  </si>
  <si>
    <t>Comprehensive TIA on Mango</t>
  </si>
  <si>
    <t>Formula: IRR nothing pay out in the middle</t>
  </si>
  <si>
    <t>VERBAL: IRR and NPV has different answer--two situations</t>
  </si>
  <si>
    <t>VERBAL: Optimal Structure</t>
  </si>
  <si>
    <t xml:space="preserve">VERBAL: Using industry p/s ratio </t>
  </si>
  <si>
    <t>VERBAL: Evaluating CY's performance is hard because?</t>
  </si>
  <si>
    <t>VERBAL: Roth's main points</t>
  </si>
  <si>
    <t>FORMULA &amp; VERBAL: when is it excessive, evaluate which number</t>
  </si>
  <si>
    <t xml:space="preserve">VERBAL: increasing of roe lead to higher risk load </t>
  </si>
  <si>
    <t>c</t>
  </si>
  <si>
    <t>****Very important concept</t>
  </si>
  <si>
    <t xml:space="preserve">PVI/PVE Good Review!! _x000D_
Income: Earned-Incurred_x000D_
_x000D_
Investable Assets: PHSF + Surplus , average * yield (same as irr equity)_x000D_
Reserve = cum Incurred- cum paid_x000D_
PVE calc-- annualized factor_x000D_
</t>
  </si>
  <si>
    <t>BKM15</t>
  </si>
  <si>
    <t>BKM16/23</t>
  </si>
  <si>
    <t>BKM14</t>
  </si>
  <si>
    <t>bodoff</t>
  </si>
  <si>
    <t>Kreps Ratio</t>
  </si>
  <si>
    <t>Robbin IRR</t>
  </si>
  <si>
    <r>
      <t>Coval</t>
    </r>
    <r>
      <rPr>
        <sz val="11"/>
        <color rgb="FFFF0000"/>
        <rFont val="Calibri"/>
        <family val="2"/>
        <scheme val="minor"/>
      </rPr>
      <t>/Hull 24</t>
    </r>
  </si>
</sst>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_(* #,##0.000_);_(* \(#,##0.000\);_(* &quot;-&quot;??_);_(@_)"/>
    <numFmt numFmtId="165" formatCode="0.0%"/>
    <numFmt numFmtId="166" formatCode="_(* #,##0.0_);_(* \(#,##0.0\);_(* &quot;-&quot;??_);_(@_)"/>
    <numFmt numFmtId="167" formatCode="_(* #,##0_);_(* \(#,##0\);_(* &quot;-&quot;??_);_(@_)"/>
  </numFmts>
  <fonts count="10" x14ac:knownFonts="1">
    <font>
      <sz val="11"/>
      <color theme="1"/>
      <name val="Calibri"/>
      <family val="2"/>
      <scheme val="minor"/>
    </font>
    <font>
      <b/>
      <u/>
      <sz val="11"/>
      <color theme="1"/>
      <name val="Calibri"/>
      <family val="2"/>
      <scheme val="minor"/>
    </font>
    <font>
      <sz val="11"/>
      <color theme="1"/>
      <name val="Calibri"/>
      <family val="2"/>
      <scheme val="minor"/>
    </font>
    <font>
      <b/>
      <sz val="11"/>
      <color theme="1"/>
      <name val="Calibri"/>
      <family val="2"/>
      <scheme val="minor"/>
    </font>
    <font>
      <b/>
      <i/>
      <sz val="11"/>
      <color theme="1"/>
      <name val="Calibri"/>
      <family val="2"/>
      <scheme val="minor"/>
    </font>
    <font>
      <sz val="11"/>
      <color rgb="FFFF0000"/>
      <name val="Calibri"/>
      <family val="2"/>
      <scheme val="minor"/>
    </font>
    <font>
      <sz val="11"/>
      <name val="Calibri"/>
      <family val="2"/>
      <scheme val="minor"/>
    </font>
    <font>
      <b/>
      <sz val="11"/>
      <color rgb="FFFF0000"/>
      <name val="Calibri"/>
      <family val="2"/>
      <scheme val="minor"/>
    </font>
    <font>
      <strike/>
      <sz val="11"/>
      <color theme="1"/>
      <name val="Calibri"/>
      <family val="2"/>
      <scheme val="minor"/>
    </font>
    <font>
      <strike/>
      <sz val="11"/>
      <color rgb="FFFF0000"/>
      <name val="Calibri"/>
      <family val="2"/>
      <scheme val="minor"/>
    </font>
  </fonts>
  <fills count="7">
    <fill>
      <patternFill patternType="none"/>
    </fill>
    <fill>
      <patternFill patternType="gray125"/>
    </fill>
    <fill>
      <patternFill patternType="solid">
        <fgColor rgb="FFFFFF0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8" tint="0.39997558519241921"/>
        <bgColor indexed="64"/>
      </patternFill>
    </fill>
  </fills>
  <borders count="2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medium">
        <color indexed="64"/>
      </right>
      <top/>
      <bottom/>
      <diagonal/>
    </border>
    <border>
      <left/>
      <right style="thin">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bottom/>
      <diagonal/>
    </border>
  </borders>
  <cellStyleXfs count="3">
    <xf numFmtId="0" fontId="0" fillId="0" borderId="0"/>
    <xf numFmtId="43" fontId="2" fillId="0" borderId="0" applyFont="0" applyFill="0" applyBorder="0" applyAlignment="0" applyProtection="0"/>
    <xf numFmtId="9" fontId="2" fillId="0" borderId="0" applyFont="0" applyFill="0" applyBorder="0" applyAlignment="0" applyProtection="0"/>
  </cellStyleXfs>
  <cellXfs count="220">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0" fontId="1" fillId="0" borderId="1" xfId="0" applyFont="1" applyBorder="1"/>
    <xf numFmtId="0" fontId="1" fillId="0" borderId="2" xfId="0" applyFont="1" applyBorder="1"/>
    <xf numFmtId="0" fontId="1" fillId="0" borderId="0" xfId="0" applyFont="1"/>
    <xf numFmtId="0" fontId="1" fillId="0" borderId="1" xfId="0" applyFont="1" applyFill="1" applyBorder="1"/>
    <xf numFmtId="0" fontId="1" fillId="0" borderId="9" xfId="0" applyFont="1" applyFill="1" applyBorder="1"/>
    <xf numFmtId="22" fontId="0" fillId="0" borderId="0" xfId="0" applyNumberFormat="1"/>
    <xf numFmtId="43" fontId="1" fillId="0" borderId="0" xfId="1" applyFont="1"/>
    <xf numFmtId="43" fontId="0" fillId="0" borderId="0" xfId="1" applyFont="1"/>
    <xf numFmtId="0" fontId="0" fillId="0" borderId="9" xfId="0" applyBorder="1"/>
    <xf numFmtId="0" fontId="0" fillId="0" borderId="11" xfId="0" applyBorder="1"/>
    <xf numFmtId="0" fontId="0" fillId="0" borderId="0" xfId="0" applyAlignment="1">
      <alignment horizontal="center"/>
    </xf>
    <xf numFmtId="0" fontId="3" fillId="0" borderId="0" xfId="0" applyFont="1" applyAlignment="1">
      <alignment horizontal="center"/>
    </xf>
    <xf numFmtId="43" fontId="3" fillId="0" borderId="0" xfId="0" applyNumberFormat="1" applyFont="1" applyAlignment="1">
      <alignment horizontal="center"/>
    </xf>
    <xf numFmtId="0" fontId="0" fillId="0" borderId="13" xfId="0" applyBorder="1"/>
    <xf numFmtId="165" fontId="0" fillId="0" borderId="13" xfId="2" applyNumberFormat="1" applyFont="1" applyFill="1" applyBorder="1"/>
    <xf numFmtId="0" fontId="0" fillId="0" borderId="14" xfId="0" applyBorder="1"/>
    <xf numFmtId="14" fontId="0" fillId="0" borderId="9" xfId="0" applyNumberFormat="1" applyBorder="1"/>
    <xf numFmtId="43" fontId="0" fillId="0" borderId="2" xfId="1" applyNumberFormat="1" applyFont="1" applyBorder="1"/>
    <xf numFmtId="165" fontId="0" fillId="0" borderId="2" xfId="2" applyNumberFormat="1" applyFont="1" applyFill="1" applyBorder="1"/>
    <xf numFmtId="14" fontId="0" fillId="0" borderId="10" xfId="0" applyNumberFormat="1" applyBorder="1"/>
    <xf numFmtId="43" fontId="0" fillId="0" borderId="0" xfId="1" applyNumberFormat="1" applyFont="1" applyBorder="1"/>
    <xf numFmtId="165" fontId="0" fillId="0" borderId="0" xfId="2" applyNumberFormat="1" applyFont="1" applyFill="1" applyBorder="1"/>
    <xf numFmtId="14" fontId="0" fillId="0" borderId="11" xfId="0" applyNumberFormat="1" applyBorder="1"/>
    <xf numFmtId="43" fontId="0" fillId="0" borderId="7" xfId="1" applyNumberFormat="1" applyFont="1" applyBorder="1"/>
    <xf numFmtId="165" fontId="0" fillId="0" borderId="7" xfId="2" applyNumberFormat="1" applyFont="1" applyFill="1" applyBorder="1"/>
    <xf numFmtId="0" fontId="0" fillId="0" borderId="6" xfId="0" applyFill="1" applyBorder="1"/>
    <xf numFmtId="0" fontId="0" fillId="0" borderId="7" xfId="0" applyFill="1" applyBorder="1"/>
    <xf numFmtId="43" fontId="0" fillId="0" borderId="7" xfId="1" applyNumberFormat="1" applyFont="1" applyFill="1" applyBorder="1"/>
    <xf numFmtId="0" fontId="3" fillId="0" borderId="12" xfId="0" applyFont="1" applyBorder="1"/>
    <xf numFmtId="14" fontId="0" fillId="0" borderId="0" xfId="0" applyNumberFormat="1"/>
    <xf numFmtId="43" fontId="0" fillId="0" borderId="4" xfId="1" applyFont="1" applyBorder="1"/>
    <xf numFmtId="0" fontId="1" fillId="0" borderId="2" xfId="0" applyFont="1" applyFill="1" applyBorder="1"/>
    <xf numFmtId="0" fontId="1" fillId="0" borderId="3" xfId="0" applyFont="1" applyFill="1" applyBorder="1"/>
    <xf numFmtId="0" fontId="4" fillId="0" borderId="0" xfId="0" applyFont="1" applyAlignment="1">
      <alignment horizontal="right"/>
    </xf>
    <xf numFmtId="0" fontId="0" fillId="0" borderId="9" xfId="0" applyBorder="1" applyAlignment="1">
      <alignment horizontal="center"/>
    </xf>
    <xf numFmtId="0" fontId="0" fillId="0" borderId="10" xfId="0" applyBorder="1" applyAlignment="1">
      <alignment horizontal="center"/>
    </xf>
    <xf numFmtId="43" fontId="0" fillId="0" borderId="14" xfId="1" applyNumberFormat="1" applyFont="1" applyFill="1" applyBorder="1"/>
    <xf numFmtId="43" fontId="0" fillId="0" borderId="5" xfId="1" applyNumberFormat="1" applyFont="1" applyFill="1" applyBorder="1"/>
    <xf numFmtId="43" fontId="0" fillId="0" borderId="8" xfId="1" applyNumberFormat="1" applyFont="1" applyFill="1" applyBorder="1"/>
    <xf numFmtId="43" fontId="0" fillId="0" borderId="3" xfId="1" applyNumberFormat="1" applyFont="1" applyFill="1" applyBorder="1"/>
    <xf numFmtId="2" fontId="0" fillId="0" borderId="10" xfId="0" applyNumberFormat="1" applyBorder="1" applyAlignment="1">
      <alignment horizontal="center"/>
    </xf>
    <xf numFmtId="2" fontId="0" fillId="0" borderId="11" xfId="0" applyNumberFormat="1" applyBorder="1"/>
    <xf numFmtId="0" fontId="1" fillId="0" borderId="2" xfId="0" applyFont="1" applyFill="1" applyBorder="1" applyAlignment="1">
      <alignment horizontal="center"/>
    </xf>
    <xf numFmtId="0" fontId="0" fillId="0" borderId="0" xfId="0" applyFill="1" applyBorder="1" applyAlignment="1">
      <alignment horizontal="center"/>
    </xf>
    <xf numFmtId="43" fontId="0" fillId="0" borderId="0" xfId="0" applyNumberFormat="1"/>
    <xf numFmtId="165" fontId="0" fillId="0" borderId="0" xfId="2" applyNumberFormat="1" applyFont="1" applyBorder="1"/>
    <xf numFmtId="166" fontId="0" fillId="0" borderId="0" xfId="1" applyNumberFormat="1" applyFont="1"/>
    <xf numFmtId="22" fontId="1" fillId="0" borderId="0" xfId="0" applyNumberFormat="1" applyFont="1"/>
    <xf numFmtId="0" fontId="1" fillId="0" borderId="0" xfId="0" applyFont="1" applyAlignment="1">
      <alignment horizontal="center"/>
    </xf>
    <xf numFmtId="2" fontId="0" fillId="0" borderId="11" xfId="0" applyNumberFormat="1" applyBorder="1" applyAlignment="1">
      <alignment horizontal="center"/>
    </xf>
    <xf numFmtId="165" fontId="0" fillId="0" borderId="10" xfId="2" applyNumberFormat="1" applyFont="1" applyBorder="1" applyAlignment="1">
      <alignment horizontal="center"/>
    </xf>
    <xf numFmtId="2" fontId="0" fillId="0" borderId="9" xfId="0" applyNumberFormat="1" applyBorder="1" applyAlignment="1">
      <alignment horizontal="center"/>
    </xf>
    <xf numFmtId="166" fontId="3" fillId="0" borderId="0" xfId="1" applyNumberFormat="1" applyFont="1" applyAlignment="1">
      <alignment horizontal="center"/>
    </xf>
    <xf numFmtId="166" fontId="0" fillId="0" borderId="1" xfId="1" applyNumberFormat="1" applyFont="1" applyBorder="1"/>
    <xf numFmtId="166" fontId="0" fillId="0" borderId="4" xfId="1" applyNumberFormat="1" applyFont="1" applyBorder="1"/>
    <xf numFmtId="166" fontId="0" fillId="0" borderId="6" xfId="1" applyNumberFormat="1" applyFont="1" applyBorder="1"/>
    <xf numFmtId="43" fontId="0" fillId="0" borderId="0" xfId="1" applyFont="1" applyBorder="1"/>
    <xf numFmtId="0" fontId="3" fillId="0" borderId="0" xfId="0" applyFont="1"/>
    <xf numFmtId="43" fontId="0" fillId="0" borderId="3" xfId="1" applyFont="1" applyBorder="1"/>
    <xf numFmtId="43" fontId="0" fillId="0" borderId="8" xfId="1" applyFont="1" applyBorder="1"/>
    <xf numFmtId="2" fontId="0" fillId="0" borderId="0" xfId="0" applyNumberFormat="1" applyBorder="1" applyAlignment="1">
      <alignment horizontal="center"/>
    </xf>
    <xf numFmtId="0" fontId="0" fillId="0" borderId="0" xfId="0" applyBorder="1" applyAlignment="1">
      <alignment horizontal="center"/>
    </xf>
    <xf numFmtId="165" fontId="0" fillId="0" borderId="0" xfId="2" applyNumberFormat="1" applyFont="1" applyBorder="1" applyAlignment="1">
      <alignment horizontal="center"/>
    </xf>
    <xf numFmtId="0" fontId="0" fillId="0" borderId="0" xfId="0" applyNumberFormat="1"/>
    <xf numFmtId="166" fontId="0" fillId="0" borderId="2" xfId="1" applyNumberFormat="1" applyFont="1" applyBorder="1"/>
    <xf numFmtId="166" fontId="0" fillId="0" borderId="0" xfId="1" applyNumberFormat="1" applyFont="1" applyBorder="1"/>
    <xf numFmtId="43" fontId="0" fillId="0" borderId="12" xfId="0" applyNumberFormat="1" applyBorder="1"/>
    <xf numFmtId="167" fontId="0" fillId="0" borderId="0" xfId="1" applyNumberFormat="1" applyFont="1"/>
    <xf numFmtId="0" fontId="0" fillId="0" borderId="5" xfId="0" applyBorder="1" applyAlignment="1">
      <alignment horizontal="center"/>
    </xf>
    <xf numFmtId="0" fontId="0" fillId="0" borderId="5" xfId="0" applyFill="1" applyBorder="1" applyAlignment="1">
      <alignment horizontal="center"/>
    </xf>
    <xf numFmtId="43" fontId="0" fillId="0" borderId="5" xfId="1" applyFont="1" applyBorder="1"/>
    <xf numFmtId="0" fontId="0" fillId="0" borderId="1" xfId="0" applyBorder="1" applyAlignment="1">
      <alignment horizontal="right"/>
    </xf>
    <xf numFmtId="0" fontId="0" fillId="0" borderId="6" xfId="0" applyBorder="1" applyAlignment="1">
      <alignment horizontal="right"/>
    </xf>
    <xf numFmtId="43" fontId="0" fillId="0" borderId="8" xfId="1" applyNumberFormat="1" applyFont="1" applyBorder="1"/>
    <xf numFmtId="43" fontId="0" fillId="0" borderId="0" xfId="0" applyNumberFormat="1" applyBorder="1" applyAlignment="1">
      <alignment horizontal="center"/>
    </xf>
    <xf numFmtId="166" fontId="0" fillId="0" borderId="0" xfId="1" applyNumberFormat="1" applyFont="1" applyBorder="1" applyAlignment="1">
      <alignment horizontal="center"/>
    </xf>
    <xf numFmtId="0" fontId="0" fillId="0" borderId="3" xfId="0" applyBorder="1" applyAlignment="1">
      <alignment horizontal="center"/>
    </xf>
    <xf numFmtId="166" fontId="0" fillId="0" borderId="7" xfId="1" applyNumberFormat="1" applyFont="1" applyBorder="1"/>
    <xf numFmtId="0" fontId="0" fillId="0" borderId="8" xfId="0" applyBorder="1" applyAlignment="1">
      <alignment horizontal="center"/>
    </xf>
    <xf numFmtId="164" fontId="0" fillId="0" borderId="0" xfId="0" applyNumberFormat="1"/>
    <xf numFmtId="165" fontId="3" fillId="0" borderId="0" xfId="1" applyNumberFormat="1" applyFont="1" applyBorder="1"/>
    <xf numFmtId="0" fontId="3" fillId="0" borderId="1" xfId="0" applyFont="1" applyBorder="1" applyAlignment="1">
      <alignment horizontal="right"/>
    </xf>
    <xf numFmtId="0" fontId="3" fillId="0" borderId="6" xfId="0" applyFont="1" applyBorder="1" applyAlignment="1">
      <alignment horizontal="right"/>
    </xf>
    <xf numFmtId="43" fontId="0" fillId="0" borderId="8" xfId="1" applyFont="1" applyBorder="1" applyAlignment="1">
      <alignment horizontal="center"/>
    </xf>
    <xf numFmtId="0" fontId="1" fillId="0" borderId="0" xfId="0" applyFont="1" applyFill="1" applyBorder="1"/>
    <xf numFmtId="166" fontId="3" fillId="0" borderId="2" xfId="1" applyNumberFormat="1" applyFont="1" applyBorder="1"/>
    <xf numFmtId="43" fontId="0" fillId="0" borderId="13" xfId="0" applyNumberFormat="1" applyBorder="1"/>
    <xf numFmtId="166" fontId="0" fillId="0" borderId="12" xfId="1" applyNumberFormat="1" applyFont="1" applyBorder="1"/>
    <xf numFmtId="166" fontId="0" fillId="0" borderId="13" xfId="1" applyNumberFormat="1" applyFont="1" applyBorder="1"/>
    <xf numFmtId="43" fontId="0" fillId="0" borderId="14" xfId="1" applyFont="1" applyBorder="1"/>
    <xf numFmtId="43" fontId="0" fillId="0" borderId="14" xfId="0" applyNumberFormat="1" applyBorder="1" applyAlignment="1">
      <alignment horizontal="center"/>
    </xf>
    <xf numFmtId="0" fontId="1" fillId="0" borderId="0" xfId="0" applyNumberFormat="1" applyFont="1"/>
    <xf numFmtId="43" fontId="0" fillId="0" borderId="10" xfId="0" applyNumberFormat="1" applyBorder="1" applyAlignment="1">
      <alignment horizontal="center"/>
    </xf>
    <xf numFmtId="166" fontId="3" fillId="0" borderId="0" xfId="1" applyNumberFormat="1" applyFont="1" applyBorder="1"/>
    <xf numFmtId="0" fontId="0" fillId="0" borderId="0" xfId="0" applyAlignment="1">
      <alignment wrapText="1"/>
    </xf>
    <xf numFmtId="0" fontId="4" fillId="2" borderId="15" xfId="0" applyFont="1" applyFill="1" applyBorder="1"/>
    <xf numFmtId="14" fontId="5" fillId="2" borderId="10" xfId="0" applyNumberFormat="1" applyFont="1" applyFill="1" applyBorder="1"/>
    <xf numFmtId="0" fontId="5" fillId="2" borderId="4" xfId="0" applyFont="1" applyFill="1" applyBorder="1"/>
    <xf numFmtId="0" fontId="5" fillId="2" borderId="0" xfId="0" applyFont="1" applyFill="1" applyBorder="1"/>
    <xf numFmtId="43" fontId="5" fillId="2" borderId="0" xfId="1" applyNumberFormat="1" applyFont="1" applyFill="1" applyBorder="1"/>
    <xf numFmtId="165" fontId="5" fillId="2" borderId="0" xfId="2" applyNumberFormat="1" applyFont="1" applyFill="1" applyBorder="1"/>
    <xf numFmtId="43" fontId="5" fillId="2" borderId="5" xfId="1" applyNumberFormat="1" applyFont="1" applyFill="1" applyBorder="1"/>
    <xf numFmtId="0" fontId="5" fillId="2" borderId="5" xfId="0" applyFont="1" applyFill="1" applyBorder="1"/>
    <xf numFmtId="166" fontId="5" fillId="2" borderId="4" xfId="1" applyNumberFormat="1" applyFont="1" applyFill="1" applyBorder="1"/>
    <xf numFmtId="166" fontId="5" fillId="2" borderId="0" xfId="1" applyNumberFormat="1" applyFont="1" applyFill="1" applyBorder="1"/>
    <xf numFmtId="43" fontId="5" fillId="2" borderId="5" xfId="1" applyFont="1" applyFill="1" applyBorder="1"/>
    <xf numFmtId="0" fontId="5" fillId="2" borderId="5" xfId="0" applyFont="1" applyFill="1" applyBorder="1" applyAlignment="1">
      <alignment horizontal="center"/>
    </xf>
    <xf numFmtId="0" fontId="0" fillId="0" borderId="0" xfId="0" applyFont="1" applyBorder="1"/>
    <xf numFmtId="0" fontId="0" fillId="0" borderId="0" xfId="0" applyFont="1" applyFill="1" applyBorder="1"/>
    <xf numFmtId="165" fontId="2" fillId="0" borderId="0" xfId="2" applyNumberFormat="1" applyFont="1" applyBorder="1"/>
    <xf numFmtId="43" fontId="2" fillId="0" borderId="0" xfId="1" applyFont="1" applyBorder="1"/>
    <xf numFmtId="164" fontId="2" fillId="0" borderId="0" xfId="1" applyNumberFormat="1" applyFont="1" applyBorder="1"/>
    <xf numFmtId="166" fontId="2" fillId="0" borderId="0" xfId="1" applyNumberFormat="1" applyFont="1" applyBorder="1"/>
    <xf numFmtId="0" fontId="0" fillId="0" borderId="0" xfId="0" applyFont="1"/>
    <xf numFmtId="165" fontId="2" fillId="0" borderId="0" xfId="2" applyNumberFormat="1" applyFont="1"/>
    <xf numFmtId="16" fontId="0" fillId="0" borderId="0" xfId="0" quotePrefix="1" applyNumberFormat="1" applyFont="1" applyFill="1" applyBorder="1"/>
    <xf numFmtId="0" fontId="0" fillId="0" borderId="1" xfId="0" applyFont="1" applyFill="1" applyBorder="1"/>
    <xf numFmtId="0" fontId="0" fillId="0" borderId="2" xfId="0" applyFont="1" applyFill="1" applyBorder="1"/>
    <xf numFmtId="165" fontId="2" fillId="0" borderId="2" xfId="2" applyNumberFormat="1" applyFont="1" applyBorder="1"/>
    <xf numFmtId="43" fontId="2" fillId="0" borderId="2" xfId="1" applyFont="1" applyBorder="1"/>
    <xf numFmtId="164" fontId="2" fillId="0" borderId="2" xfId="1" applyNumberFormat="1" applyFont="1" applyBorder="1"/>
    <xf numFmtId="0" fontId="0" fillId="0" borderId="2" xfId="0" applyFont="1" applyBorder="1"/>
    <xf numFmtId="166" fontId="2" fillId="0" borderId="2" xfId="1" applyNumberFormat="1" applyFont="1" applyBorder="1"/>
    <xf numFmtId="166" fontId="2" fillId="0" borderId="3" xfId="1" applyNumberFormat="1" applyFont="1" applyFill="1" applyBorder="1"/>
    <xf numFmtId="0" fontId="0" fillId="0" borderId="4" xfId="0" applyFont="1" applyFill="1" applyBorder="1"/>
    <xf numFmtId="166" fontId="2" fillId="0" borderId="5" xfId="1" applyNumberFormat="1" applyFont="1" applyFill="1" applyBorder="1"/>
    <xf numFmtId="0" fontId="0" fillId="0" borderId="6" xfId="0" applyFont="1" applyFill="1" applyBorder="1"/>
    <xf numFmtId="0" fontId="0" fillId="0" borderId="7" xfId="0" applyFont="1" applyBorder="1"/>
    <xf numFmtId="0" fontId="0" fillId="0" borderId="7" xfId="0" applyFont="1" applyFill="1" applyBorder="1"/>
    <xf numFmtId="165" fontId="2" fillId="0" borderId="7" xfId="2" applyNumberFormat="1" applyFont="1" applyBorder="1"/>
    <xf numFmtId="43" fontId="2" fillId="0" borderId="7" xfId="1" applyFont="1" applyBorder="1"/>
    <xf numFmtId="164" fontId="2" fillId="0" borderId="7" xfId="1" applyNumberFormat="1" applyFont="1" applyBorder="1"/>
    <xf numFmtId="166" fontId="2" fillId="0" borderId="7" xfId="1" applyNumberFormat="1" applyFont="1" applyBorder="1"/>
    <xf numFmtId="166" fontId="2" fillId="0" borderId="8" xfId="1" applyNumberFormat="1" applyFont="1" applyFill="1" applyBorder="1"/>
    <xf numFmtId="166" fontId="5" fillId="2" borderId="0" xfId="1" applyNumberFormat="1" applyFont="1" applyFill="1" applyBorder="1" applyAlignment="1">
      <alignment horizontal="center"/>
    </xf>
    <xf numFmtId="43" fontId="5" fillId="2" borderId="0" xfId="1" applyFont="1" applyFill="1"/>
    <xf numFmtId="14" fontId="7" fillId="3" borderId="10" xfId="0" applyNumberFormat="1" applyFont="1" applyFill="1" applyBorder="1"/>
    <xf numFmtId="0" fontId="7" fillId="3" borderId="4" xfId="0" applyFont="1" applyFill="1" applyBorder="1"/>
    <xf numFmtId="0" fontId="7" fillId="3" borderId="0" xfId="0" applyFont="1" applyFill="1" applyBorder="1"/>
    <xf numFmtId="43" fontId="7" fillId="3" borderId="0" xfId="1" applyNumberFormat="1" applyFont="1" applyFill="1" applyBorder="1"/>
    <xf numFmtId="165" fontId="7" fillId="3" borderId="0" xfId="2" applyNumberFormat="1" applyFont="1" applyFill="1" applyBorder="1"/>
    <xf numFmtId="43" fontId="7" fillId="3" borderId="5" xfId="1" applyNumberFormat="1" applyFont="1" applyFill="1" applyBorder="1"/>
    <xf numFmtId="0" fontId="7" fillId="3" borderId="5" xfId="0" applyFont="1" applyFill="1" applyBorder="1"/>
    <xf numFmtId="166" fontId="7" fillId="3" borderId="0" xfId="1" applyNumberFormat="1" applyFont="1" applyFill="1" applyBorder="1"/>
    <xf numFmtId="166" fontId="7" fillId="3" borderId="4" xfId="1" applyNumberFormat="1" applyFont="1" applyFill="1" applyBorder="1"/>
    <xf numFmtId="0" fontId="7" fillId="3" borderId="5" xfId="0" applyFont="1" applyFill="1" applyBorder="1" applyAlignment="1">
      <alignment horizontal="center"/>
    </xf>
    <xf numFmtId="16" fontId="0" fillId="0" borderId="0" xfId="0" applyNumberFormat="1"/>
    <xf numFmtId="49" fontId="0" fillId="0" borderId="0" xfId="0" applyNumberFormat="1"/>
    <xf numFmtId="2" fontId="3" fillId="5" borderId="12" xfId="1" applyNumberFormat="1" applyFont="1" applyFill="1" applyBorder="1" applyAlignment="1">
      <alignment vertical="center"/>
    </xf>
    <xf numFmtId="2" fontId="3" fillId="5" borderId="14" xfId="1" applyNumberFormat="1" applyFont="1" applyFill="1" applyBorder="1" applyAlignment="1">
      <alignment vertical="center"/>
    </xf>
    <xf numFmtId="0" fontId="6" fillId="4" borderId="2" xfId="0" applyFont="1" applyFill="1" applyBorder="1"/>
    <xf numFmtId="0" fontId="6" fillId="4" borderId="0" xfId="0" applyFont="1" applyFill="1" applyBorder="1"/>
    <xf numFmtId="0" fontId="0" fillId="5" borderId="2" xfId="0" applyFont="1" applyFill="1" applyBorder="1"/>
    <xf numFmtId="0" fontId="0" fillId="5" borderId="2" xfId="0" applyFont="1" applyFill="1" applyBorder="1" applyAlignment="1">
      <alignment horizontal="left"/>
    </xf>
    <xf numFmtId="0" fontId="0" fillId="5" borderId="2" xfId="0" applyFont="1" applyFill="1" applyBorder="1" applyAlignment="1">
      <alignment horizontal="center"/>
    </xf>
    <xf numFmtId="0" fontId="0" fillId="5" borderId="0" xfId="0" applyFont="1" applyFill="1" applyBorder="1"/>
    <xf numFmtId="0" fontId="0" fillId="5" borderId="0" xfId="0" applyFont="1" applyFill="1" applyBorder="1" applyAlignment="1">
      <alignment horizontal="left"/>
    </xf>
    <xf numFmtId="0" fontId="0" fillId="5" borderId="0" xfId="0" applyFont="1" applyFill="1" applyBorder="1" applyAlignment="1">
      <alignment horizontal="center"/>
    </xf>
    <xf numFmtId="0" fontId="6" fillId="5" borderId="0" xfId="0" applyFont="1" applyFill="1" applyBorder="1"/>
    <xf numFmtId="0" fontId="0" fillId="5" borderId="7" xfId="0" applyFont="1" applyFill="1" applyBorder="1"/>
    <xf numFmtId="0" fontId="0" fillId="5" borderId="7" xfId="0" applyFont="1" applyFill="1" applyBorder="1" applyAlignment="1">
      <alignment horizontal="left"/>
    </xf>
    <xf numFmtId="0" fontId="0" fillId="5" borderId="7" xfId="0" applyFont="1" applyFill="1" applyBorder="1" applyAlignment="1">
      <alignment horizontal="center"/>
    </xf>
    <xf numFmtId="0" fontId="6" fillId="5" borderId="7" xfId="0" applyFont="1" applyFill="1" applyBorder="1"/>
    <xf numFmtId="164" fontId="2" fillId="5" borderId="2" xfId="1" applyNumberFormat="1" applyFont="1" applyFill="1" applyBorder="1"/>
    <xf numFmtId="164" fontId="2" fillId="5" borderId="0" xfId="1" applyNumberFormat="1" applyFont="1" applyFill="1" applyBorder="1"/>
    <xf numFmtId="164" fontId="2" fillId="5" borderId="7" xfId="1" applyNumberFormat="1" applyFont="1" applyFill="1" applyBorder="1"/>
    <xf numFmtId="1" fontId="3" fillId="5" borderId="3" xfId="1" applyNumberFormat="1" applyFont="1" applyFill="1" applyBorder="1" applyAlignment="1">
      <alignment horizontal="center" vertical="center"/>
    </xf>
    <xf numFmtId="0" fontId="0" fillId="0" borderId="1" xfId="0" applyFont="1" applyBorder="1"/>
    <xf numFmtId="0" fontId="0" fillId="0" borderId="6" xfId="0" applyFont="1" applyBorder="1"/>
    <xf numFmtId="0" fontId="6" fillId="4" borderId="7" xfId="0" applyFont="1" applyFill="1" applyBorder="1"/>
    <xf numFmtId="0" fontId="0" fillId="0" borderId="4" xfId="0" applyFont="1" applyBorder="1"/>
    <xf numFmtId="0" fontId="0" fillId="0" borderId="2" xfId="0" applyFont="1" applyFill="1" applyBorder="1" applyAlignment="1">
      <alignment horizontal="left"/>
    </xf>
    <xf numFmtId="0" fontId="0" fillId="0" borderId="0" xfId="0" applyFont="1" applyFill="1" applyBorder="1" applyAlignment="1">
      <alignment horizontal="left"/>
    </xf>
    <xf numFmtId="0" fontId="0" fillId="0" borderId="16" xfId="0" applyFont="1" applyFill="1" applyBorder="1"/>
    <xf numFmtId="43" fontId="7" fillId="3" borderId="0" xfId="1" applyFont="1" applyFill="1" applyBorder="1"/>
    <xf numFmtId="43" fontId="0" fillId="0" borderId="7" xfId="1" applyFont="1" applyBorder="1"/>
    <xf numFmtId="166" fontId="3" fillId="0" borderId="7" xfId="1" applyNumberFormat="1" applyFont="1" applyBorder="1"/>
    <xf numFmtId="0" fontId="0" fillId="0" borderId="17" xfId="0" applyFont="1" applyBorder="1"/>
    <xf numFmtId="0" fontId="8" fillId="0" borderId="0" xfId="0" applyFont="1"/>
    <xf numFmtId="43" fontId="2" fillId="0" borderId="7" xfId="1" applyNumberFormat="1" applyFont="1" applyBorder="1"/>
    <xf numFmtId="20" fontId="0" fillId="0" borderId="0" xfId="0" applyNumberFormat="1"/>
    <xf numFmtId="9" fontId="0" fillId="0" borderId="0" xfId="0" applyNumberFormat="1"/>
    <xf numFmtId="49" fontId="0" fillId="0" borderId="0" xfId="0" quotePrefix="1" applyNumberFormat="1"/>
    <xf numFmtId="14" fontId="0" fillId="0" borderId="18" xfId="0" applyNumberFormat="1" applyBorder="1"/>
    <xf numFmtId="0" fontId="0" fillId="0" borderId="19" xfId="0" applyBorder="1"/>
    <xf numFmtId="14" fontId="0" fillId="0" borderId="20" xfId="0" applyNumberFormat="1" applyBorder="1"/>
    <xf numFmtId="14" fontId="7" fillId="3" borderId="18" xfId="0" applyNumberFormat="1" applyFont="1" applyFill="1" applyBorder="1"/>
    <xf numFmtId="14" fontId="0" fillId="0" borderId="21" xfId="0" applyNumberFormat="1" applyBorder="1"/>
    <xf numFmtId="14" fontId="5" fillId="2" borderId="22" xfId="0" applyNumberFormat="1" applyFont="1" applyFill="1" applyBorder="1"/>
    <xf numFmtId="0" fontId="0" fillId="0" borderId="23" xfId="0" applyBorder="1"/>
    <xf numFmtId="14" fontId="0" fillId="0" borderId="24" xfId="0" applyNumberFormat="1" applyBorder="1"/>
    <xf numFmtId="14" fontId="0" fillId="0" borderId="25" xfId="0" applyNumberFormat="1" applyBorder="1"/>
    <xf numFmtId="0" fontId="0" fillId="0" borderId="16" xfId="0" applyBorder="1"/>
    <xf numFmtId="0" fontId="0" fillId="0" borderId="26" xfId="0" applyBorder="1"/>
    <xf numFmtId="0" fontId="0" fillId="0" borderId="17" xfId="0" applyBorder="1"/>
    <xf numFmtId="0" fontId="3" fillId="0" borderId="0" xfId="0" applyFont="1" applyAlignment="1">
      <alignment wrapText="1"/>
    </xf>
    <xf numFmtId="0" fontId="5" fillId="0" borderId="0" xfId="0" applyFont="1"/>
    <xf numFmtId="0" fontId="3" fillId="5" borderId="7" xfId="0" applyFont="1" applyFill="1" applyBorder="1" applyAlignment="1">
      <alignment horizontal="left"/>
    </xf>
    <xf numFmtId="9" fontId="0" fillId="0" borderId="0" xfId="2" applyFont="1"/>
    <xf numFmtId="2" fontId="0" fillId="0" borderId="0" xfId="0" applyNumberFormat="1"/>
    <xf numFmtId="0" fontId="0" fillId="6" borderId="0" xfId="0" applyFont="1" applyFill="1"/>
    <xf numFmtId="22" fontId="0" fillId="6" borderId="0" xfId="0" applyNumberFormat="1" applyFont="1" applyFill="1"/>
    <xf numFmtId="43" fontId="0" fillId="6" borderId="0" xfId="1" applyFont="1" applyFill="1"/>
    <xf numFmtId="14" fontId="0" fillId="6" borderId="0" xfId="0" applyNumberFormat="1" applyFont="1" applyFill="1"/>
    <xf numFmtId="0" fontId="0" fillId="5" borderId="0" xfId="0" applyFill="1" applyBorder="1" applyAlignment="1">
      <alignment horizontal="center"/>
    </xf>
    <xf numFmtId="0" fontId="0" fillId="0" borderId="0" xfId="0" applyAlignment="1"/>
    <xf numFmtId="16" fontId="0" fillId="0" borderId="0" xfId="0" applyNumberFormat="1" applyFont="1"/>
    <xf numFmtId="49" fontId="0" fillId="0" borderId="0" xfId="0" applyNumberFormat="1" applyFont="1"/>
    <xf numFmtId="0" fontId="0" fillId="2" borderId="0" xfId="0" applyFont="1" applyFill="1"/>
    <xf numFmtId="0" fontId="9" fillId="0" borderId="0" xfId="0" applyFont="1"/>
  </cellXfs>
  <cellStyles count="3">
    <cellStyle name="Comma" xfId="1" builtinId="3"/>
    <cellStyle name="Normal" xfId="0" builtinId="0"/>
    <cellStyle name="Percent" xfId="2" builtinId="5"/>
  </cellStyles>
  <dxfs count="6">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ertAlign val="baseline"/>
        <sz val="11"/>
        <color theme="1"/>
        <name val="Calibri"/>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oneCellAnchor>
    <xdr:from>
      <xdr:col>4</xdr:col>
      <xdr:colOff>28573</xdr:colOff>
      <xdr:row>1</xdr:row>
      <xdr:rowOff>9524</xdr:rowOff>
    </xdr:from>
    <xdr:ext cx="1743077" cy="333376"/>
    <xdr:sp macro="[0]!Start_Tester" textlink="">
      <xdr:nvSpPr>
        <xdr:cNvPr id="2" name="Rectangle 1"/>
        <xdr:cNvSpPr/>
      </xdr:nvSpPr>
      <xdr:spPr>
        <a:xfrm>
          <a:off x="4972048" y="209549"/>
          <a:ext cx="1743077" cy="333376"/>
        </a:xfrm>
        <a:prstGeom prst="rect">
          <a:avLst/>
        </a:prstGeom>
        <a:solidFill>
          <a:schemeClr val="bg2">
            <a:lumMod val="75000"/>
          </a:schemeClr>
        </a:solidFill>
        <a:ln w="38100">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oAutofit/>
        </a:bodyPr>
        <a:lstStyle/>
        <a:p>
          <a:pPr algn="l"/>
          <a:r>
            <a:rPr lang="en-US" sz="16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WORK PROBLEMS</a:t>
          </a:r>
        </a:p>
      </xdr:txBody>
    </xdr:sp>
    <xdr:clientData/>
  </xdr:oneCellAnchor>
  <xdr:oneCellAnchor>
    <xdr:from>
      <xdr:col>12</xdr:col>
      <xdr:colOff>276225</xdr:colOff>
      <xdr:row>5</xdr:row>
      <xdr:rowOff>142875</xdr:rowOff>
    </xdr:from>
    <xdr:ext cx="184731" cy="264560"/>
    <xdr:sp macro="" textlink="">
      <xdr:nvSpPr>
        <xdr:cNvPr id="3" name="TextBox 2"/>
        <xdr:cNvSpPr txBox="1"/>
      </xdr:nvSpPr>
      <xdr:spPr>
        <a:xfrm>
          <a:off x="8839200" y="1104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tables/table1.xml><?xml version="1.0" encoding="utf-8"?>
<table xmlns="http://schemas.openxmlformats.org/spreadsheetml/2006/main" id="2" name="Table13" displayName="Table13" ref="A1:J719" totalsRowShown="0" headerRowDxfId="5">
  <autoFilter ref="A1:J719">
    <filterColumn colId="3">
      <filters>
        <filter val="2014"/>
      </filters>
    </filterColumn>
  </autoFilter>
  <tableColumns count="10">
    <tableColumn id="1" name="Code" dataDxfId="4">
      <calculatedColumnFormula>B2&amp;D2&amp;E2&amp;F2&amp;G2&amp;H2</calculatedColumnFormula>
    </tableColumn>
    <tableColumn id="2" name="Filename" dataDxfId="3" totalsRowDxfId="2"/>
    <tableColumn id="3" name="Exam Topic/Paper"/>
    <tableColumn id="4" name="Source"/>
    <tableColumn id="5" name="Question Num"/>
    <tableColumn id="6" name="Points"/>
    <tableColumn id="7" name="Q Page"/>
    <tableColumn id="8" name="A Page"/>
    <tableColumn id="9" name="Exclude"/>
    <tableColumn id="10" name="1st Pass" dataDxfId="1" totalsRow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4.4" x14ac:dyDescent="0.3"/>
  <cols>
    <col min="1" max="1" width="16.6640625" customWidth="1"/>
    <col min="2" max="2" width="50.5546875" customWidth="1"/>
    <col min="5" max="5" width="9.6640625" bestFit="1" customWidth="1"/>
  </cols>
  <sheetData>
    <row r="1" spans="1:2" x14ac:dyDescent="0.3">
      <c r="A1" s="67" t="s">
        <v>113</v>
      </c>
      <c r="B1" s="12" t="s">
        <v>128</v>
      </c>
    </row>
    <row r="2" spans="1:2" x14ac:dyDescent="0.3">
      <c r="A2" t="s">
        <v>746</v>
      </c>
      <c r="B2" t="s">
        <v>747</v>
      </c>
    </row>
  </sheetData>
  <sortState ref="F21:F53">
    <sortCondition ref="F20"/>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4"/>
  <sheetViews>
    <sheetView workbookViewId="0"/>
  </sheetViews>
  <sheetFormatPr defaultRowHeight="14.4" x14ac:dyDescent="0.3"/>
  <sheetData>
    <row r="1" spans="1:16" x14ac:dyDescent="0.3">
      <c r="A1" t="s">
        <v>751</v>
      </c>
      <c r="L1" t="s">
        <v>752</v>
      </c>
      <c r="M1" t="s">
        <v>756</v>
      </c>
      <c r="N1" t="s">
        <v>753</v>
      </c>
      <c r="O1" t="s">
        <v>754</v>
      </c>
      <c r="P1" t="s">
        <v>755</v>
      </c>
    </row>
    <row r="2" spans="1:16" x14ac:dyDescent="0.3">
      <c r="L2" t="s">
        <v>757</v>
      </c>
      <c r="M2" t="s">
        <v>758</v>
      </c>
      <c r="N2" t="s">
        <v>759</v>
      </c>
    </row>
    <row r="4" spans="1:16" x14ac:dyDescent="0.3">
      <c r="L4" t="s">
        <v>760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J26"/>
  <sheetViews>
    <sheetView workbookViewId="0">
      <selection activeCell="G3" sqref="G3"/>
    </sheetView>
  </sheetViews>
  <sheetFormatPr defaultRowHeight="14.4" x14ac:dyDescent="0.3"/>
  <cols>
    <col min="1" max="1" width="10.5546875" customWidth="1"/>
    <col min="2" max="2" width="17.33203125" bestFit="1" customWidth="1"/>
    <col min="4" max="4" width="19.44140625" bestFit="1" customWidth="1"/>
    <col min="10" max="10" width="17.21875" bestFit="1" customWidth="1"/>
  </cols>
  <sheetData>
    <row r="2" spans="2:10" x14ac:dyDescent="0.3">
      <c r="B2" s="67" t="s">
        <v>830</v>
      </c>
      <c r="C2" s="67"/>
      <c r="D2" s="67" t="s">
        <v>834</v>
      </c>
      <c r="F2" s="156"/>
      <c r="G2" s="156">
        <v>42758</v>
      </c>
      <c r="I2" s="157"/>
      <c r="J2" s="157"/>
    </row>
    <row r="3" spans="2:10" x14ac:dyDescent="0.3">
      <c r="B3" s="188" t="s">
        <v>817</v>
      </c>
      <c r="D3" s="188" t="s">
        <v>770</v>
      </c>
      <c r="F3" s="156"/>
      <c r="G3" s="123" t="s">
        <v>817</v>
      </c>
      <c r="I3" s="157"/>
      <c r="J3" s="218" t="s">
        <v>1549</v>
      </c>
    </row>
    <row r="4" spans="2:10" x14ac:dyDescent="0.3">
      <c r="B4" s="188" t="s">
        <v>819</v>
      </c>
      <c r="D4" s="188" t="s">
        <v>762</v>
      </c>
      <c r="F4" s="156"/>
      <c r="G4" s="123" t="s">
        <v>819</v>
      </c>
      <c r="I4" s="157"/>
      <c r="J4" s="123" t="s">
        <v>762</v>
      </c>
    </row>
    <row r="5" spans="2:10" x14ac:dyDescent="0.3">
      <c r="B5" s="188" t="s">
        <v>813</v>
      </c>
      <c r="D5" s="219" t="s">
        <v>822</v>
      </c>
      <c r="F5" s="156"/>
      <c r="G5" s="123" t="s">
        <v>813</v>
      </c>
      <c r="I5" s="157"/>
      <c r="J5" s="123" t="s">
        <v>765</v>
      </c>
    </row>
    <row r="6" spans="2:10" x14ac:dyDescent="0.3">
      <c r="B6" s="188" t="s">
        <v>820</v>
      </c>
      <c r="D6" s="219" t="s">
        <v>824</v>
      </c>
      <c r="F6" s="156"/>
      <c r="G6" s="123" t="s">
        <v>820</v>
      </c>
      <c r="I6" s="157"/>
      <c r="J6" s="123" t="s">
        <v>770</v>
      </c>
    </row>
    <row r="7" spans="2:10" x14ac:dyDescent="0.3">
      <c r="F7" s="156"/>
      <c r="G7" s="123" t="s">
        <v>814</v>
      </c>
      <c r="I7" s="157"/>
      <c r="J7" s="123"/>
    </row>
    <row r="8" spans="2:10" x14ac:dyDescent="0.3">
      <c r="B8" s="67" t="s">
        <v>831</v>
      </c>
      <c r="C8" s="67"/>
      <c r="D8" s="67" t="s">
        <v>835</v>
      </c>
      <c r="F8" s="156"/>
      <c r="G8" s="216"/>
      <c r="I8" s="157"/>
      <c r="J8" s="217"/>
    </row>
    <row r="9" spans="2:10" x14ac:dyDescent="0.3">
      <c r="B9" s="188" t="s">
        <v>814</v>
      </c>
      <c r="D9" s="188" t="s">
        <v>774</v>
      </c>
      <c r="F9" s="156"/>
      <c r="G9" s="123" t="s">
        <v>821</v>
      </c>
      <c r="I9" s="157"/>
      <c r="J9" s="123" t="s">
        <v>827</v>
      </c>
    </row>
    <row r="10" spans="2:10" x14ac:dyDescent="0.3">
      <c r="B10" s="188" t="s">
        <v>821</v>
      </c>
      <c r="D10" s="188" t="s">
        <v>827</v>
      </c>
      <c r="F10" s="156"/>
      <c r="G10" s="123" t="s">
        <v>823</v>
      </c>
      <c r="I10" s="157"/>
      <c r="J10" s="123" t="s">
        <v>769</v>
      </c>
    </row>
    <row r="11" spans="2:10" x14ac:dyDescent="0.3">
      <c r="B11" s="188" t="s">
        <v>823</v>
      </c>
      <c r="D11" t="s">
        <v>769</v>
      </c>
      <c r="F11" s="156"/>
      <c r="G11" s="123" t="s">
        <v>1546</v>
      </c>
      <c r="I11" s="157"/>
      <c r="J11" s="123" t="s">
        <v>774</v>
      </c>
    </row>
    <row r="12" spans="2:10" x14ac:dyDescent="0.3">
      <c r="B12" s="188" t="s">
        <v>815</v>
      </c>
      <c r="D12" s="219" t="s">
        <v>777</v>
      </c>
      <c r="G12" s="123" t="s">
        <v>1547</v>
      </c>
      <c r="J12" s="123"/>
    </row>
    <row r="13" spans="2:10" x14ac:dyDescent="0.3">
      <c r="G13" s="123"/>
      <c r="J13" s="123"/>
    </row>
    <row r="14" spans="2:10" x14ac:dyDescent="0.3">
      <c r="B14" s="67" t="s">
        <v>832</v>
      </c>
      <c r="C14" s="67"/>
      <c r="D14" s="67" t="s">
        <v>836</v>
      </c>
      <c r="G14" t="s">
        <v>776</v>
      </c>
      <c r="J14" s="123" t="s">
        <v>780</v>
      </c>
    </row>
    <row r="15" spans="2:10" x14ac:dyDescent="0.3">
      <c r="B15" s="188" t="s">
        <v>828</v>
      </c>
      <c r="D15" t="s">
        <v>780</v>
      </c>
      <c r="G15" t="s">
        <v>1548</v>
      </c>
      <c r="J15" s="218" t="s">
        <v>1551</v>
      </c>
    </row>
    <row r="16" spans="2:10" x14ac:dyDescent="0.3">
      <c r="B16" s="188" t="s">
        <v>826</v>
      </c>
      <c r="D16" t="s">
        <v>773</v>
      </c>
      <c r="G16" t="s">
        <v>763</v>
      </c>
      <c r="J16" s="218" t="s">
        <v>1550</v>
      </c>
    </row>
    <row r="17" spans="2:10" x14ac:dyDescent="0.3">
      <c r="B17" s="188" t="s">
        <v>816</v>
      </c>
      <c r="D17" t="s">
        <v>772</v>
      </c>
      <c r="G17" t="s">
        <v>766</v>
      </c>
      <c r="J17" s="123" t="s">
        <v>773</v>
      </c>
    </row>
    <row r="18" spans="2:10" x14ac:dyDescent="0.3">
      <c r="B18" s="206" t="s">
        <v>775</v>
      </c>
    </row>
    <row r="19" spans="2:10" x14ac:dyDescent="0.3">
      <c r="B19" t="s">
        <v>776</v>
      </c>
    </row>
    <row r="21" spans="2:10" x14ac:dyDescent="0.3">
      <c r="B21" s="67" t="s">
        <v>833</v>
      </c>
      <c r="C21" s="67"/>
      <c r="D21" s="67"/>
    </row>
    <row r="22" spans="2:10" x14ac:dyDescent="0.3">
      <c r="B22" t="s">
        <v>829</v>
      </c>
    </row>
    <row r="23" spans="2:10" x14ac:dyDescent="0.3">
      <c r="B23" t="s">
        <v>825</v>
      </c>
    </row>
    <row r="24" spans="2:10" x14ac:dyDescent="0.3">
      <c r="B24" s="206" t="s">
        <v>818</v>
      </c>
    </row>
    <row r="25" spans="2:10" x14ac:dyDescent="0.3">
      <c r="B25" t="s">
        <v>1552</v>
      </c>
    </row>
    <row r="26" spans="2:10" x14ac:dyDescent="0.3">
      <c r="B26" t="s">
        <v>765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22"/>
  <sheetViews>
    <sheetView workbookViewId="0">
      <selection activeCell="C12" sqref="C12"/>
    </sheetView>
  </sheetViews>
  <sheetFormatPr defaultRowHeight="14.4" x14ac:dyDescent="0.3"/>
  <cols>
    <col min="1" max="1" width="9.109375" style="104"/>
    <col min="2" max="2" width="51.109375" style="104" customWidth="1"/>
    <col min="3" max="3" width="47" style="104" customWidth="1"/>
    <col min="4" max="4" width="63.6640625" style="104" customWidth="1"/>
  </cols>
  <sheetData>
    <row r="1" spans="1:4" x14ac:dyDescent="0.3">
      <c r="A1" s="104" t="s">
        <v>3</v>
      </c>
      <c r="B1" s="104" t="s">
        <v>750</v>
      </c>
      <c r="C1" s="104" t="s">
        <v>748</v>
      </c>
      <c r="D1" s="104" t="s">
        <v>749</v>
      </c>
    </row>
    <row r="2" spans="1:4" ht="28.8" x14ac:dyDescent="0.3">
      <c r="A2" s="104" t="s">
        <v>856</v>
      </c>
      <c r="B2" s="104" t="s">
        <v>857</v>
      </c>
      <c r="C2" s="104" t="s">
        <v>858</v>
      </c>
    </row>
    <row r="3" spans="1:4" ht="28.8" x14ac:dyDescent="0.3">
      <c r="A3" s="104" t="s">
        <v>855</v>
      </c>
      <c r="B3" s="104" t="s">
        <v>859</v>
      </c>
      <c r="C3" s="104" t="s">
        <v>860</v>
      </c>
    </row>
    <row r="22" spans="2:2" x14ac:dyDescent="0.3">
      <c r="B22" s="20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Z58"/>
  <sheetViews>
    <sheetView topLeftCell="G1" zoomScale="85" zoomScaleNormal="85" workbookViewId="0">
      <selection activeCell="O3" sqref="O3"/>
    </sheetView>
  </sheetViews>
  <sheetFormatPr defaultRowHeight="14.4" x14ac:dyDescent="0.3"/>
  <cols>
    <col min="1" max="1" width="8.5546875" bestFit="1" customWidth="1"/>
    <col min="2" max="2" width="18.88671875" customWidth="1"/>
    <col min="3" max="3" width="22.33203125" customWidth="1"/>
    <col min="4" max="4" width="24.44140625" bestFit="1" customWidth="1"/>
    <col min="5" max="5" width="3.88671875" customWidth="1"/>
    <col min="6" max="6" width="18.88671875" customWidth="1"/>
    <col min="7" max="7" width="4.109375" customWidth="1"/>
    <col min="8" max="8" width="19.5546875" bestFit="1" customWidth="1"/>
    <col min="9" max="9" width="4" bestFit="1" customWidth="1"/>
    <col min="10" max="10" width="16.33203125" bestFit="1" customWidth="1"/>
    <col min="11" max="11" width="14.33203125" customWidth="1"/>
    <col min="12" max="12" width="14.44140625" customWidth="1"/>
    <col min="13" max="13" width="10.33203125" customWidth="1"/>
    <col min="15" max="15" width="10" customWidth="1"/>
    <col min="16" max="16" width="7.44140625" bestFit="1" customWidth="1"/>
    <col min="17" max="17" width="7.6640625" bestFit="1" customWidth="1"/>
    <col min="18" max="18" width="8.6640625" bestFit="1" customWidth="1"/>
    <col min="19" max="19" width="8.44140625" customWidth="1"/>
    <col min="20" max="20" width="6.6640625" bestFit="1" customWidth="1"/>
    <col min="21" max="21" width="7.5546875" bestFit="1" customWidth="1"/>
    <col min="22" max="22" width="9.33203125" bestFit="1" customWidth="1"/>
    <col min="23" max="23" width="12" hidden="1" customWidth="1"/>
  </cols>
  <sheetData>
    <row r="1" spans="1:26" ht="15" thickBot="1" x14ac:dyDescent="0.35">
      <c r="A1" s="67"/>
      <c r="C1" s="21" t="s">
        <v>65</v>
      </c>
      <c r="D1" s="21" t="s">
        <v>66</v>
      </c>
      <c r="E1" s="21"/>
      <c r="L1" s="5"/>
      <c r="N1" t="s">
        <v>121</v>
      </c>
    </row>
    <row r="2" spans="1:26" x14ac:dyDescent="0.3">
      <c r="B2" s="43" t="s">
        <v>61</v>
      </c>
      <c r="C2" s="44">
        <f ca="1">SUMIF(Stats!D:D,DATE(YEAR(NOW()),MONTH(NOW()),DAY(NOW())),Stats!F:F)</f>
        <v>0</v>
      </c>
      <c r="D2" s="61">
        <f>SUM(Stats!F4)</f>
        <v>407.25</v>
      </c>
      <c r="E2" s="70"/>
      <c r="J2" s="91" t="s">
        <v>126</v>
      </c>
      <c r="K2" s="176">
        <v>500</v>
      </c>
      <c r="L2" s="5">
        <v>29</v>
      </c>
      <c r="N2" t="s">
        <v>80</v>
      </c>
      <c r="O2">
        <f>SUM(QDB.Points)</f>
        <v>961.75</v>
      </c>
    </row>
    <row r="3" spans="1:26" ht="15" thickBot="1" x14ac:dyDescent="0.35">
      <c r="B3" s="43" t="s">
        <v>62</v>
      </c>
      <c r="C3" s="45">
        <f ca="1">SUMIF(Stats!D:D,DATE(YEAR(NOW()),MONTH(NOW()),DAY(NOW())),Stats!E:E)</f>
        <v>0</v>
      </c>
      <c r="D3" s="102">
        <f>Stats!E4</f>
        <v>694.75</v>
      </c>
      <c r="E3" s="71"/>
      <c r="J3" s="92" t="s">
        <v>125</v>
      </c>
      <c r="K3" s="93"/>
      <c r="L3" s="5"/>
      <c r="N3" s="20" t="s">
        <v>122</v>
      </c>
      <c r="O3">
        <f>SUMIF(QDB.Exclude,"x",QDB.Points)</f>
        <v>0</v>
      </c>
    </row>
    <row r="4" spans="1:26" ht="15" thickBot="1" x14ac:dyDescent="0.35">
      <c r="B4" s="43" t="s">
        <v>67</v>
      </c>
      <c r="C4" s="60" t="str">
        <f ca="1">IF(C3&lt;&gt;0,C2/C3,"")</f>
        <v/>
      </c>
      <c r="D4" s="60">
        <f>IF(D3&lt;&gt;0,D2/D3,"")</f>
        <v>0.58618207988485072</v>
      </c>
      <c r="E4" s="72"/>
      <c r="J4" s="90"/>
      <c r="K4" s="55"/>
      <c r="L4" s="5"/>
      <c r="N4" t="s">
        <v>127</v>
      </c>
      <c r="O4" s="105">
        <f>O2-O3</f>
        <v>961.75</v>
      </c>
    </row>
    <row r="5" spans="1:26" hidden="1" x14ac:dyDescent="0.3">
      <c r="B5" s="43" t="s">
        <v>63</v>
      </c>
      <c r="C5" s="45">
        <f ca="1">SUMIF(Stats!D:D,DATE(YEAR(NOW()),MONTH(NOW()),DAY(NOW())),Stats!J:J)-C3</f>
        <v>0</v>
      </c>
      <c r="D5" s="102">
        <f>2000-D3</f>
        <v>1305.25</v>
      </c>
      <c r="E5" s="71"/>
    </row>
    <row r="6" spans="1:26" hidden="1" x14ac:dyDescent="0.3">
      <c r="B6" s="43" t="s">
        <v>64</v>
      </c>
      <c r="C6" s="50" t="str">
        <f ca="1">TEXT(MAX(IFERROR(Stats!I4*ReadingIndex!C5,""),0),"0.00")&amp;" mins"</f>
        <v>0.00 mins</v>
      </c>
      <c r="D6" s="50" t="str">
        <f>TEXT(IFERROR(D5*Stats!I4,"")/60,"0.00")&amp;" hrs"</f>
        <v>179.76 hrs</v>
      </c>
      <c r="E6" s="70"/>
    </row>
    <row r="7" spans="1:26" ht="15" thickBot="1" x14ac:dyDescent="0.35">
      <c r="B7" s="43" t="s">
        <v>81</v>
      </c>
      <c r="C7" s="59">
        <f ca="1">SUMIF(Stats!D:D,DATE(YEAR(NOW()),MONTH(NOW()),DAY(NOW())),Stats!M:M)</f>
        <v>0</v>
      </c>
      <c r="D7" s="59">
        <f>Stats!M4</f>
        <v>1026807.1844444445</v>
      </c>
      <c r="E7" s="70"/>
    </row>
    <row r="8" spans="1:26" ht="15" thickBot="1" x14ac:dyDescent="0.35">
      <c r="B8" s="43" t="s">
        <v>25</v>
      </c>
      <c r="C8" s="158">
        <v>2.4</v>
      </c>
      <c r="D8" s="159"/>
    </row>
    <row r="9" spans="1:26" ht="15" thickBot="1" x14ac:dyDescent="0.35"/>
    <row r="10" spans="1:26" ht="15" thickBot="1" x14ac:dyDescent="0.35">
      <c r="A10" s="10" t="s">
        <v>20</v>
      </c>
      <c r="B10" s="11" t="s">
        <v>123</v>
      </c>
      <c r="C10" s="52" t="s">
        <v>68</v>
      </c>
      <c r="D10" s="41" t="s">
        <v>16</v>
      </c>
      <c r="E10" s="41" t="s">
        <v>104</v>
      </c>
      <c r="F10" s="41" t="s">
        <v>770</v>
      </c>
      <c r="G10" s="41" t="s">
        <v>104</v>
      </c>
      <c r="H10" s="41" t="s">
        <v>112</v>
      </c>
      <c r="I10" s="41" t="s">
        <v>104</v>
      </c>
      <c r="J10" s="41" t="s">
        <v>17</v>
      </c>
      <c r="K10" s="42" t="s">
        <v>15</v>
      </c>
      <c r="L10" s="14" t="s">
        <v>22</v>
      </c>
      <c r="M10" s="41" t="s">
        <v>70</v>
      </c>
      <c r="N10" s="13" t="s">
        <v>60</v>
      </c>
      <c r="O10" s="14" t="s">
        <v>28</v>
      </c>
      <c r="P10" s="14" t="s">
        <v>24</v>
      </c>
      <c r="Q10" s="14" t="s">
        <v>23</v>
      </c>
      <c r="R10" s="14" t="s">
        <v>73</v>
      </c>
      <c r="S10" s="14" t="s">
        <v>132</v>
      </c>
      <c r="T10" s="14" t="s">
        <v>75</v>
      </c>
      <c r="U10" s="14" t="s">
        <v>74</v>
      </c>
      <c r="V10" s="14" t="s">
        <v>76</v>
      </c>
      <c r="X10" s="94" t="s">
        <v>109</v>
      </c>
      <c r="Y10" s="94" t="s">
        <v>127</v>
      </c>
    </row>
    <row r="11" spans="1:26" x14ac:dyDescent="0.3">
      <c r="A11" s="177" t="s">
        <v>838</v>
      </c>
      <c r="B11" s="131" t="s">
        <v>817</v>
      </c>
      <c r="C11" s="127" t="s">
        <v>69</v>
      </c>
      <c r="D11" s="160" t="s">
        <v>761</v>
      </c>
      <c r="E11" s="162"/>
      <c r="F11" s="162" t="s">
        <v>806</v>
      </c>
      <c r="G11" s="162">
        <v>17</v>
      </c>
      <c r="H11" s="162" t="s">
        <v>807</v>
      </c>
      <c r="I11" s="162">
        <v>2</v>
      </c>
      <c r="J11" s="163"/>
      <c r="K11" s="163"/>
      <c r="L11" s="164"/>
      <c r="M11" s="128"/>
      <c r="N11" s="129">
        <f t="shared" ref="N11:N18" si="0">IFERROR(SUMIF(RDB.Paper,B11,RDB.Correct)/SUMIF(RDB.Paper,B11,RDB.Points),"")</f>
        <v>0.82098765432098764</v>
      </c>
      <c r="O11" s="173">
        <f t="shared" ref="O11:O18" si="1">IFERROR(SUMIF(RDB.Paper,B11,RDB.ElapsedTime)/SUMIF(RDB.Paper,B11,RDB.Points),"")</f>
        <v>7.203703704290092</v>
      </c>
      <c r="P11" s="130">
        <v>1</v>
      </c>
      <c r="Q11" s="27">
        <f>IF($L11&lt;&gt;"",P11,0)/SUMIF($L$11:$L$41,"&lt;&gt;",$P$11:$P$41)</f>
        <v>0</v>
      </c>
      <c r="R11" s="127"/>
      <c r="S11" s="128"/>
      <c r="T11" s="131"/>
      <c r="U11" s="132"/>
      <c r="V11" s="133"/>
      <c r="W11" s="124">
        <f>M11*T11/5</f>
        <v>0</v>
      </c>
      <c r="X11" s="123">
        <f t="shared" ref="X11" si="2">SUMIF(QDB.Paper,B11,QDB.Points)</f>
        <v>38.75</v>
      </c>
      <c r="Y11" s="123">
        <f t="shared" ref="Y11" si="3">X11-SUMIFS(QDB.Points,QDB.Paper,B11,QDB.Exclude,"x")</f>
        <v>38.75</v>
      </c>
    </row>
    <row r="12" spans="1:26" x14ac:dyDescent="0.3">
      <c r="A12" s="180" t="s">
        <v>839</v>
      </c>
      <c r="B12" s="117" t="s">
        <v>819</v>
      </c>
      <c r="C12" s="118" t="s">
        <v>69</v>
      </c>
      <c r="D12" s="161" t="s">
        <v>761</v>
      </c>
      <c r="E12" s="165"/>
      <c r="F12" s="165" t="s">
        <v>806</v>
      </c>
      <c r="G12" s="165">
        <v>33</v>
      </c>
      <c r="H12" s="165" t="s">
        <v>807</v>
      </c>
      <c r="I12" s="165">
        <v>33</v>
      </c>
      <c r="J12" s="166"/>
      <c r="K12" s="166"/>
      <c r="L12" s="167"/>
      <c r="M12" s="119"/>
      <c r="N12" s="120">
        <f t="shared" si="0"/>
        <v>0.59708737864077666</v>
      </c>
      <c r="O12" s="174">
        <f t="shared" si="1"/>
        <v>8.1705501612312013</v>
      </c>
      <c r="P12" s="121">
        <v>1</v>
      </c>
      <c r="Q12" s="30">
        <f>IF($L12&lt;&gt;"",P12,0)/SUMIF($L$11:$L$41,"&lt;&gt;",$P$11:$P$41)+Q11</f>
        <v>0</v>
      </c>
      <c r="R12" s="118"/>
      <c r="S12" s="119"/>
      <c r="T12" s="117"/>
      <c r="U12" s="122"/>
      <c r="V12" s="135"/>
      <c r="W12" s="124"/>
      <c r="X12" s="123">
        <f t="shared" ref="X12:X41" si="4">SUMIF(QDB.Paper,B12,QDB.Points)</f>
        <v>47.5</v>
      </c>
      <c r="Y12" s="123">
        <f t="shared" ref="Y12:Y41" si="5">X12-SUMIFS(QDB.Points,QDB.Paper,B12,QDB.Exclude,"x")</f>
        <v>47.5</v>
      </c>
    </row>
    <row r="13" spans="1:26" x14ac:dyDescent="0.3">
      <c r="A13" s="180" t="s">
        <v>840</v>
      </c>
      <c r="B13" s="117" t="s">
        <v>813</v>
      </c>
      <c r="C13" s="118" t="s">
        <v>69</v>
      </c>
      <c r="D13" s="161" t="s">
        <v>761</v>
      </c>
      <c r="E13" s="165"/>
      <c r="F13" s="165" t="s">
        <v>806</v>
      </c>
      <c r="G13" s="165">
        <v>59</v>
      </c>
      <c r="H13" s="165" t="s">
        <v>807</v>
      </c>
      <c r="I13" s="165">
        <v>73</v>
      </c>
      <c r="J13" s="166"/>
      <c r="K13" s="166"/>
      <c r="L13" s="167" t="s">
        <v>108</v>
      </c>
      <c r="M13" s="119"/>
      <c r="N13" s="120">
        <f t="shared" si="0"/>
        <v>0.97435897435897434</v>
      </c>
      <c r="O13" s="174">
        <f t="shared" si="1"/>
        <v>2.4581196588965564</v>
      </c>
      <c r="P13" s="121">
        <v>1</v>
      </c>
      <c r="Q13" s="30">
        <f t="shared" ref="Q13:Q41" si="6">IF($L13&lt;&gt;"",P13,0)/SUMIF($L$11:$L$41,"&lt;&gt;",$P$11:$P$41)+Q12</f>
        <v>7.6923076923076927E-2</v>
      </c>
      <c r="R13" s="118"/>
      <c r="S13" s="119"/>
      <c r="T13" s="117"/>
      <c r="U13" s="122"/>
      <c r="V13" s="135"/>
      <c r="W13" s="124"/>
      <c r="X13" s="123">
        <f>SUMIF(QDB.Paper,B13,QDB.Points)</f>
        <v>9.75</v>
      </c>
      <c r="Y13" s="123">
        <f t="shared" si="5"/>
        <v>9.75</v>
      </c>
    </row>
    <row r="14" spans="1:26" x14ac:dyDescent="0.3">
      <c r="A14" s="180" t="s">
        <v>841</v>
      </c>
      <c r="B14" s="117" t="s">
        <v>820</v>
      </c>
      <c r="C14" s="118" t="s">
        <v>69</v>
      </c>
      <c r="D14" s="161" t="s">
        <v>761</v>
      </c>
      <c r="E14" s="165"/>
      <c r="F14" s="165" t="s">
        <v>806</v>
      </c>
      <c r="G14" s="165">
        <v>93</v>
      </c>
      <c r="H14" s="165" t="s">
        <v>807</v>
      </c>
      <c r="I14" s="165">
        <v>96</v>
      </c>
      <c r="J14" s="166"/>
      <c r="K14" s="166"/>
      <c r="L14" s="167"/>
      <c r="M14" s="119"/>
      <c r="N14" s="120">
        <f t="shared" si="0"/>
        <v>0.65217391304347827</v>
      </c>
      <c r="O14" s="174">
        <f t="shared" si="1"/>
        <v>2.6280193233295628</v>
      </c>
      <c r="P14" s="121">
        <v>1</v>
      </c>
      <c r="Q14" s="30">
        <f t="shared" si="6"/>
        <v>7.6923076923076927E-2</v>
      </c>
      <c r="R14" s="118"/>
      <c r="S14" s="119"/>
      <c r="T14" s="117"/>
      <c r="U14" s="122"/>
      <c r="V14" s="135"/>
      <c r="W14" s="124"/>
      <c r="X14" s="123">
        <f t="shared" si="4"/>
        <v>33.5</v>
      </c>
      <c r="Y14" s="123">
        <f t="shared" si="5"/>
        <v>33.5</v>
      </c>
    </row>
    <row r="15" spans="1:26" x14ac:dyDescent="0.3">
      <c r="A15" s="180" t="s">
        <v>842</v>
      </c>
      <c r="B15" s="117" t="s">
        <v>814</v>
      </c>
      <c r="C15" s="118" t="s">
        <v>69</v>
      </c>
      <c r="D15" s="161" t="s">
        <v>761</v>
      </c>
      <c r="E15" s="165"/>
      <c r="F15" s="165" t="s">
        <v>806</v>
      </c>
      <c r="G15" s="165">
        <v>117</v>
      </c>
      <c r="H15" s="165" t="s">
        <v>807</v>
      </c>
      <c r="I15" s="165">
        <v>133</v>
      </c>
      <c r="J15" s="166"/>
      <c r="K15" s="166"/>
      <c r="L15" s="167"/>
      <c r="M15" s="119"/>
      <c r="N15" s="120">
        <f t="shared" si="0"/>
        <v>0.66666666666666663</v>
      </c>
      <c r="O15" s="174">
        <f t="shared" si="1"/>
        <v>2.5614379082039438</v>
      </c>
      <c r="P15" s="121">
        <v>2</v>
      </c>
      <c r="Q15" s="30">
        <f t="shared" si="6"/>
        <v>7.6923076923076927E-2</v>
      </c>
      <c r="R15" s="118"/>
      <c r="S15" s="119"/>
      <c r="T15" s="117"/>
      <c r="U15" s="122"/>
      <c r="V15" s="135"/>
      <c r="W15" s="124"/>
      <c r="X15" s="123">
        <f t="shared" si="4"/>
        <v>25.5</v>
      </c>
      <c r="Y15" s="123">
        <f t="shared" si="5"/>
        <v>25.5</v>
      </c>
      <c r="Z15" t="s">
        <v>1405</v>
      </c>
    </row>
    <row r="16" spans="1:26" x14ac:dyDescent="0.3">
      <c r="A16" s="180" t="s">
        <v>843</v>
      </c>
      <c r="B16" s="117" t="s">
        <v>821</v>
      </c>
      <c r="C16" s="118" t="s">
        <v>69</v>
      </c>
      <c r="D16" s="161" t="s">
        <v>761</v>
      </c>
      <c r="E16" s="165"/>
      <c r="F16" s="165" t="s">
        <v>806</v>
      </c>
      <c r="G16" s="165">
        <v>137</v>
      </c>
      <c r="H16" s="165" t="s">
        <v>807</v>
      </c>
      <c r="I16" s="165">
        <v>158</v>
      </c>
      <c r="J16" s="166"/>
      <c r="K16" s="166"/>
      <c r="L16" s="167"/>
      <c r="M16" s="119"/>
      <c r="N16" s="120">
        <f t="shared" si="0"/>
        <v>0.51260504201680668</v>
      </c>
      <c r="O16" s="174">
        <f t="shared" si="1"/>
        <v>0.9501400560359744</v>
      </c>
      <c r="P16" s="121">
        <v>2</v>
      </c>
      <c r="Q16" s="30">
        <f t="shared" si="6"/>
        <v>7.6923076923076927E-2</v>
      </c>
      <c r="R16" s="118"/>
      <c r="S16" s="119"/>
      <c r="T16" s="117"/>
      <c r="U16" s="122"/>
      <c r="V16" s="135"/>
      <c r="W16" s="124"/>
      <c r="X16" s="123">
        <f t="shared" si="4"/>
        <v>29.75</v>
      </c>
      <c r="Y16" s="123">
        <f t="shared" si="5"/>
        <v>29.75</v>
      </c>
    </row>
    <row r="17" spans="1:26" x14ac:dyDescent="0.3">
      <c r="A17" s="180" t="s">
        <v>844</v>
      </c>
      <c r="B17" s="117" t="s">
        <v>823</v>
      </c>
      <c r="C17" s="118" t="s">
        <v>69</v>
      </c>
      <c r="D17" s="161" t="s">
        <v>761</v>
      </c>
      <c r="E17" s="165"/>
      <c r="F17" s="165" t="s">
        <v>806</v>
      </c>
      <c r="G17" s="165">
        <v>151</v>
      </c>
      <c r="H17" s="165" t="s">
        <v>807</v>
      </c>
      <c r="I17" s="165">
        <v>182</v>
      </c>
      <c r="J17" s="166"/>
      <c r="K17" s="166"/>
      <c r="L17" s="167"/>
      <c r="M17" s="119"/>
      <c r="N17" s="120">
        <f t="shared" si="0"/>
        <v>0.41249999999999998</v>
      </c>
      <c r="O17" s="174">
        <f t="shared" si="1"/>
        <v>1.3608333334559575</v>
      </c>
      <c r="P17" s="121">
        <v>2</v>
      </c>
      <c r="Q17" s="30">
        <f t="shared" si="6"/>
        <v>7.6923076923076927E-2</v>
      </c>
      <c r="R17" s="118"/>
      <c r="S17" s="119"/>
      <c r="T17" s="117"/>
      <c r="U17" s="122"/>
      <c r="V17" s="135"/>
      <c r="W17" s="124"/>
      <c r="X17" s="123">
        <f t="shared" si="4"/>
        <v>11.75</v>
      </c>
      <c r="Y17" s="123">
        <f t="shared" si="5"/>
        <v>11.75</v>
      </c>
      <c r="Z17" t="s">
        <v>1155</v>
      </c>
    </row>
    <row r="18" spans="1:26" ht="15" thickBot="1" x14ac:dyDescent="0.35">
      <c r="A18" s="178" t="s">
        <v>845</v>
      </c>
      <c r="B18" s="137" t="s">
        <v>815</v>
      </c>
      <c r="C18" s="138" t="s">
        <v>69</v>
      </c>
      <c r="D18" s="179" t="s">
        <v>761</v>
      </c>
      <c r="E18" s="169"/>
      <c r="F18" s="169" t="s">
        <v>806</v>
      </c>
      <c r="G18" s="169">
        <v>161</v>
      </c>
      <c r="H18" s="169" t="s">
        <v>807</v>
      </c>
      <c r="I18" s="169">
        <v>197</v>
      </c>
      <c r="J18" s="170"/>
      <c r="K18" s="170"/>
      <c r="L18" s="171"/>
      <c r="M18" s="139"/>
      <c r="N18" s="140">
        <f t="shared" si="0"/>
        <v>0.19047619047619047</v>
      </c>
      <c r="O18" s="175">
        <f t="shared" si="1"/>
        <v>12.123015873034351</v>
      </c>
      <c r="P18" s="141">
        <v>2</v>
      </c>
      <c r="Q18" s="189">
        <f t="shared" si="6"/>
        <v>7.6923076923076927E-2</v>
      </c>
      <c r="R18" s="138"/>
      <c r="S18" s="139"/>
      <c r="T18" s="137"/>
      <c r="U18" s="142"/>
      <c r="V18" s="143"/>
      <c r="W18" s="124"/>
      <c r="X18" s="123">
        <f t="shared" si="4"/>
        <v>21</v>
      </c>
      <c r="Y18" s="123">
        <f t="shared" si="5"/>
        <v>21</v>
      </c>
      <c r="Z18">
        <f>SUM(X11:X18)</f>
        <v>217.5</v>
      </c>
    </row>
    <row r="19" spans="1:26" x14ac:dyDescent="0.3">
      <c r="A19" s="134" t="s">
        <v>848</v>
      </c>
      <c r="B19" s="117" t="s">
        <v>828</v>
      </c>
      <c r="C19" s="118" t="s">
        <v>69</v>
      </c>
      <c r="D19" s="161" t="s">
        <v>861</v>
      </c>
      <c r="E19" s="165"/>
      <c r="F19" s="165" t="s">
        <v>806</v>
      </c>
      <c r="G19" s="165">
        <v>211</v>
      </c>
      <c r="H19" s="165" t="s">
        <v>807</v>
      </c>
      <c r="I19" s="165">
        <v>225</v>
      </c>
      <c r="J19" s="166"/>
      <c r="K19" s="166"/>
      <c r="L19" s="167" t="s">
        <v>108</v>
      </c>
      <c r="M19" s="119"/>
      <c r="N19" s="120">
        <f t="shared" ref="N19:N41" si="7">IFERROR(SUMIF(RDB.Paper,B19,RDB.Correct)/SUMIF(RDB.Paper,B19,RDB.Points),"")</f>
        <v>0.75174825174825177</v>
      </c>
      <c r="O19" s="174">
        <f t="shared" ref="O19:O41" si="8">IFERROR(SUMIF(RDB.Paper,B19,RDB.ElapsedTime)/SUMIF(RDB.Paper,B19,RDB.Points),"")</f>
        <v>4.225407925343232</v>
      </c>
      <c r="P19" s="121">
        <v>3</v>
      </c>
      <c r="Q19" s="30">
        <f t="shared" si="6"/>
        <v>0.30769230769230771</v>
      </c>
      <c r="R19" s="118"/>
      <c r="S19" s="119"/>
      <c r="T19" s="117"/>
      <c r="U19" s="122"/>
      <c r="V19" s="135"/>
      <c r="W19" s="124">
        <f t="shared" ref="W19:W41" si="9">M19*T19/5</f>
        <v>0</v>
      </c>
      <c r="X19" s="123">
        <f t="shared" si="4"/>
        <v>57.5</v>
      </c>
      <c r="Y19" s="123">
        <f t="shared" si="5"/>
        <v>57.5</v>
      </c>
    </row>
    <row r="20" spans="1:26" x14ac:dyDescent="0.3">
      <c r="A20" s="134" t="s">
        <v>849</v>
      </c>
      <c r="B20" s="117" t="s">
        <v>826</v>
      </c>
      <c r="C20" s="117" t="s">
        <v>862</v>
      </c>
      <c r="D20" s="161" t="s">
        <v>861</v>
      </c>
      <c r="E20" s="165"/>
      <c r="F20" s="165" t="s">
        <v>806</v>
      </c>
      <c r="G20" s="165">
        <v>219</v>
      </c>
      <c r="H20" s="165" t="s">
        <v>807</v>
      </c>
      <c r="I20" s="165">
        <v>267</v>
      </c>
      <c r="J20" s="166"/>
      <c r="K20" s="166"/>
      <c r="L20" s="167"/>
      <c r="M20" s="119"/>
      <c r="N20" s="120">
        <f t="shared" si="7"/>
        <v>0.65217391304347827</v>
      </c>
      <c r="O20" s="174">
        <f t="shared" si="8"/>
        <v>7.310144928018949</v>
      </c>
      <c r="P20" s="121">
        <v>3</v>
      </c>
      <c r="Q20" s="30">
        <f t="shared" si="6"/>
        <v>0.30769230769230771</v>
      </c>
      <c r="R20" s="118"/>
      <c r="S20" s="119"/>
      <c r="T20" s="117"/>
      <c r="U20" s="122"/>
      <c r="V20" s="135"/>
      <c r="W20" s="124"/>
      <c r="X20" s="123">
        <f t="shared" si="4"/>
        <v>61.75</v>
      </c>
      <c r="Y20" s="123">
        <f t="shared" si="5"/>
        <v>61.75</v>
      </c>
    </row>
    <row r="21" spans="1:26" x14ac:dyDescent="0.3">
      <c r="A21" s="134" t="s">
        <v>783</v>
      </c>
      <c r="B21" s="117" t="s">
        <v>775</v>
      </c>
      <c r="C21" s="118" t="s">
        <v>810</v>
      </c>
      <c r="D21" s="168" t="s">
        <v>775</v>
      </c>
      <c r="E21" s="165"/>
      <c r="F21" s="165" t="s">
        <v>806</v>
      </c>
      <c r="G21" s="165">
        <v>273</v>
      </c>
      <c r="H21" s="165" t="s">
        <v>807</v>
      </c>
      <c r="I21" s="165">
        <v>367</v>
      </c>
      <c r="J21" s="166"/>
      <c r="K21" s="166"/>
      <c r="L21" s="167"/>
      <c r="M21" s="119"/>
      <c r="N21" s="120">
        <f t="shared" si="7"/>
        <v>0.59322033898305082</v>
      </c>
      <c r="O21" s="174">
        <f t="shared" si="8"/>
        <v>5.5096045198802974</v>
      </c>
      <c r="P21" s="121">
        <v>1</v>
      </c>
      <c r="Q21" s="30">
        <f t="shared" si="6"/>
        <v>0.30769230769230771</v>
      </c>
      <c r="R21" s="118">
        <v>24</v>
      </c>
      <c r="S21" s="119"/>
      <c r="T21" s="117"/>
      <c r="U21" s="122"/>
      <c r="V21" s="135"/>
      <c r="W21" s="124">
        <f t="shared" si="9"/>
        <v>0</v>
      </c>
      <c r="X21" s="123">
        <f t="shared" si="4"/>
        <v>14.75</v>
      </c>
      <c r="Y21" s="123">
        <f t="shared" si="5"/>
        <v>14.75</v>
      </c>
    </row>
    <row r="22" spans="1:26" x14ac:dyDescent="0.3">
      <c r="A22" s="134" t="s">
        <v>783</v>
      </c>
      <c r="B22" s="117" t="s">
        <v>767</v>
      </c>
      <c r="C22" s="118" t="s">
        <v>69</v>
      </c>
      <c r="D22" s="168" t="s">
        <v>767</v>
      </c>
      <c r="E22" s="165"/>
      <c r="F22" s="165" t="s">
        <v>806</v>
      </c>
      <c r="G22" s="165">
        <v>279</v>
      </c>
      <c r="H22" s="165" t="s">
        <v>807</v>
      </c>
      <c r="I22" s="165">
        <v>340</v>
      </c>
      <c r="J22" s="166"/>
      <c r="K22" s="166"/>
      <c r="L22" s="167"/>
      <c r="M22" s="55"/>
      <c r="N22" s="120">
        <f t="shared" si="7"/>
        <v>0.74336283185840712</v>
      </c>
      <c r="O22" s="174">
        <f t="shared" si="8"/>
        <v>2.6224188793829715</v>
      </c>
      <c r="P22" s="121">
        <v>1</v>
      </c>
      <c r="Q22" s="30">
        <f t="shared" si="6"/>
        <v>0.30769230769230771</v>
      </c>
      <c r="R22" s="118"/>
      <c r="S22" s="119"/>
      <c r="T22" s="117"/>
      <c r="U22" s="122"/>
      <c r="V22" s="135"/>
      <c r="W22" s="124">
        <f t="shared" si="9"/>
        <v>0</v>
      </c>
      <c r="X22" s="123">
        <f t="shared" si="4"/>
        <v>28.25</v>
      </c>
      <c r="Y22" s="123">
        <f t="shared" si="5"/>
        <v>28.25</v>
      </c>
    </row>
    <row r="23" spans="1:26" ht="15" thickBot="1" x14ac:dyDescent="0.35">
      <c r="A23" s="134" t="s">
        <v>789</v>
      </c>
      <c r="B23" s="117" t="s">
        <v>776</v>
      </c>
      <c r="C23" s="118" t="s">
        <v>69</v>
      </c>
      <c r="D23" s="168" t="s">
        <v>776</v>
      </c>
      <c r="E23" s="165"/>
      <c r="F23" s="165" t="s">
        <v>806</v>
      </c>
      <c r="G23" s="165">
        <v>285</v>
      </c>
      <c r="H23" s="165" t="s">
        <v>807</v>
      </c>
      <c r="I23" s="165">
        <v>383</v>
      </c>
      <c r="J23" s="166"/>
      <c r="K23" s="166"/>
      <c r="L23" s="167"/>
      <c r="M23" s="55"/>
      <c r="N23" s="120">
        <f t="shared" si="7"/>
        <v>0.31746031746031744</v>
      </c>
      <c r="O23" s="174">
        <f t="shared" si="8"/>
        <v>7.9111111110874583</v>
      </c>
      <c r="P23" s="121">
        <v>1</v>
      </c>
      <c r="Q23" s="189">
        <f t="shared" si="6"/>
        <v>0.30769230769230771</v>
      </c>
      <c r="R23" s="118"/>
      <c r="S23" s="119"/>
      <c r="T23" s="117"/>
      <c r="U23" s="122"/>
      <c r="V23" s="135"/>
      <c r="W23" s="124">
        <f t="shared" si="9"/>
        <v>0</v>
      </c>
      <c r="X23" s="123">
        <f t="shared" si="4"/>
        <v>15.75</v>
      </c>
      <c r="Y23" s="123">
        <f t="shared" si="5"/>
        <v>15.75</v>
      </c>
      <c r="Z23">
        <f>SUM(X19:X23)</f>
        <v>178</v>
      </c>
    </row>
    <row r="24" spans="1:26" x14ac:dyDescent="0.3">
      <c r="A24" s="126" t="s">
        <v>850</v>
      </c>
      <c r="B24" s="127" t="s">
        <v>818</v>
      </c>
      <c r="C24" s="181" t="s">
        <v>69</v>
      </c>
      <c r="D24" s="160" t="s">
        <v>771</v>
      </c>
      <c r="E24" s="162"/>
      <c r="F24" s="162" t="s">
        <v>806</v>
      </c>
      <c r="G24" s="162">
        <v>345</v>
      </c>
      <c r="H24" s="162" t="s">
        <v>807</v>
      </c>
      <c r="I24" s="162">
        <v>402</v>
      </c>
      <c r="J24" s="163"/>
      <c r="K24" s="163"/>
      <c r="L24" s="164"/>
      <c r="M24" s="128"/>
      <c r="N24" s="129">
        <f t="shared" si="7"/>
        <v>0.44210526315789472</v>
      </c>
      <c r="O24" s="173">
        <f t="shared" si="8"/>
        <v>6.3954385968758478</v>
      </c>
      <c r="P24" s="130">
        <v>1</v>
      </c>
      <c r="Q24" s="30">
        <f t="shared" si="6"/>
        <v>0.30769230769230771</v>
      </c>
      <c r="R24" s="131"/>
      <c r="S24" s="128"/>
      <c r="T24" s="131"/>
      <c r="U24" s="132"/>
      <c r="V24" s="133"/>
      <c r="W24" s="119">
        <f t="shared" si="9"/>
        <v>0</v>
      </c>
      <c r="X24" s="123">
        <f t="shared" si="4"/>
        <v>47.5</v>
      </c>
      <c r="Y24" s="123">
        <f t="shared" si="5"/>
        <v>47.5</v>
      </c>
    </row>
    <row r="25" spans="1:26" x14ac:dyDescent="0.3">
      <c r="A25" s="134" t="s">
        <v>851</v>
      </c>
      <c r="B25" s="183" t="s">
        <v>837</v>
      </c>
      <c r="C25" s="182" t="s">
        <v>846</v>
      </c>
      <c r="D25" s="161" t="s">
        <v>771</v>
      </c>
      <c r="E25" s="165"/>
      <c r="F25" s="165" t="s">
        <v>806</v>
      </c>
      <c r="G25" s="165">
        <v>399</v>
      </c>
      <c r="H25" s="165" t="s">
        <v>807</v>
      </c>
      <c r="I25" s="165">
        <v>446</v>
      </c>
      <c r="J25" s="166"/>
      <c r="K25" s="166"/>
      <c r="L25" s="167"/>
      <c r="M25" s="119"/>
      <c r="N25" s="120">
        <f t="shared" si="7"/>
        <v>0.6470588235294118</v>
      </c>
      <c r="O25" s="174">
        <f t="shared" si="8"/>
        <v>5.4431372539907255</v>
      </c>
      <c r="P25" s="121">
        <v>1</v>
      </c>
      <c r="Q25" s="30">
        <f t="shared" si="6"/>
        <v>0.30769230769230771</v>
      </c>
      <c r="R25" s="117"/>
      <c r="S25" s="119"/>
      <c r="T25" s="117"/>
      <c r="U25" s="122"/>
      <c r="V25" s="135"/>
      <c r="W25" s="119"/>
      <c r="X25" s="123">
        <f t="shared" si="4"/>
        <v>17</v>
      </c>
      <c r="Y25" s="123">
        <f t="shared" si="5"/>
        <v>17</v>
      </c>
    </row>
    <row r="26" spans="1:26" x14ac:dyDescent="0.3">
      <c r="A26" s="134" t="s">
        <v>852</v>
      </c>
      <c r="B26" s="187" t="s">
        <v>763</v>
      </c>
      <c r="C26" s="118" t="s">
        <v>69</v>
      </c>
      <c r="D26" s="168" t="s">
        <v>763</v>
      </c>
      <c r="E26" s="165"/>
      <c r="F26" s="165" t="s">
        <v>806</v>
      </c>
      <c r="G26" s="165">
        <v>387</v>
      </c>
      <c r="H26" s="165" t="s">
        <v>807</v>
      </c>
      <c r="I26" s="165">
        <v>446</v>
      </c>
      <c r="J26" s="166"/>
      <c r="K26" s="166"/>
      <c r="L26" s="167"/>
      <c r="M26" s="119"/>
      <c r="N26" s="120" t="str">
        <f t="shared" si="7"/>
        <v/>
      </c>
      <c r="O26" s="174" t="str">
        <f t="shared" si="8"/>
        <v/>
      </c>
      <c r="P26" s="121">
        <v>1</v>
      </c>
      <c r="Q26" s="30">
        <f t="shared" si="6"/>
        <v>0.30769230769230771</v>
      </c>
      <c r="R26" s="117"/>
      <c r="S26" s="119"/>
      <c r="T26" s="117"/>
      <c r="U26" s="122"/>
      <c r="V26" s="135"/>
      <c r="W26" s="119">
        <f t="shared" si="9"/>
        <v>0</v>
      </c>
      <c r="X26" s="123">
        <f t="shared" si="4"/>
        <v>0</v>
      </c>
      <c r="Y26" s="123">
        <f t="shared" si="5"/>
        <v>0</v>
      </c>
    </row>
    <row r="27" spans="1:26" x14ac:dyDescent="0.3">
      <c r="A27" s="134" t="s">
        <v>808</v>
      </c>
      <c r="B27" s="118" t="s">
        <v>853</v>
      </c>
      <c r="C27" s="118" t="s">
        <v>809</v>
      </c>
      <c r="D27" s="161" t="s">
        <v>761</v>
      </c>
      <c r="E27" s="165"/>
      <c r="F27" s="165" t="s">
        <v>806</v>
      </c>
      <c r="G27" s="165">
        <v>263</v>
      </c>
      <c r="H27" s="165" t="s">
        <v>807</v>
      </c>
      <c r="I27" s="165">
        <v>475</v>
      </c>
      <c r="J27" s="166"/>
      <c r="K27" s="166"/>
      <c r="L27" s="167"/>
      <c r="M27" s="119"/>
      <c r="N27" s="120" t="str">
        <f t="shared" si="7"/>
        <v/>
      </c>
      <c r="O27" s="174" t="str">
        <f t="shared" si="8"/>
        <v/>
      </c>
      <c r="P27" s="121">
        <v>1</v>
      </c>
      <c r="Q27" s="30">
        <f t="shared" si="6"/>
        <v>0.30769230769230771</v>
      </c>
      <c r="R27" s="117"/>
      <c r="S27" s="119"/>
      <c r="T27" s="117"/>
      <c r="U27" s="122"/>
      <c r="V27" s="135"/>
      <c r="W27" s="119">
        <f t="shared" si="9"/>
        <v>0</v>
      </c>
      <c r="X27" s="123">
        <f t="shared" si="4"/>
        <v>0</v>
      </c>
      <c r="Y27" s="123">
        <f t="shared" si="5"/>
        <v>0</v>
      </c>
    </row>
    <row r="28" spans="1:26" x14ac:dyDescent="0.3">
      <c r="A28" s="134" t="s">
        <v>808</v>
      </c>
      <c r="B28" s="118" t="s">
        <v>766</v>
      </c>
      <c r="C28" s="118" t="s">
        <v>69</v>
      </c>
      <c r="D28" s="168" t="s">
        <v>766</v>
      </c>
      <c r="E28" s="165"/>
      <c r="F28" s="165" t="s">
        <v>806</v>
      </c>
      <c r="G28" s="165">
        <v>413</v>
      </c>
      <c r="H28" s="165" t="s">
        <v>807</v>
      </c>
      <c r="I28" s="165">
        <v>481</v>
      </c>
      <c r="J28" s="166"/>
      <c r="K28" s="166"/>
      <c r="L28" s="167" t="s">
        <v>108</v>
      </c>
      <c r="M28" s="119"/>
      <c r="N28" s="120">
        <f t="shared" si="7"/>
        <v>0.88888888888888884</v>
      </c>
      <c r="O28" s="174">
        <f t="shared" si="8"/>
        <v>1.1759259266545996</v>
      </c>
      <c r="P28" s="121">
        <v>1</v>
      </c>
      <c r="Q28" s="30">
        <f t="shared" si="6"/>
        <v>0.38461538461538464</v>
      </c>
      <c r="R28" s="118"/>
      <c r="S28" s="119"/>
      <c r="T28" s="117"/>
      <c r="U28" s="122"/>
      <c r="V28" s="135"/>
      <c r="W28" s="119">
        <f t="shared" si="9"/>
        <v>0</v>
      </c>
      <c r="X28" s="123">
        <f t="shared" si="4"/>
        <v>18</v>
      </c>
      <c r="Y28" s="123">
        <f t="shared" si="5"/>
        <v>18</v>
      </c>
    </row>
    <row r="29" spans="1:26" x14ac:dyDescent="0.3">
      <c r="A29" s="134" t="s">
        <v>811</v>
      </c>
      <c r="B29" s="118" t="s">
        <v>778</v>
      </c>
      <c r="C29" s="118" t="s">
        <v>69</v>
      </c>
      <c r="D29" s="168" t="s">
        <v>778</v>
      </c>
      <c r="E29" s="165"/>
      <c r="F29" s="165" t="s">
        <v>806</v>
      </c>
      <c r="G29" s="165">
        <v>453</v>
      </c>
      <c r="H29" s="165" t="s">
        <v>807</v>
      </c>
      <c r="I29" s="165">
        <v>640</v>
      </c>
      <c r="J29" s="166"/>
      <c r="K29" s="166"/>
      <c r="L29" s="167"/>
      <c r="M29" s="119"/>
      <c r="N29" s="120">
        <f t="shared" si="7"/>
        <v>0.55555555555555558</v>
      </c>
      <c r="O29" s="174">
        <f t="shared" si="8"/>
        <v>9.1629629605449736</v>
      </c>
      <c r="P29" s="121">
        <v>1</v>
      </c>
      <c r="Q29" s="30">
        <f t="shared" si="6"/>
        <v>0.38461538461538464</v>
      </c>
      <c r="R29" s="118"/>
      <c r="S29" s="119"/>
      <c r="T29" s="117"/>
      <c r="U29" s="122"/>
      <c r="V29" s="135"/>
      <c r="W29" s="119">
        <f t="shared" si="9"/>
        <v>0</v>
      </c>
      <c r="X29" s="123">
        <f t="shared" si="4"/>
        <v>4.5</v>
      </c>
      <c r="Y29" s="123">
        <f t="shared" si="5"/>
        <v>4.5</v>
      </c>
    </row>
    <row r="30" spans="1:26" x14ac:dyDescent="0.3">
      <c r="A30" s="134" t="s">
        <v>811</v>
      </c>
      <c r="B30" s="118" t="s">
        <v>762</v>
      </c>
      <c r="C30" s="118" t="s">
        <v>69</v>
      </c>
      <c r="D30" s="168" t="s">
        <v>762</v>
      </c>
      <c r="E30" s="165"/>
      <c r="F30" s="165" t="s">
        <v>806</v>
      </c>
      <c r="G30" s="165">
        <v>483</v>
      </c>
      <c r="H30" s="165" t="s">
        <v>807</v>
      </c>
      <c r="I30" s="165">
        <v>520</v>
      </c>
      <c r="J30" s="166"/>
      <c r="K30" s="166"/>
      <c r="L30" s="167"/>
      <c r="M30" s="119"/>
      <c r="N30" s="120">
        <f t="shared" si="7"/>
        <v>0.62698412698412698</v>
      </c>
      <c r="O30" s="174">
        <f t="shared" si="8"/>
        <v>5.5449735449760089</v>
      </c>
      <c r="P30" s="121">
        <v>1</v>
      </c>
      <c r="Q30" s="30">
        <f t="shared" si="6"/>
        <v>0.38461538461538464</v>
      </c>
      <c r="R30" s="118"/>
      <c r="S30" s="119"/>
      <c r="T30" s="117"/>
      <c r="U30" s="122"/>
      <c r="V30" s="135"/>
      <c r="W30" s="119">
        <f t="shared" si="9"/>
        <v>0</v>
      </c>
      <c r="X30" s="123">
        <f t="shared" si="4"/>
        <v>31.5</v>
      </c>
      <c r="Y30" s="123">
        <f t="shared" si="5"/>
        <v>31.5</v>
      </c>
    </row>
    <row r="31" spans="1:26" x14ac:dyDescent="0.3">
      <c r="A31" s="134" t="s">
        <v>811</v>
      </c>
      <c r="B31" s="118" t="s">
        <v>764</v>
      </c>
      <c r="C31" s="118" t="s">
        <v>805</v>
      </c>
      <c r="D31" s="168" t="s">
        <v>764</v>
      </c>
      <c r="E31" s="165"/>
      <c r="F31" s="165" t="s">
        <v>806</v>
      </c>
      <c r="G31" s="165">
        <v>463</v>
      </c>
      <c r="H31" s="165" t="s">
        <v>807</v>
      </c>
      <c r="I31" s="165">
        <v>558</v>
      </c>
      <c r="J31" s="166"/>
      <c r="K31" s="166"/>
      <c r="L31" s="167"/>
      <c r="M31" s="119"/>
      <c r="N31" s="120">
        <f t="shared" si="7"/>
        <v>0.5357142857142857</v>
      </c>
      <c r="O31" s="174">
        <f t="shared" si="8"/>
        <v>1.9952380946571273</v>
      </c>
      <c r="P31" s="121">
        <v>1</v>
      </c>
      <c r="Q31" s="30">
        <f t="shared" si="6"/>
        <v>0.38461538461538464</v>
      </c>
      <c r="R31" s="118"/>
      <c r="S31" s="119"/>
      <c r="T31" s="117"/>
      <c r="U31" s="122"/>
      <c r="V31" s="135"/>
      <c r="W31" s="119">
        <f t="shared" si="9"/>
        <v>0</v>
      </c>
      <c r="X31" s="123">
        <f t="shared" si="4"/>
        <v>7</v>
      </c>
      <c r="Y31" s="123">
        <f t="shared" si="5"/>
        <v>7</v>
      </c>
    </row>
    <row r="32" spans="1:26" x14ac:dyDescent="0.3">
      <c r="A32" s="134" t="s">
        <v>812</v>
      </c>
      <c r="B32" s="118" t="s">
        <v>765</v>
      </c>
      <c r="C32" s="125" t="s">
        <v>69</v>
      </c>
      <c r="D32" s="168" t="s">
        <v>765</v>
      </c>
      <c r="E32" s="165"/>
      <c r="F32" s="165" t="s">
        <v>806</v>
      </c>
      <c r="G32" s="165">
        <v>503</v>
      </c>
      <c r="H32" s="165" t="s">
        <v>807</v>
      </c>
      <c r="I32" s="165">
        <v>507</v>
      </c>
      <c r="J32" s="166"/>
      <c r="K32" s="166"/>
      <c r="L32" s="167"/>
      <c r="M32" s="119"/>
      <c r="N32" s="120">
        <f t="shared" si="7"/>
        <v>0.44117647058823528</v>
      </c>
      <c r="O32" s="174">
        <f t="shared" si="8"/>
        <v>3.0686274509164777</v>
      </c>
      <c r="P32" s="121">
        <v>1</v>
      </c>
      <c r="Q32" s="30">
        <f t="shared" si="6"/>
        <v>0.38461538461538464</v>
      </c>
      <c r="R32" s="118"/>
      <c r="S32" s="119"/>
      <c r="T32" s="117"/>
      <c r="U32" s="122"/>
      <c r="V32" s="135"/>
      <c r="W32" s="119">
        <f t="shared" si="9"/>
        <v>0</v>
      </c>
      <c r="X32" s="123">
        <f t="shared" si="4"/>
        <v>8.5</v>
      </c>
      <c r="Y32" s="123">
        <f t="shared" si="5"/>
        <v>8.5</v>
      </c>
    </row>
    <row r="33" spans="1:26" ht="15" thickBot="1" x14ac:dyDescent="0.35">
      <c r="A33" s="136" t="s">
        <v>812</v>
      </c>
      <c r="B33" s="137" t="s">
        <v>770</v>
      </c>
      <c r="C33" s="138" t="s">
        <v>69</v>
      </c>
      <c r="D33" s="172" t="s">
        <v>770</v>
      </c>
      <c r="E33" s="169"/>
      <c r="F33" s="169" t="s">
        <v>806</v>
      </c>
      <c r="G33" s="169">
        <v>523</v>
      </c>
      <c r="H33" s="169" t="s">
        <v>807</v>
      </c>
      <c r="I33" s="169">
        <v>568</v>
      </c>
      <c r="J33" s="207"/>
      <c r="K33" s="170"/>
      <c r="L33" s="171" t="s">
        <v>108</v>
      </c>
      <c r="M33" s="139"/>
      <c r="N33" s="140">
        <f t="shared" si="7"/>
        <v>0.65024630541871919</v>
      </c>
      <c r="O33" s="175">
        <f t="shared" si="8"/>
        <v>21.812151067046074</v>
      </c>
      <c r="P33" s="141">
        <v>1</v>
      </c>
      <c r="Q33" s="189">
        <f t="shared" si="6"/>
        <v>0.46153846153846156</v>
      </c>
      <c r="R33" s="138"/>
      <c r="S33" s="139"/>
      <c r="T33" s="137"/>
      <c r="U33" s="142"/>
      <c r="V33" s="143"/>
      <c r="W33" s="119">
        <f t="shared" si="9"/>
        <v>0</v>
      </c>
      <c r="X33" s="123">
        <f t="shared" si="4"/>
        <v>44.25</v>
      </c>
      <c r="Y33" s="123">
        <f t="shared" si="5"/>
        <v>44.25</v>
      </c>
      <c r="Z33">
        <f>SUM(X24:X33)</f>
        <v>178.25</v>
      </c>
    </row>
    <row r="34" spans="1:26" x14ac:dyDescent="0.3">
      <c r="A34" s="134" t="s">
        <v>784</v>
      </c>
      <c r="B34" s="117" t="s">
        <v>768</v>
      </c>
      <c r="C34" s="118" t="s">
        <v>781</v>
      </c>
      <c r="D34" s="168" t="s">
        <v>768</v>
      </c>
      <c r="E34" s="165"/>
      <c r="F34" s="165" t="s">
        <v>806</v>
      </c>
      <c r="G34" s="165">
        <v>585</v>
      </c>
      <c r="H34" s="165" t="s">
        <v>807</v>
      </c>
      <c r="I34" s="165">
        <v>679</v>
      </c>
      <c r="J34" s="166"/>
      <c r="K34" s="166"/>
      <c r="L34" s="167" t="s">
        <v>108</v>
      </c>
      <c r="M34" s="119"/>
      <c r="N34" s="120">
        <f t="shared" si="7"/>
        <v>0.56687898089171973</v>
      </c>
      <c r="O34" s="174">
        <f t="shared" si="8"/>
        <v>16.996390658021447</v>
      </c>
      <c r="P34" s="121">
        <v>1</v>
      </c>
      <c r="Q34" s="30">
        <f t="shared" si="6"/>
        <v>0.53846153846153855</v>
      </c>
      <c r="R34" s="118">
        <v>21</v>
      </c>
      <c r="S34" s="119"/>
      <c r="T34" s="117"/>
      <c r="U34" s="122"/>
      <c r="V34" s="135"/>
      <c r="W34" s="124">
        <f t="shared" si="9"/>
        <v>0</v>
      </c>
      <c r="X34" s="123">
        <f>SUMIF(QDB.Paper,B34,QDB.Points)</f>
        <v>78.5</v>
      </c>
      <c r="Y34" s="123">
        <f t="shared" si="5"/>
        <v>78.5</v>
      </c>
    </row>
    <row r="35" spans="1:26" x14ac:dyDescent="0.3">
      <c r="A35" s="134" t="s">
        <v>785</v>
      </c>
      <c r="B35" s="117" t="s">
        <v>769</v>
      </c>
      <c r="C35" s="118" t="s">
        <v>69</v>
      </c>
      <c r="D35" s="168" t="s">
        <v>769</v>
      </c>
      <c r="E35" s="165"/>
      <c r="F35" s="165" t="s">
        <v>806</v>
      </c>
      <c r="G35" s="165">
        <v>637</v>
      </c>
      <c r="H35" s="165" t="s">
        <v>807</v>
      </c>
      <c r="I35" s="165">
        <v>749</v>
      </c>
      <c r="J35" s="166"/>
      <c r="K35" s="166"/>
      <c r="L35" s="167" t="s">
        <v>108</v>
      </c>
      <c r="M35" s="119"/>
      <c r="N35" s="120">
        <f t="shared" si="7"/>
        <v>0.54696132596685088</v>
      </c>
      <c r="O35" s="174">
        <f t="shared" si="8"/>
        <v>2.9042357276836976</v>
      </c>
      <c r="P35" s="121">
        <v>1</v>
      </c>
      <c r="Q35" s="30">
        <f t="shared" si="6"/>
        <v>0.61538461538461542</v>
      </c>
      <c r="R35" s="118">
        <v>8</v>
      </c>
      <c r="S35" s="119"/>
      <c r="T35" s="117"/>
      <c r="U35" s="122"/>
      <c r="V35" s="135"/>
      <c r="W35" s="124">
        <f t="shared" si="9"/>
        <v>0</v>
      </c>
      <c r="X35" s="123">
        <f t="shared" si="4"/>
        <v>45.25</v>
      </c>
      <c r="Y35" s="123">
        <f t="shared" si="5"/>
        <v>45.25</v>
      </c>
    </row>
    <row r="36" spans="1:26" x14ac:dyDescent="0.3">
      <c r="A36" s="134" t="s">
        <v>785</v>
      </c>
      <c r="B36" s="118" t="s">
        <v>779</v>
      </c>
      <c r="C36" s="118" t="s">
        <v>69</v>
      </c>
      <c r="D36" s="168" t="s">
        <v>779</v>
      </c>
      <c r="E36" s="165"/>
      <c r="F36" s="165" t="s">
        <v>806</v>
      </c>
      <c r="G36" s="165">
        <v>637</v>
      </c>
      <c r="H36" s="165" t="s">
        <v>807</v>
      </c>
      <c r="I36" s="165">
        <v>756</v>
      </c>
      <c r="J36" s="166"/>
      <c r="K36" s="166"/>
      <c r="L36" s="167"/>
      <c r="M36" s="119"/>
      <c r="N36" s="120" t="str">
        <f t="shared" si="7"/>
        <v/>
      </c>
      <c r="O36" s="174" t="str">
        <f t="shared" si="8"/>
        <v/>
      </c>
      <c r="P36" s="121">
        <v>1</v>
      </c>
      <c r="Q36" s="30">
        <f t="shared" si="6"/>
        <v>0.61538461538461542</v>
      </c>
      <c r="R36" s="118">
        <v>2</v>
      </c>
      <c r="S36" s="119"/>
      <c r="T36" s="117"/>
      <c r="U36" s="122"/>
      <c r="V36" s="135"/>
      <c r="W36" s="124">
        <f t="shared" si="9"/>
        <v>0</v>
      </c>
      <c r="X36" s="123">
        <f t="shared" si="4"/>
        <v>0</v>
      </c>
      <c r="Y36" s="123">
        <f t="shared" si="5"/>
        <v>0</v>
      </c>
    </row>
    <row r="37" spans="1:26" x14ac:dyDescent="0.3">
      <c r="A37" s="134" t="s">
        <v>788</v>
      </c>
      <c r="B37" s="117" t="s">
        <v>774</v>
      </c>
      <c r="C37" s="118" t="s">
        <v>69</v>
      </c>
      <c r="D37" s="168" t="s">
        <v>774</v>
      </c>
      <c r="E37" s="165"/>
      <c r="F37" s="165" t="s">
        <v>806</v>
      </c>
      <c r="G37" s="165">
        <v>657</v>
      </c>
      <c r="H37" s="165" t="s">
        <v>807</v>
      </c>
      <c r="I37" s="165">
        <v>648</v>
      </c>
      <c r="J37" s="166"/>
      <c r="K37" s="166"/>
      <c r="L37" s="167" t="s">
        <v>108</v>
      </c>
      <c r="M37" s="119"/>
      <c r="N37" s="120">
        <f t="shared" si="7"/>
        <v>0.52</v>
      </c>
      <c r="O37" s="174">
        <f t="shared" si="8"/>
        <v>3.9462222229689359</v>
      </c>
      <c r="P37" s="121">
        <v>1</v>
      </c>
      <c r="Q37" s="30">
        <f t="shared" si="6"/>
        <v>0.69230769230769229</v>
      </c>
      <c r="R37" s="118">
        <v>12</v>
      </c>
      <c r="S37" s="119"/>
      <c r="T37" s="117"/>
      <c r="U37" s="122"/>
      <c r="V37" s="135"/>
      <c r="W37" s="124">
        <f t="shared" si="9"/>
        <v>0</v>
      </c>
      <c r="X37" s="123">
        <f t="shared" si="4"/>
        <v>37.5</v>
      </c>
      <c r="Y37" s="123">
        <f t="shared" si="5"/>
        <v>37.5</v>
      </c>
    </row>
    <row r="38" spans="1:26" x14ac:dyDescent="0.3">
      <c r="A38" s="134" t="s">
        <v>790</v>
      </c>
      <c r="B38" s="117" t="s">
        <v>780</v>
      </c>
      <c r="C38" s="118" t="s">
        <v>69</v>
      </c>
      <c r="D38" s="168" t="s">
        <v>780</v>
      </c>
      <c r="E38" s="165"/>
      <c r="F38" s="165" t="s">
        <v>806</v>
      </c>
      <c r="G38" s="165">
        <v>661</v>
      </c>
      <c r="H38" s="165" t="s">
        <v>807</v>
      </c>
      <c r="I38" s="165">
        <v>825</v>
      </c>
      <c r="J38" s="166"/>
      <c r="K38" s="166"/>
      <c r="L38" s="167" t="s">
        <v>108</v>
      </c>
      <c r="M38" s="119"/>
      <c r="N38" s="120">
        <f t="shared" si="7"/>
        <v>0.5851318944844125</v>
      </c>
      <c r="O38" s="174">
        <f t="shared" si="8"/>
        <v>6.5653077536430073</v>
      </c>
      <c r="P38" s="121">
        <v>1</v>
      </c>
      <c r="Q38" s="30">
        <f t="shared" si="6"/>
        <v>0.76923076923076916</v>
      </c>
      <c r="R38" s="118">
        <v>50</v>
      </c>
      <c r="S38" s="119"/>
      <c r="T38" s="117"/>
      <c r="U38" s="122"/>
      <c r="V38" s="135"/>
      <c r="W38" s="124">
        <f t="shared" si="9"/>
        <v>0</v>
      </c>
      <c r="X38" s="123">
        <f t="shared" si="4"/>
        <v>104.25</v>
      </c>
      <c r="Y38" s="123">
        <f t="shared" si="5"/>
        <v>104.25</v>
      </c>
    </row>
    <row r="39" spans="1:26" x14ac:dyDescent="0.3">
      <c r="A39" s="134" t="s">
        <v>791</v>
      </c>
      <c r="B39" s="117" t="s">
        <v>777</v>
      </c>
      <c r="C39" s="118" t="s">
        <v>69</v>
      </c>
      <c r="D39" s="168" t="s">
        <v>777</v>
      </c>
      <c r="E39" s="165"/>
      <c r="F39" s="165" t="s">
        <v>806</v>
      </c>
      <c r="G39" s="165">
        <v>643</v>
      </c>
      <c r="H39" s="165" t="s">
        <v>807</v>
      </c>
      <c r="I39" s="165">
        <v>787</v>
      </c>
      <c r="J39" s="166"/>
      <c r="K39" s="166"/>
      <c r="L39" s="214" t="s">
        <v>108</v>
      </c>
      <c r="M39" s="119"/>
      <c r="N39" s="120">
        <f t="shared" si="7"/>
        <v>0.73417721518987344</v>
      </c>
      <c r="O39" s="174">
        <f t="shared" si="8"/>
        <v>1.4936708856397602</v>
      </c>
      <c r="P39" s="121">
        <v>1</v>
      </c>
      <c r="Q39" s="30">
        <f t="shared" si="6"/>
        <v>0.84615384615384603</v>
      </c>
      <c r="R39" s="118">
        <v>24</v>
      </c>
      <c r="S39" s="119"/>
      <c r="T39" s="117"/>
      <c r="U39" s="122"/>
      <c r="V39" s="135"/>
      <c r="W39" s="124">
        <f t="shared" si="9"/>
        <v>0</v>
      </c>
      <c r="X39" s="123">
        <f t="shared" si="4"/>
        <v>39.5</v>
      </c>
      <c r="Y39" s="123">
        <f t="shared" si="5"/>
        <v>39.5</v>
      </c>
    </row>
    <row r="40" spans="1:26" x14ac:dyDescent="0.3">
      <c r="A40" s="134" t="s">
        <v>786</v>
      </c>
      <c r="B40" s="117" t="s">
        <v>772</v>
      </c>
      <c r="C40" s="118" t="s">
        <v>782</v>
      </c>
      <c r="D40" s="168" t="s">
        <v>772</v>
      </c>
      <c r="E40" s="165"/>
      <c r="F40" s="165" t="s">
        <v>806</v>
      </c>
      <c r="G40" s="165">
        <v>701</v>
      </c>
      <c r="H40" s="165" t="s">
        <v>807</v>
      </c>
      <c r="I40" s="165">
        <v>978</v>
      </c>
      <c r="J40" s="166"/>
      <c r="K40" s="166"/>
      <c r="L40" s="167" t="s">
        <v>108</v>
      </c>
      <c r="M40" s="119"/>
      <c r="N40" s="120">
        <f t="shared" si="7"/>
        <v>0.47142857142857142</v>
      </c>
      <c r="O40" s="174">
        <f t="shared" si="8"/>
        <v>3.3499999993946403</v>
      </c>
      <c r="P40" s="121">
        <v>1</v>
      </c>
      <c r="Q40" s="30">
        <f t="shared" si="6"/>
        <v>0.92307692307692291</v>
      </c>
      <c r="R40" s="118">
        <v>22</v>
      </c>
      <c r="S40" s="119"/>
      <c r="T40" s="117"/>
      <c r="U40" s="122"/>
      <c r="V40" s="135"/>
      <c r="W40" s="124">
        <f t="shared" si="9"/>
        <v>0</v>
      </c>
      <c r="X40" s="123">
        <f t="shared" si="4"/>
        <v>35</v>
      </c>
      <c r="Y40" s="123">
        <f t="shared" si="5"/>
        <v>35</v>
      </c>
    </row>
    <row r="41" spans="1:26" ht="15" thickBot="1" x14ac:dyDescent="0.35">
      <c r="A41" s="136" t="s">
        <v>787</v>
      </c>
      <c r="B41" s="137" t="s">
        <v>773</v>
      </c>
      <c r="C41" s="138" t="s">
        <v>69</v>
      </c>
      <c r="D41" s="172" t="s">
        <v>773</v>
      </c>
      <c r="E41" s="169"/>
      <c r="F41" s="169" t="s">
        <v>806</v>
      </c>
      <c r="G41" s="169">
        <v>687</v>
      </c>
      <c r="H41" s="169" t="s">
        <v>807</v>
      </c>
      <c r="I41" s="169">
        <v>924</v>
      </c>
      <c r="J41" s="170"/>
      <c r="K41" s="170"/>
      <c r="L41" s="171" t="s">
        <v>108</v>
      </c>
      <c r="M41" s="139"/>
      <c r="N41" s="140">
        <f t="shared" si="7"/>
        <v>0.77083333333333337</v>
      </c>
      <c r="O41" s="175">
        <f t="shared" si="8"/>
        <v>6.2343749999126885</v>
      </c>
      <c r="P41" s="141">
        <v>1</v>
      </c>
      <c r="Q41" s="189">
        <f t="shared" si="6"/>
        <v>0.99999999999999978</v>
      </c>
      <c r="R41" s="138">
        <v>25</v>
      </c>
      <c r="S41" s="139"/>
      <c r="T41" s="137"/>
      <c r="U41" s="142"/>
      <c r="V41" s="143"/>
      <c r="W41" s="124">
        <f t="shared" si="9"/>
        <v>0</v>
      </c>
      <c r="X41" s="123">
        <f t="shared" si="4"/>
        <v>48</v>
      </c>
      <c r="Y41" s="123">
        <f t="shared" si="5"/>
        <v>48</v>
      </c>
      <c r="Z41">
        <f>SUM(X34:X41)</f>
        <v>388</v>
      </c>
    </row>
    <row r="42" spans="1:26" x14ac:dyDescent="0.3">
      <c r="L42" s="20"/>
    </row>
    <row r="44" spans="1:26" x14ac:dyDescent="0.3">
      <c r="A44" t="s">
        <v>792</v>
      </c>
      <c r="B44" t="s">
        <v>796</v>
      </c>
      <c r="C44" t="s">
        <v>801</v>
      </c>
    </row>
    <row r="45" spans="1:26" x14ac:dyDescent="0.3">
      <c r="A45" t="s">
        <v>793</v>
      </c>
      <c r="B45" t="s">
        <v>797</v>
      </c>
      <c r="C45" t="s">
        <v>802</v>
      </c>
    </row>
    <row r="46" spans="1:26" x14ac:dyDescent="0.3">
      <c r="A46" t="s">
        <v>794</v>
      </c>
      <c r="B46" t="s">
        <v>796</v>
      </c>
      <c r="C46" t="s">
        <v>800</v>
      </c>
    </row>
    <row r="47" spans="1:26" x14ac:dyDescent="0.3">
      <c r="A47" t="s">
        <v>795</v>
      </c>
      <c r="B47" t="s">
        <v>798</v>
      </c>
      <c r="C47" t="s">
        <v>799</v>
      </c>
    </row>
    <row r="58" spans="10:10" x14ac:dyDescent="0.3">
      <c r="J58" s="191"/>
    </row>
  </sheetData>
  <sortState ref="A12:S40">
    <sortCondition ref="A12"/>
  </sortState>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Z67"/>
  <sheetViews>
    <sheetView topLeftCell="A27" workbookViewId="0">
      <selection activeCell="Z65" sqref="Z65"/>
    </sheetView>
  </sheetViews>
  <sheetFormatPr defaultRowHeight="14.4" x14ac:dyDescent="0.3"/>
  <cols>
    <col min="3" max="3" width="22" bestFit="1" customWidth="1"/>
    <col min="4" max="7" width="0" hidden="1" customWidth="1"/>
    <col min="8" max="20" width="9.5546875" hidden="1" customWidth="1"/>
    <col min="21" max="26" width="9.5546875" bestFit="1" customWidth="1"/>
  </cols>
  <sheetData>
    <row r="1" spans="1:26" x14ac:dyDescent="0.3">
      <c r="A1" t="s">
        <v>1387</v>
      </c>
      <c r="B1" t="s">
        <v>56</v>
      </c>
      <c r="D1" s="193">
        <v>42466</v>
      </c>
      <c r="E1" s="193">
        <v>42467</v>
      </c>
      <c r="F1" s="193">
        <v>42468</v>
      </c>
      <c r="G1" s="193">
        <v>42469</v>
      </c>
      <c r="H1" s="193">
        <v>42470</v>
      </c>
      <c r="I1" s="193">
        <v>42471</v>
      </c>
      <c r="J1" s="193">
        <v>42472</v>
      </c>
      <c r="K1" s="193">
        <v>42473</v>
      </c>
      <c r="L1" s="193">
        <v>42474</v>
      </c>
      <c r="M1" s="193">
        <v>42475</v>
      </c>
      <c r="N1" s="193">
        <v>42476</v>
      </c>
      <c r="O1" s="193">
        <v>42477</v>
      </c>
      <c r="P1" s="193">
        <v>42478</v>
      </c>
      <c r="Q1" s="193">
        <v>42479</v>
      </c>
      <c r="R1" s="193">
        <v>42480</v>
      </c>
      <c r="S1" s="193">
        <v>42481</v>
      </c>
      <c r="T1" s="193">
        <v>42482</v>
      </c>
      <c r="U1" s="193">
        <v>42483</v>
      </c>
      <c r="V1" s="193">
        <v>42484</v>
      </c>
      <c r="W1" s="193">
        <v>42485</v>
      </c>
      <c r="X1" s="193">
        <v>42486</v>
      </c>
      <c r="Y1" s="193">
        <v>42487</v>
      </c>
      <c r="Z1" s="193">
        <v>42488</v>
      </c>
    </row>
    <row r="2" spans="1:26" x14ac:dyDescent="0.3">
      <c r="A2">
        <f>ReadingIndex!X11</f>
        <v>38.75</v>
      </c>
      <c r="B2">
        <f>ReadingIndex!Y11</f>
        <v>38.75</v>
      </c>
      <c r="C2" t="str">
        <f>ReadingIndex!B11</f>
        <v>BKM6</v>
      </c>
      <c r="D2" t="s">
        <v>108</v>
      </c>
    </row>
    <row r="3" spans="1:26" x14ac:dyDescent="0.3">
      <c r="A3">
        <f>ReadingIndex!X12</f>
        <v>47.5</v>
      </c>
      <c r="B3">
        <f>ReadingIndex!Y12</f>
        <v>47.5</v>
      </c>
      <c r="C3" t="str">
        <f>ReadingIndex!B12</f>
        <v>BKM7</v>
      </c>
      <c r="E3" t="s">
        <v>108</v>
      </c>
    </row>
    <row r="4" spans="1:26" x14ac:dyDescent="0.3">
      <c r="A4">
        <f>ReadingIndex!X13</f>
        <v>9.75</v>
      </c>
      <c r="B4">
        <f>ReadingIndex!Y13</f>
        <v>9.75</v>
      </c>
      <c r="C4" t="str">
        <f>ReadingIndex!B13</f>
        <v>BKM8</v>
      </c>
      <c r="E4" t="s">
        <v>108</v>
      </c>
      <c r="K4" t="s">
        <v>1386</v>
      </c>
    </row>
    <row r="5" spans="1:26" x14ac:dyDescent="0.3">
      <c r="A5">
        <f>ReadingIndex!X14</f>
        <v>33.5</v>
      </c>
      <c r="B5">
        <f>ReadingIndex!Y14</f>
        <v>33.5</v>
      </c>
      <c r="C5" t="str">
        <f>ReadingIndex!B14</f>
        <v>BKM9</v>
      </c>
      <c r="F5" t="s">
        <v>108</v>
      </c>
      <c r="K5" t="s">
        <v>1386</v>
      </c>
    </row>
    <row r="6" spans="1:26" x14ac:dyDescent="0.3">
      <c r="A6">
        <f>ReadingIndex!X15</f>
        <v>25.5</v>
      </c>
      <c r="B6">
        <f>ReadingIndex!Y15</f>
        <v>25.5</v>
      </c>
      <c r="C6" t="str">
        <f>ReadingIndex!B15</f>
        <v>BKM10</v>
      </c>
      <c r="F6" t="s">
        <v>108</v>
      </c>
    </row>
    <row r="7" spans="1:26" x14ac:dyDescent="0.3">
      <c r="A7">
        <f>ReadingIndex!X16</f>
        <v>29.75</v>
      </c>
      <c r="B7">
        <f>ReadingIndex!Y16</f>
        <v>29.75</v>
      </c>
      <c r="C7" t="str">
        <f>ReadingIndex!B16</f>
        <v>BKM11</v>
      </c>
      <c r="G7" t="s">
        <v>108</v>
      </c>
    </row>
    <row r="8" spans="1:26" x14ac:dyDescent="0.3">
      <c r="A8">
        <f>ReadingIndex!X17</f>
        <v>11.75</v>
      </c>
      <c r="B8">
        <f>ReadingIndex!Y17</f>
        <v>11.75</v>
      </c>
      <c r="C8" t="str">
        <f>ReadingIndex!B17</f>
        <v>BKM12</v>
      </c>
      <c r="G8" t="s">
        <v>108</v>
      </c>
    </row>
    <row r="9" spans="1:26" x14ac:dyDescent="0.3">
      <c r="A9">
        <f>ReadingIndex!X18</f>
        <v>21</v>
      </c>
      <c r="B9">
        <f>ReadingIndex!Y18</f>
        <v>21</v>
      </c>
      <c r="C9" t="str">
        <f>ReadingIndex!B18</f>
        <v>BKM13</v>
      </c>
      <c r="H9" t="s">
        <v>108</v>
      </c>
    </row>
    <row r="10" spans="1:26" x14ac:dyDescent="0.3">
      <c r="A10">
        <f>ReadingIndex!X19</f>
        <v>57.5</v>
      </c>
      <c r="B10">
        <f>ReadingIndex!Y19</f>
        <v>57.5</v>
      </c>
      <c r="C10" t="s">
        <v>861</v>
      </c>
      <c r="I10" t="s">
        <v>108</v>
      </c>
    </row>
    <row r="11" spans="1:26" x14ac:dyDescent="0.3">
      <c r="A11">
        <f>ReadingIndex!X20</f>
        <v>61.75</v>
      </c>
      <c r="B11">
        <f>ReadingIndex!Y20</f>
        <v>61.75</v>
      </c>
      <c r="C11" t="s">
        <v>861</v>
      </c>
      <c r="J11" t="s">
        <v>108</v>
      </c>
    </row>
    <row r="12" spans="1:26" x14ac:dyDescent="0.3">
      <c r="A12">
        <f>ReadingIndex!X21</f>
        <v>14.75</v>
      </c>
      <c r="B12">
        <f>ReadingIndex!Y21</f>
        <v>14.75</v>
      </c>
      <c r="C12" t="s">
        <v>775</v>
      </c>
      <c r="K12" t="s">
        <v>108</v>
      </c>
      <c r="L12" t="s">
        <v>1386</v>
      </c>
    </row>
    <row r="13" spans="1:26" x14ac:dyDescent="0.3">
      <c r="A13">
        <f>ReadingIndex!X22</f>
        <v>28.25</v>
      </c>
      <c r="B13">
        <f>ReadingIndex!Y22</f>
        <v>28.25</v>
      </c>
      <c r="C13" t="s">
        <v>767</v>
      </c>
      <c r="L13" t="s">
        <v>108</v>
      </c>
    </row>
    <row r="14" spans="1:26" x14ac:dyDescent="0.3">
      <c r="A14">
        <f>ReadingIndex!X23</f>
        <v>15.75</v>
      </c>
      <c r="B14">
        <f>ReadingIndex!Y23</f>
        <v>15.75</v>
      </c>
      <c r="C14" t="s">
        <v>776</v>
      </c>
      <c r="L14" t="s">
        <v>108</v>
      </c>
    </row>
    <row r="15" spans="1:26" x14ac:dyDescent="0.3">
      <c r="A15">
        <f>ReadingIndex!X24</f>
        <v>47.5</v>
      </c>
      <c r="B15">
        <f>ReadingIndex!Y24</f>
        <v>47.5</v>
      </c>
      <c r="C15" t="s">
        <v>771</v>
      </c>
      <c r="P15" t="s">
        <v>108</v>
      </c>
      <c r="Q15" t="s">
        <v>108</v>
      </c>
    </row>
    <row r="16" spans="1:26" x14ac:dyDescent="0.3">
      <c r="A16">
        <f>ReadingIndex!X25</f>
        <v>17</v>
      </c>
      <c r="B16">
        <f>ReadingIndex!Y25</f>
        <v>17</v>
      </c>
      <c r="C16" t="s">
        <v>771</v>
      </c>
      <c r="P16" t="s">
        <v>108</v>
      </c>
    </row>
    <row r="17" spans="1:26" x14ac:dyDescent="0.3">
      <c r="A17">
        <f>ReadingIndex!X26</f>
        <v>0</v>
      </c>
      <c r="B17">
        <f>ReadingIndex!Y26</f>
        <v>0</v>
      </c>
      <c r="C17" t="s">
        <v>763</v>
      </c>
    </row>
    <row r="18" spans="1:26" x14ac:dyDescent="0.3">
      <c r="A18">
        <f>ReadingIndex!X27</f>
        <v>0</v>
      </c>
      <c r="B18">
        <f>ReadingIndex!Y27</f>
        <v>0</v>
      </c>
      <c r="C18" t="s">
        <v>761</v>
      </c>
    </row>
    <row r="19" spans="1:26" x14ac:dyDescent="0.3">
      <c r="A19">
        <f>ReadingIndex!X28</f>
        <v>18</v>
      </c>
      <c r="B19">
        <f>ReadingIndex!Y28</f>
        <v>18</v>
      </c>
      <c r="C19" t="s">
        <v>766</v>
      </c>
      <c r="N19" t="s">
        <v>1386</v>
      </c>
      <c r="O19" t="s">
        <v>1386</v>
      </c>
      <c r="P19" t="s">
        <v>108</v>
      </c>
    </row>
    <row r="20" spans="1:26" x14ac:dyDescent="0.3">
      <c r="A20">
        <f>ReadingIndex!X29</f>
        <v>4.5</v>
      </c>
      <c r="B20">
        <f>ReadingIndex!Y29</f>
        <v>4.5</v>
      </c>
      <c r="C20" t="s">
        <v>778</v>
      </c>
      <c r="N20" t="s">
        <v>1386</v>
      </c>
      <c r="P20" t="s">
        <v>108</v>
      </c>
    </row>
    <row r="21" spans="1:26" x14ac:dyDescent="0.3">
      <c r="A21">
        <f>ReadingIndex!X30</f>
        <v>31.5</v>
      </c>
      <c r="B21">
        <f>ReadingIndex!Y30</f>
        <v>31.5</v>
      </c>
      <c r="C21" t="s">
        <v>762</v>
      </c>
      <c r="D21" t="s">
        <v>1386</v>
      </c>
      <c r="Q21" t="s">
        <v>108</v>
      </c>
    </row>
    <row r="22" spans="1:26" x14ac:dyDescent="0.3">
      <c r="A22">
        <f>ReadingIndex!X31</f>
        <v>7</v>
      </c>
      <c r="B22">
        <f>ReadingIndex!Y31</f>
        <v>7</v>
      </c>
      <c r="C22" t="s">
        <v>764</v>
      </c>
      <c r="N22" t="s">
        <v>1386</v>
      </c>
      <c r="P22" t="s">
        <v>108</v>
      </c>
    </row>
    <row r="23" spans="1:26" x14ac:dyDescent="0.3">
      <c r="A23">
        <f>ReadingIndex!X32</f>
        <v>8.5</v>
      </c>
      <c r="B23">
        <f>ReadingIndex!Y32</f>
        <v>8.5</v>
      </c>
      <c r="C23" t="s">
        <v>765</v>
      </c>
      <c r="P23" t="s">
        <v>108</v>
      </c>
    </row>
    <row r="24" spans="1:26" x14ac:dyDescent="0.3">
      <c r="A24">
        <f>ReadingIndex!X33</f>
        <v>44.25</v>
      </c>
      <c r="B24">
        <f>ReadingIndex!Y33</f>
        <v>44.25</v>
      </c>
      <c r="C24" t="s">
        <v>770</v>
      </c>
      <c r="Q24" t="s">
        <v>108</v>
      </c>
    </row>
    <row r="25" spans="1:26" x14ac:dyDescent="0.3">
      <c r="A25">
        <f>ReadingIndex!X34</f>
        <v>78.5</v>
      </c>
      <c r="B25">
        <f>ReadingIndex!Y34</f>
        <v>78.5</v>
      </c>
      <c r="C25" t="s">
        <v>768</v>
      </c>
      <c r="R25" t="s">
        <v>108</v>
      </c>
      <c r="S25" t="s">
        <v>108</v>
      </c>
    </row>
    <row r="26" spans="1:26" x14ac:dyDescent="0.3">
      <c r="A26">
        <f>ReadingIndex!X35</f>
        <v>45.25</v>
      </c>
      <c r="B26">
        <f>ReadingIndex!Y35</f>
        <v>45.25</v>
      </c>
      <c r="C26" t="s">
        <v>769</v>
      </c>
      <c r="T26" t="s">
        <v>108</v>
      </c>
    </row>
    <row r="27" spans="1:26" x14ac:dyDescent="0.3">
      <c r="A27">
        <f>ReadingIndex!X36</f>
        <v>0</v>
      </c>
      <c r="B27">
        <f>ReadingIndex!Y36</f>
        <v>0</v>
      </c>
      <c r="C27" t="s">
        <v>779</v>
      </c>
      <c r="T27" t="s">
        <v>108</v>
      </c>
    </row>
    <row r="28" spans="1:26" x14ac:dyDescent="0.3">
      <c r="A28">
        <f>ReadingIndex!X37</f>
        <v>37.5</v>
      </c>
      <c r="B28">
        <f>ReadingIndex!Y37</f>
        <v>37.5</v>
      </c>
      <c r="C28" t="s">
        <v>774</v>
      </c>
      <c r="U28" t="s">
        <v>108</v>
      </c>
    </row>
    <row r="29" spans="1:26" x14ac:dyDescent="0.3">
      <c r="A29">
        <f>ReadingIndex!X38</f>
        <v>104.25</v>
      </c>
      <c r="B29">
        <f>ReadingIndex!Y38</f>
        <v>104.25</v>
      </c>
      <c r="C29" t="s">
        <v>780</v>
      </c>
      <c r="V29" t="s">
        <v>108</v>
      </c>
      <c r="W29" t="s">
        <v>108</v>
      </c>
    </row>
    <row r="30" spans="1:26" x14ac:dyDescent="0.3">
      <c r="A30">
        <f>ReadingIndex!X39</f>
        <v>39.5</v>
      </c>
      <c r="B30">
        <f>ReadingIndex!Y39</f>
        <v>39.5</v>
      </c>
      <c r="C30" t="s">
        <v>777</v>
      </c>
      <c r="X30" t="s">
        <v>108</v>
      </c>
    </row>
    <row r="31" spans="1:26" x14ac:dyDescent="0.3">
      <c r="A31">
        <f>ReadingIndex!X40</f>
        <v>35</v>
      </c>
      <c r="B31">
        <f>ReadingIndex!Y40</f>
        <v>35</v>
      </c>
      <c r="C31" t="s">
        <v>772</v>
      </c>
      <c r="F31" t="s">
        <v>1386</v>
      </c>
      <c r="Y31" t="s">
        <v>108</v>
      </c>
    </row>
    <row r="32" spans="1:26" x14ac:dyDescent="0.3">
      <c r="A32">
        <f>ReadingIndex!X41</f>
        <v>48</v>
      </c>
      <c r="B32">
        <f>ReadingIndex!Y41</f>
        <v>48</v>
      </c>
      <c r="C32" t="s">
        <v>773</v>
      </c>
      <c r="Z32" t="s">
        <v>108</v>
      </c>
    </row>
    <row r="35" spans="1:26" x14ac:dyDescent="0.3">
      <c r="A35" t="s">
        <v>1506</v>
      </c>
    </row>
    <row r="36" spans="1:26" x14ac:dyDescent="0.3">
      <c r="A36" t="s">
        <v>1387</v>
      </c>
      <c r="B36" t="s">
        <v>56</v>
      </c>
      <c r="D36" s="193">
        <v>42466</v>
      </c>
      <c r="E36" s="193">
        <v>42467</v>
      </c>
      <c r="F36" s="193">
        <v>42468</v>
      </c>
      <c r="G36" s="193">
        <v>42469</v>
      </c>
      <c r="H36" s="193">
        <v>42470</v>
      </c>
      <c r="I36" s="193">
        <v>42471</v>
      </c>
      <c r="J36" s="193">
        <v>42472</v>
      </c>
      <c r="K36" s="193">
        <v>42473</v>
      </c>
      <c r="L36" s="193">
        <v>42474</v>
      </c>
      <c r="M36" s="193">
        <v>42475</v>
      </c>
      <c r="N36" s="193">
        <v>42476</v>
      </c>
      <c r="O36" s="193">
        <v>42477</v>
      </c>
      <c r="P36" s="193">
        <v>42478</v>
      </c>
      <c r="Q36" s="193">
        <v>42479</v>
      </c>
      <c r="R36" s="193">
        <v>42480</v>
      </c>
      <c r="S36" s="193">
        <v>42481</v>
      </c>
      <c r="T36" s="193">
        <v>42482</v>
      </c>
      <c r="U36" s="193">
        <v>42483</v>
      </c>
      <c r="V36" s="193">
        <v>42484</v>
      </c>
      <c r="W36" s="193">
        <v>42485</v>
      </c>
      <c r="X36" s="193">
        <v>42486</v>
      </c>
      <c r="Y36" s="193">
        <v>42487</v>
      </c>
      <c r="Z36" s="193">
        <v>42488</v>
      </c>
    </row>
    <row r="37" spans="1:26" x14ac:dyDescent="0.3">
      <c r="A37">
        <f>ReadingIndex!X11</f>
        <v>38.75</v>
      </c>
      <c r="B37">
        <f>ReadingIndex!Y11</f>
        <v>38.75</v>
      </c>
      <c r="C37" t="str">
        <f>ReadingIndex!B11</f>
        <v>BKM6</v>
      </c>
      <c r="D37" t="s">
        <v>108</v>
      </c>
    </row>
    <row r="38" spans="1:26" x14ac:dyDescent="0.3">
      <c r="A38">
        <f>ReadingIndex!X12</f>
        <v>47.5</v>
      </c>
      <c r="B38">
        <f>ReadingIndex!Y12</f>
        <v>47.5</v>
      </c>
      <c r="C38" t="str">
        <f>ReadingIndex!B12</f>
        <v>BKM7</v>
      </c>
      <c r="E38" t="s">
        <v>108</v>
      </c>
    </row>
    <row r="39" spans="1:26" x14ac:dyDescent="0.3">
      <c r="A39">
        <f>ReadingIndex!X13</f>
        <v>9.75</v>
      </c>
      <c r="B39">
        <f>ReadingIndex!Y13</f>
        <v>9.75</v>
      </c>
      <c r="C39" t="str">
        <f>ReadingIndex!B13</f>
        <v>BKM8</v>
      </c>
      <c r="E39" t="s">
        <v>108</v>
      </c>
      <c r="K39" t="s">
        <v>1386</v>
      </c>
    </row>
    <row r="40" spans="1:26" x14ac:dyDescent="0.3">
      <c r="A40">
        <f>ReadingIndex!X14</f>
        <v>33.5</v>
      </c>
      <c r="B40">
        <f>ReadingIndex!Y14</f>
        <v>33.5</v>
      </c>
      <c r="C40" t="str">
        <f>ReadingIndex!B14</f>
        <v>BKM9</v>
      </c>
      <c r="F40" t="s">
        <v>108</v>
      </c>
      <c r="K40" t="s">
        <v>1386</v>
      </c>
    </row>
    <row r="41" spans="1:26" x14ac:dyDescent="0.3">
      <c r="A41">
        <f>ReadingIndex!X15</f>
        <v>25.5</v>
      </c>
      <c r="B41">
        <f>ReadingIndex!Y15</f>
        <v>25.5</v>
      </c>
      <c r="C41" t="str">
        <f>ReadingIndex!B15</f>
        <v>BKM10</v>
      </c>
      <c r="F41" t="s">
        <v>108</v>
      </c>
    </row>
    <row r="42" spans="1:26" x14ac:dyDescent="0.3">
      <c r="A42">
        <f>ReadingIndex!X16</f>
        <v>29.75</v>
      </c>
      <c r="B42">
        <f>ReadingIndex!Y16</f>
        <v>29.75</v>
      </c>
      <c r="C42" t="str">
        <f>ReadingIndex!B16</f>
        <v>BKM11</v>
      </c>
      <c r="G42" t="s">
        <v>108</v>
      </c>
    </row>
    <row r="43" spans="1:26" x14ac:dyDescent="0.3">
      <c r="A43">
        <f>ReadingIndex!X17</f>
        <v>11.75</v>
      </c>
      <c r="B43">
        <f>ReadingIndex!Y17</f>
        <v>11.75</v>
      </c>
      <c r="C43" t="str">
        <f>ReadingIndex!B17</f>
        <v>BKM12</v>
      </c>
      <c r="G43" t="s">
        <v>108</v>
      </c>
    </row>
    <row r="44" spans="1:26" x14ac:dyDescent="0.3">
      <c r="A44">
        <f>ReadingIndex!X18</f>
        <v>21</v>
      </c>
      <c r="B44">
        <f>ReadingIndex!Y18</f>
        <v>21</v>
      </c>
      <c r="C44" t="str">
        <f>ReadingIndex!B18</f>
        <v>BKM13</v>
      </c>
      <c r="H44" t="s">
        <v>108</v>
      </c>
      <c r="W44" t="s">
        <v>1507</v>
      </c>
    </row>
    <row r="45" spans="1:26" x14ac:dyDescent="0.3">
      <c r="A45">
        <f>ReadingIndex!X19</f>
        <v>57.5</v>
      </c>
      <c r="B45">
        <f>ReadingIndex!Y19</f>
        <v>57.5</v>
      </c>
      <c r="C45" t="str">
        <f>ReadingIndex!B19</f>
        <v>BKM15/Hull4</v>
      </c>
      <c r="I45" t="s">
        <v>108</v>
      </c>
    </row>
    <row r="46" spans="1:26" x14ac:dyDescent="0.3">
      <c r="A46">
        <f>ReadingIndex!X20</f>
        <v>61.75</v>
      </c>
      <c r="B46">
        <f>ReadingIndex!Y20</f>
        <v>61.75</v>
      </c>
      <c r="C46" t="str">
        <f>ReadingIndex!B20</f>
        <v>BKM16/Hull7</v>
      </c>
      <c r="J46" t="s">
        <v>108</v>
      </c>
    </row>
    <row r="47" spans="1:26" x14ac:dyDescent="0.3">
      <c r="A47">
        <f>ReadingIndex!X21</f>
        <v>14.75</v>
      </c>
      <c r="B47">
        <f>ReadingIndex!Y21</f>
        <v>14.75</v>
      </c>
      <c r="C47" t="str">
        <f>ReadingIndex!B21</f>
        <v>Noris</v>
      </c>
      <c r="K47" t="s">
        <v>108</v>
      </c>
      <c r="L47" t="s">
        <v>1386</v>
      </c>
      <c r="Z47" t="s">
        <v>1507</v>
      </c>
    </row>
    <row r="48" spans="1:26" x14ac:dyDescent="0.3">
      <c r="A48">
        <f>ReadingIndex!X22</f>
        <v>28.25</v>
      </c>
      <c r="B48">
        <f>ReadingIndex!Y22</f>
        <v>28.25</v>
      </c>
      <c r="C48" t="str">
        <f>ReadingIndex!B22</f>
        <v>Feldblum Asset</v>
      </c>
      <c r="L48" t="s">
        <v>108</v>
      </c>
      <c r="Z48" t="s">
        <v>1507</v>
      </c>
    </row>
    <row r="49" spans="1:26" x14ac:dyDescent="0.3">
      <c r="A49">
        <f>ReadingIndex!X23</f>
        <v>15.75</v>
      </c>
      <c r="B49">
        <f>ReadingIndex!Y23</f>
        <v>15.75</v>
      </c>
      <c r="C49" t="str">
        <f>ReadingIndex!B23</f>
        <v>Panning</v>
      </c>
      <c r="L49" t="s">
        <v>108</v>
      </c>
      <c r="Z49" t="s">
        <v>1507</v>
      </c>
    </row>
    <row r="50" spans="1:26" x14ac:dyDescent="0.3">
      <c r="A50">
        <f>ReadingIndex!X24</f>
        <v>47.5</v>
      </c>
      <c r="B50">
        <f>ReadingIndex!Y24</f>
        <v>47.5</v>
      </c>
      <c r="C50" t="str">
        <f>ReadingIndex!B24</f>
        <v>Hull23</v>
      </c>
      <c r="P50" t="s">
        <v>108</v>
      </c>
      <c r="Q50" t="s">
        <v>108</v>
      </c>
    </row>
    <row r="51" spans="1:26" x14ac:dyDescent="0.3">
      <c r="A51">
        <f>ReadingIndex!X25</f>
        <v>17</v>
      </c>
      <c r="B51">
        <f>ReadingIndex!Y25</f>
        <v>17</v>
      </c>
      <c r="C51" t="str">
        <f>ReadingIndex!B25</f>
        <v>Hull24</v>
      </c>
      <c r="P51" t="s">
        <v>108</v>
      </c>
      <c r="U51" t="s">
        <v>1507</v>
      </c>
    </row>
    <row r="52" spans="1:26" x14ac:dyDescent="0.3">
      <c r="A52">
        <f>ReadingIndex!X26</f>
        <v>0</v>
      </c>
      <c r="B52">
        <f>ReadingIndex!Y26</f>
        <v>0</v>
      </c>
      <c r="C52" t="str">
        <f>ReadingIndex!B26</f>
        <v>Coval, Jurek, and Stafford</v>
      </c>
      <c r="U52" t="s">
        <v>1507</v>
      </c>
    </row>
    <row r="53" spans="1:26" x14ac:dyDescent="0.3">
      <c r="A53">
        <f>ReadingIndex!X27</f>
        <v>0</v>
      </c>
      <c r="B53">
        <f>ReadingIndex!Y27</f>
        <v>0</v>
      </c>
      <c r="C53" t="str">
        <f>ReadingIndex!B27</f>
        <v>BKM1</v>
      </c>
    </row>
    <row r="54" spans="1:26" x14ac:dyDescent="0.3">
      <c r="A54">
        <f>ReadingIndex!X28</f>
        <v>18</v>
      </c>
      <c r="B54">
        <f>ReadingIndex!Y28</f>
        <v>18</v>
      </c>
      <c r="C54" t="str">
        <f>ReadingIndex!B28</f>
        <v>Cummins CAT Bond</v>
      </c>
      <c r="N54" t="s">
        <v>1386</v>
      </c>
      <c r="O54" t="s">
        <v>1386</v>
      </c>
      <c r="P54" t="s">
        <v>108</v>
      </c>
    </row>
    <row r="55" spans="1:26" x14ac:dyDescent="0.3">
      <c r="A55">
        <f>ReadingIndex!X29</f>
        <v>4.5</v>
      </c>
      <c r="B55">
        <f>ReadingIndex!Y29</f>
        <v>4.5</v>
      </c>
      <c r="C55" t="str">
        <f>ReadingIndex!B29</f>
        <v>Stultz</v>
      </c>
      <c r="N55" t="s">
        <v>1386</v>
      </c>
      <c r="P55" t="s">
        <v>108</v>
      </c>
      <c r="U55" t="s">
        <v>1507</v>
      </c>
    </row>
    <row r="56" spans="1:26" x14ac:dyDescent="0.3">
      <c r="A56">
        <f>ReadingIndex!X30</f>
        <v>31.5</v>
      </c>
      <c r="B56">
        <f>ReadingIndex!Y30</f>
        <v>31.5</v>
      </c>
      <c r="C56" t="str">
        <f>ReadingIndex!B30</f>
        <v>Butsic</v>
      </c>
      <c r="D56" t="s">
        <v>1386</v>
      </c>
      <c r="Q56" t="s">
        <v>108</v>
      </c>
    </row>
    <row r="57" spans="1:26" x14ac:dyDescent="0.3">
      <c r="A57">
        <f>ReadingIndex!X31</f>
        <v>7</v>
      </c>
      <c r="B57">
        <f>ReadingIndex!Y31</f>
        <v>7</v>
      </c>
      <c r="C57" t="str">
        <f>ReadingIndex!B31</f>
        <v>Culp, Miller, and Neves</v>
      </c>
      <c r="N57" t="s">
        <v>1386</v>
      </c>
      <c r="P57" t="s">
        <v>108</v>
      </c>
      <c r="U57" t="s">
        <v>1507</v>
      </c>
    </row>
    <row r="58" spans="1:26" x14ac:dyDescent="0.3">
      <c r="A58">
        <f>ReadingIndex!X32</f>
        <v>8.5</v>
      </c>
      <c r="B58">
        <f>ReadingIndex!Y32</f>
        <v>8.5</v>
      </c>
      <c r="C58" t="str">
        <f>ReadingIndex!B32</f>
        <v>Cummins Capital</v>
      </c>
      <c r="P58" t="s">
        <v>108</v>
      </c>
      <c r="Z58" t="s">
        <v>1507</v>
      </c>
    </row>
    <row r="59" spans="1:26" x14ac:dyDescent="0.3">
      <c r="A59">
        <f>ReadingIndex!X33</f>
        <v>44.25</v>
      </c>
      <c r="B59">
        <f>ReadingIndex!Y33</f>
        <v>44.25</v>
      </c>
      <c r="C59" t="str">
        <f>ReadingIndex!B33</f>
        <v>Goldfarb</v>
      </c>
      <c r="Q59" t="s">
        <v>108</v>
      </c>
      <c r="Z59" t="s">
        <v>1507</v>
      </c>
    </row>
    <row r="60" spans="1:26" x14ac:dyDescent="0.3">
      <c r="A60">
        <f>ReadingIndex!X34</f>
        <v>78.5</v>
      </c>
      <c r="B60">
        <f>ReadingIndex!Y34</f>
        <v>78.5</v>
      </c>
      <c r="C60" t="str">
        <f>ReadingIndex!B34</f>
        <v>Feldblum Financial</v>
      </c>
      <c r="R60" t="s">
        <v>108</v>
      </c>
      <c r="S60" t="s">
        <v>108</v>
      </c>
    </row>
    <row r="61" spans="1:26" x14ac:dyDescent="0.3">
      <c r="A61">
        <f>ReadingIndex!X35</f>
        <v>45.25</v>
      </c>
      <c r="B61">
        <f>ReadingIndex!Y35</f>
        <v>45.25</v>
      </c>
      <c r="C61" t="str">
        <f>ReadingIndex!B35</f>
        <v>Ferrari</v>
      </c>
      <c r="T61" t="s">
        <v>108</v>
      </c>
      <c r="X61" t="s">
        <v>1507</v>
      </c>
    </row>
    <row r="62" spans="1:26" x14ac:dyDescent="0.3">
      <c r="A62">
        <f>ReadingIndex!X36</f>
        <v>0</v>
      </c>
      <c r="B62">
        <f>ReadingIndex!Y36</f>
        <v>0</v>
      </c>
      <c r="C62" t="str">
        <f>ReadingIndex!B36</f>
        <v>Ferrari Discussion</v>
      </c>
      <c r="T62" t="s">
        <v>108</v>
      </c>
      <c r="X62" t="s">
        <v>1507</v>
      </c>
    </row>
    <row r="63" spans="1:26" x14ac:dyDescent="0.3">
      <c r="A63">
        <f>ReadingIndex!X37</f>
        <v>37.5</v>
      </c>
      <c r="B63">
        <f>ReadingIndex!Y37</f>
        <v>37.5</v>
      </c>
      <c r="C63" t="str">
        <f>ReadingIndex!B37</f>
        <v>McClenahan</v>
      </c>
      <c r="X63" t="s">
        <v>1507</v>
      </c>
    </row>
    <row r="64" spans="1:26" x14ac:dyDescent="0.3">
      <c r="A64">
        <f>ReadingIndex!X38</f>
        <v>104.25</v>
      </c>
      <c r="B64">
        <f>ReadingIndex!Y38</f>
        <v>104.25</v>
      </c>
      <c r="C64" t="str">
        <f>ReadingIndex!B38</f>
        <v>Robbin</v>
      </c>
    </row>
    <row r="65" spans="1:6" x14ac:dyDescent="0.3">
      <c r="A65">
        <f>ReadingIndex!X39</f>
        <v>39.5</v>
      </c>
      <c r="B65">
        <f>ReadingIndex!Y39</f>
        <v>39.5</v>
      </c>
      <c r="C65" t="str">
        <f>ReadingIndex!B39</f>
        <v>Roth</v>
      </c>
    </row>
    <row r="66" spans="1:6" x14ac:dyDescent="0.3">
      <c r="A66">
        <f>ReadingIndex!X40</f>
        <v>35</v>
      </c>
      <c r="B66">
        <f>ReadingIndex!Y40</f>
        <v>35</v>
      </c>
      <c r="C66" t="str">
        <f>ReadingIndex!B40</f>
        <v>Kreps</v>
      </c>
      <c r="F66" t="s">
        <v>1386</v>
      </c>
    </row>
    <row r="67" spans="1:6" x14ac:dyDescent="0.3">
      <c r="A67">
        <f>ReadingIndex!X41</f>
        <v>48</v>
      </c>
      <c r="B67">
        <f>ReadingIndex!Y41</f>
        <v>48</v>
      </c>
      <c r="C67" t="str">
        <f>ReadingIndex!B41</f>
        <v>Mango</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G135"/>
  <sheetViews>
    <sheetView tabSelected="1" topLeftCell="F1" workbookViewId="0">
      <pane ySplit="3" topLeftCell="A113" activePane="bottomLeft" state="frozen"/>
      <selection pane="bottomLeft" activeCell="T125" sqref="T124:T125"/>
    </sheetView>
  </sheetViews>
  <sheetFormatPr defaultRowHeight="14.4" x14ac:dyDescent="0.3"/>
  <cols>
    <col min="1" max="2" width="9.109375" customWidth="1"/>
    <col min="3" max="3" width="10" customWidth="1"/>
    <col min="4" max="4" width="10.6640625" bestFit="1" customWidth="1"/>
    <col min="5" max="5" width="9.5546875" customWidth="1"/>
    <col min="6" max="6" width="8" bestFit="1" customWidth="1"/>
    <col min="7" max="7" width="9.5546875" customWidth="1"/>
    <col min="8" max="8" width="9.44140625" bestFit="1" customWidth="1"/>
    <col min="9" max="9" width="11.6640625" bestFit="1" customWidth="1"/>
    <col min="10" max="10" width="5.44140625" customWidth="1"/>
    <col min="11" max="11" width="10.44140625" bestFit="1" customWidth="1"/>
    <col min="12" max="12" width="3.5546875" customWidth="1"/>
    <col min="13" max="13" width="10.44140625" customWidth="1"/>
    <col min="14" max="17" width="10.44140625" style="56" customWidth="1"/>
    <col min="18" max="19" width="10.44140625" style="20" customWidth="1"/>
    <col min="20" max="20" width="9.109375" style="17" customWidth="1"/>
    <col min="21" max="23" width="9.5546875" style="17" customWidth="1"/>
    <col min="24" max="24" width="5.33203125" style="17" customWidth="1"/>
    <col min="25" max="25" width="13.5546875" customWidth="1"/>
    <col min="27" max="28" width="13.88671875" bestFit="1" customWidth="1"/>
    <col min="30" max="30" width="18" bestFit="1" customWidth="1"/>
    <col min="31" max="31" width="14.44140625" bestFit="1" customWidth="1"/>
    <col min="32" max="33" width="4.44140625" bestFit="1" customWidth="1"/>
  </cols>
  <sheetData>
    <row r="1" spans="1:33" ht="18" customHeight="1" x14ac:dyDescent="0.3">
      <c r="Y1" t="s">
        <v>110</v>
      </c>
      <c r="Z1">
        <f ca="1">SUMPRODUCT(A:A,J:J)</f>
        <v>72</v>
      </c>
      <c r="AB1" t="s">
        <v>124</v>
      </c>
      <c r="AC1">
        <f>MAX(M5:M137)</f>
        <v>4</v>
      </c>
    </row>
    <row r="2" spans="1:33" ht="15" thickBot="1" x14ac:dyDescent="0.35">
      <c r="D2" s="20"/>
      <c r="E2" s="21"/>
      <c r="F2" s="22"/>
      <c r="G2" s="54"/>
      <c r="H2" s="21"/>
      <c r="I2" s="21" t="s">
        <v>49</v>
      </c>
      <c r="J2" s="21" t="s">
        <v>50</v>
      </c>
      <c r="M2" s="21" t="s">
        <v>80</v>
      </c>
      <c r="N2" s="62" t="s">
        <v>106</v>
      </c>
      <c r="O2" s="62" t="s">
        <v>106</v>
      </c>
      <c r="P2" s="62" t="s">
        <v>80</v>
      </c>
      <c r="Q2" s="62" t="s">
        <v>107</v>
      </c>
      <c r="R2" s="21" t="s">
        <v>107</v>
      </c>
      <c r="S2" s="21" t="s">
        <v>118</v>
      </c>
      <c r="T2" s="17" t="s">
        <v>115</v>
      </c>
      <c r="U2" s="17" t="s">
        <v>115</v>
      </c>
      <c r="V2" s="17" t="s">
        <v>119</v>
      </c>
      <c r="W2" s="17" t="s">
        <v>107</v>
      </c>
      <c r="Y2" t="s">
        <v>111</v>
      </c>
      <c r="Z2">
        <f ca="1">SUMPRODUCT(A:A,E:E)</f>
        <v>704.75</v>
      </c>
      <c r="AF2" s="77"/>
      <c r="AG2" s="77"/>
    </row>
    <row r="3" spans="1:33" ht="15" thickBot="1" x14ac:dyDescent="0.35">
      <c r="D3" s="20"/>
      <c r="E3" s="21" t="s">
        <v>5</v>
      </c>
      <c r="F3" s="21" t="s">
        <v>51</v>
      </c>
      <c r="G3" s="21" t="s">
        <v>52</v>
      </c>
      <c r="H3" s="21" t="s">
        <v>53</v>
      </c>
      <c r="I3" s="21" t="s">
        <v>54</v>
      </c>
      <c r="J3" s="21" t="s">
        <v>55</v>
      </c>
      <c r="K3" s="21" t="s">
        <v>56</v>
      </c>
      <c r="L3" s="21"/>
      <c r="M3" s="21" t="s">
        <v>106</v>
      </c>
      <c r="N3" s="62" t="s">
        <v>105</v>
      </c>
      <c r="O3" s="62" t="s">
        <v>114</v>
      </c>
      <c r="P3" s="62" t="s">
        <v>107</v>
      </c>
      <c r="Q3" s="62" t="s">
        <v>105</v>
      </c>
      <c r="R3" s="62" t="s">
        <v>114</v>
      </c>
      <c r="S3" s="62" t="s">
        <v>107</v>
      </c>
      <c r="T3" s="17" t="s">
        <v>107</v>
      </c>
      <c r="U3" s="17" t="s">
        <v>56</v>
      </c>
      <c r="V3" s="17" t="s">
        <v>120</v>
      </c>
      <c r="W3" s="17" t="s">
        <v>120</v>
      </c>
      <c r="Y3" s="1" t="s">
        <v>100</v>
      </c>
      <c r="Z3" s="68">
        <f ca="1">SUMPRODUCT(A:A,Q:Q)</f>
        <v>429</v>
      </c>
      <c r="AA3" s="15"/>
      <c r="AB3" s="81" t="s">
        <v>116</v>
      </c>
      <c r="AC3" s="68">
        <f ca="1">SUMPRODUCT(A:A,R:R)</f>
        <v>76</v>
      </c>
      <c r="AF3" s="77"/>
      <c r="AG3" s="77"/>
    </row>
    <row r="4" spans="1:33" ht="15" thickBot="1" x14ac:dyDescent="0.35">
      <c r="D4" s="38" t="s">
        <v>57</v>
      </c>
      <c r="E4" s="76">
        <f>SUM(E47:E118)</f>
        <v>694.75</v>
      </c>
      <c r="F4" s="96">
        <f>SUM(F47:F118)</f>
        <v>407.25</v>
      </c>
      <c r="G4" s="96">
        <f>SUM(G47:G118)</f>
        <v>5741.0333333250601</v>
      </c>
      <c r="H4" s="24">
        <f>IF(OR(E4="",E4=0),"",F4/E4)</f>
        <v>0.58618207988485072</v>
      </c>
      <c r="I4" s="46">
        <f>IF(OR(E4="",E4=0),"",G4/E4)</f>
        <v>8.2634520810724155</v>
      </c>
      <c r="J4" s="23"/>
      <c r="K4" s="25"/>
      <c r="L4" s="2"/>
      <c r="M4" s="97">
        <f>SUM(Timecard.Total)/60</f>
        <v>1026807.1844444445</v>
      </c>
      <c r="N4" s="98">
        <f>SUM(Timecard.Total)/60-O4</f>
        <v>1026766.1844444445</v>
      </c>
      <c r="O4" s="99">
        <f>SUM(O29:O94)</f>
        <v>41</v>
      </c>
      <c r="P4" s="97">
        <f ca="1">Q4+R4</f>
        <v>66.75</v>
      </c>
      <c r="Q4" s="98">
        <f ca="1">SUM(Q5:Q130)-SUMPRODUCT(Q5:Q130,A5:A130)+SUMPRODUCT(N5:N130,A5:A130)+SUMPRODUCT(B5:B130,P5:P130)-SUMPRODUCT(B5:B130,N5:N130)</f>
        <v>-37.25</v>
      </c>
      <c r="R4" s="100">
        <f ca="1">(SUM(R5:R130)-SUMPRODUCT(R5:R130,A5:A130)+SUMPRODUCT(O5:O130,A5:A130))-(SUM(R5:R130)-SUMPRODUCT(R5:R130,A5:A130)+SUMPRODUCT(O5:O130,A5:A130))+SUM(R5:R130)</f>
        <v>104</v>
      </c>
      <c r="S4" s="84"/>
      <c r="Y4" s="7" t="s">
        <v>101</v>
      </c>
      <c r="Z4" s="69">
        <f ca="1">SUMPRODUCT(A:A,N:N)</f>
        <v>-82.25</v>
      </c>
      <c r="AB4" s="82" t="s">
        <v>117</v>
      </c>
      <c r="AC4" s="83">
        <f ca="1">SUMPRODUCT(A:A,O:O)</f>
        <v>86.25</v>
      </c>
      <c r="AF4" s="77"/>
      <c r="AG4" s="77"/>
    </row>
    <row r="5" spans="1:33" hidden="1" x14ac:dyDescent="0.3">
      <c r="A5">
        <f ca="1">IF(D5&lt;=NOW(),1,0)</f>
        <v>1</v>
      </c>
      <c r="B5">
        <f t="shared" ref="B5:B68" ca="1" si="0">IF(D5=DATE(YEAR(NOW()),MONTH(NOW()),DAY(NOW())),1,0)</f>
        <v>0</v>
      </c>
      <c r="C5" t="str">
        <f>"Week "&amp;RIGHT(C11,LEN(C11)-5)+1</f>
        <v>Week 20</v>
      </c>
      <c r="D5" s="26">
        <v>42352</v>
      </c>
      <c r="E5" s="40" t="str">
        <f>IF(SUMIF(RDB.Day,D5,RDB.Points)=0,"",SUMIF(RDB.Day,D5,RDB.Points))</f>
        <v/>
      </c>
      <c r="F5" s="5" t="str">
        <f>IF(SUMIF(RDB.Day,D5,RDB.Correct)=0,"",SUMIF(RDB.Day,D5,RDB.Correct))</f>
        <v/>
      </c>
      <c r="G5" s="30" t="str">
        <f>IF(SUMIF(RDB.Day,D5,RDB.ElapsedTime)=0,"",SUMIF(RDB.Day,D5,RDB.ElapsedTime))</f>
        <v/>
      </c>
      <c r="H5" s="31" t="str">
        <f>IF(OR(E5="",E5=0),"",F5/E5)</f>
        <v/>
      </c>
      <c r="I5" s="30" t="str">
        <f>IF(OR(E5="",E5=0),"",G5/E5)</f>
        <v/>
      </c>
      <c r="J5" s="1">
        <v>3</v>
      </c>
      <c r="K5" s="3"/>
      <c r="L5" s="2"/>
      <c r="M5" s="63">
        <f t="shared" ref="M5:M36" si="1">SUMIFS(Timecard.Total,Timecard.Day,D5)/60</f>
        <v>0</v>
      </c>
      <c r="N5" s="74">
        <f>M5-O5</f>
        <v>0</v>
      </c>
      <c r="O5" s="68">
        <v>0</v>
      </c>
      <c r="P5" s="63">
        <f t="shared" ref="P5:P68" si="2">IF(Q5&lt;&gt;"",Q5+R5,"")</f>
        <v>0</v>
      </c>
      <c r="Q5" s="95">
        <v>0</v>
      </c>
      <c r="R5" s="86"/>
      <c r="S5" s="71"/>
      <c r="T5" s="17">
        <f>SUM(Q5:R10)</f>
        <v>0</v>
      </c>
      <c r="U5" s="17">
        <f>SUM(M5:M10)-SUM(P5:P10)</f>
        <v>0</v>
      </c>
      <c r="V5" s="17">
        <f>SUM($M4:M$5)-SUM($S4:S$5)</f>
        <v>1026807.1844444445</v>
      </c>
    </row>
    <row r="6" spans="1:33" hidden="1" x14ac:dyDescent="0.3">
      <c r="A6">
        <f t="shared" ref="A6:A69" ca="1" si="3">IF(D6&lt;=NOW(),1,0)</f>
        <v>1</v>
      </c>
      <c r="B6">
        <f t="shared" ca="1" si="0"/>
        <v>0</v>
      </c>
      <c r="C6">
        <f>SUM(E5:E10)</f>
        <v>0</v>
      </c>
      <c r="D6" s="29">
        <f>D5+1</f>
        <v>42353</v>
      </c>
      <c r="E6" s="4" t="str">
        <f t="shared" ref="E6:E13" si="4">IF(SUMIF(RDB.Day,D6,RDB.Points)=0,"")</f>
        <v/>
      </c>
      <c r="F6" s="5" t="str">
        <f t="shared" ref="F6:F14" si="5">IF(SUMIF(RDB.Day,D6,RDB.Correct)=0,"")</f>
        <v/>
      </c>
      <c r="G6" s="30" t="str">
        <f t="shared" ref="G6:G13" si="6">IF(SUMIF(RDB.Day,D6,RDB.ElapsedTime)=0,"")</f>
        <v/>
      </c>
      <c r="H6" s="31" t="str">
        <f t="shared" ref="H6:H14" si="7">IF(OR(E6="",E6=0),"",F6/E6)</f>
        <v/>
      </c>
      <c r="I6" s="47" t="str">
        <f t="shared" ref="I6:I14" si="8">IF(OR(E6="",E6=0),"",G6/E6)</f>
        <v/>
      </c>
      <c r="J6" s="4">
        <v>3</v>
      </c>
      <c r="K6" s="6"/>
      <c r="L6" s="5"/>
      <c r="M6" s="64">
        <f t="shared" si="1"/>
        <v>0</v>
      </c>
      <c r="N6" s="75">
        <f t="shared" ref="N6:N69" si="9">M6-O6</f>
        <v>0</v>
      </c>
      <c r="O6" s="80"/>
      <c r="P6" s="64">
        <f t="shared" si="2"/>
        <v>0</v>
      </c>
      <c r="Q6" s="103">
        <v>0</v>
      </c>
      <c r="R6" s="78"/>
      <c r="S6" s="71"/>
    </row>
    <row r="7" spans="1:33" hidden="1" x14ac:dyDescent="0.3">
      <c r="A7">
        <f t="shared" ca="1" si="3"/>
        <v>1</v>
      </c>
      <c r="B7">
        <f t="shared" ca="1" si="0"/>
        <v>0</v>
      </c>
      <c r="D7" s="29">
        <f t="shared" ref="D7:D10" si="10">D6+1</f>
        <v>42354</v>
      </c>
      <c r="E7" s="4" t="str">
        <f t="shared" si="4"/>
        <v/>
      </c>
      <c r="F7" s="5" t="str">
        <f t="shared" si="5"/>
        <v/>
      </c>
      <c r="G7" s="30" t="str">
        <f t="shared" si="6"/>
        <v/>
      </c>
      <c r="H7" s="31" t="str">
        <f t="shared" si="7"/>
        <v/>
      </c>
      <c r="I7" s="47" t="str">
        <f t="shared" si="8"/>
        <v/>
      </c>
      <c r="J7" s="4">
        <v>3</v>
      </c>
      <c r="K7" s="6"/>
      <c r="L7" s="5"/>
      <c r="M7" s="64">
        <f t="shared" si="1"/>
        <v>0</v>
      </c>
      <c r="N7" s="75">
        <f t="shared" si="9"/>
        <v>0</v>
      </c>
      <c r="O7" s="80"/>
      <c r="P7" s="64">
        <f t="shared" si="2"/>
        <v>0</v>
      </c>
      <c r="Q7" s="103">
        <v>0</v>
      </c>
      <c r="R7" s="78"/>
      <c r="S7" s="71"/>
    </row>
    <row r="8" spans="1:33" hidden="1" x14ac:dyDescent="0.3">
      <c r="A8">
        <f t="shared" ca="1" si="3"/>
        <v>1</v>
      </c>
      <c r="B8">
        <f t="shared" ca="1" si="0"/>
        <v>0</v>
      </c>
      <c r="D8" s="29">
        <f t="shared" si="10"/>
        <v>42355</v>
      </c>
      <c r="E8" s="4" t="str">
        <f t="shared" si="4"/>
        <v/>
      </c>
      <c r="F8" s="5" t="str">
        <f t="shared" si="5"/>
        <v/>
      </c>
      <c r="G8" s="30" t="str">
        <f t="shared" si="6"/>
        <v/>
      </c>
      <c r="H8" s="31" t="str">
        <f t="shared" si="7"/>
        <v/>
      </c>
      <c r="I8" s="47" t="str">
        <f t="shared" si="8"/>
        <v/>
      </c>
      <c r="J8" s="4">
        <v>3</v>
      </c>
      <c r="K8" s="6"/>
      <c r="L8" s="5"/>
      <c r="M8" s="64">
        <f t="shared" si="1"/>
        <v>0</v>
      </c>
      <c r="N8" s="75">
        <f t="shared" si="9"/>
        <v>0</v>
      </c>
      <c r="O8" s="80"/>
      <c r="P8" s="64">
        <f t="shared" si="2"/>
        <v>0</v>
      </c>
      <c r="Q8" s="103">
        <v>0</v>
      </c>
      <c r="R8" s="78"/>
      <c r="S8" s="71"/>
    </row>
    <row r="9" spans="1:33" hidden="1" x14ac:dyDescent="0.3">
      <c r="A9">
        <f t="shared" ca="1" si="3"/>
        <v>1</v>
      </c>
      <c r="B9">
        <f t="shared" ca="1" si="0"/>
        <v>0</v>
      </c>
      <c r="D9" s="29">
        <f t="shared" si="10"/>
        <v>42356</v>
      </c>
      <c r="E9" s="4" t="str">
        <f t="shared" si="4"/>
        <v/>
      </c>
      <c r="F9" s="5" t="str">
        <f t="shared" si="5"/>
        <v/>
      </c>
      <c r="G9" s="30" t="str">
        <f t="shared" si="6"/>
        <v/>
      </c>
      <c r="H9" s="31" t="str">
        <f t="shared" si="7"/>
        <v/>
      </c>
      <c r="I9" s="47" t="str">
        <f t="shared" si="8"/>
        <v/>
      </c>
      <c r="J9" s="4">
        <v>3</v>
      </c>
      <c r="K9" s="6"/>
      <c r="L9" s="5"/>
      <c r="M9" s="64">
        <f t="shared" si="1"/>
        <v>0</v>
      </c>
      <c r="N9" s="75">
        <f t="shared" si="9"/>
        <v>0</v>
      </c>
      <c r="O9" s="80"/>
      <c r="P9" s="64">
        <f t="shared" si="2"/>
        <v>0</v>
      </c>
      <c r="Q9" s="103">
        <v>0</v>
      </c>
      <c r="R9" s="78"/>
      <c r="S9" s="71"/>
    </row>
    <row r="10" spans="1:33" ht="15" hidden="1" thickBot="1" x14ac:dyDescent="0.35">
      <c r="A10">
        <f t="shared" ca="1" si="3"/>
        <v>1</v>
      </c>
      <c r="B10">
        <f t="shared" ca="1" si="0"/>
        <v>0</v>
      </c>
      <c r="D10" s="32">
        <f t="shared" si="10"/>
        <v>42357</v>
      </c>
      <c r="E10" s="7" t="str">
        <f t="shared" si="4"/>
        <v/>
      </c>
      <c r="F10" s="8" t="str">
        <f t="shared" si="5"/>
        <v/>
      </c>
      <c r="G10" s="33" t="str">
        <f t="shared" si="6"/>
        <v/>
      </c>
      <c r="H10" s="34" t="str">
        <f t="shared" si="7"/>
        <v/>
      </c>
      <c r="I10" s="48" t="str">
        <f t="shared" si="8"/>
        <v/>
      </c>
      <c r="J10" s="7">
        <v>3</v>
      </c>
      <c r="K10" s="9"/>
      <c r="L10" s="8"/>
      <c r="M10" s="64">
        <f t="shared" si="1"/>
        <v>0</v>
      </c>
      <c r="N10" s="75">
        <f t="shared" si="9"/>
        <v>0</v>
      </c>
      <c r="O10" s="80"/>
      <c r="P10" s="64">
        <f t="shared" si="2"/>
        <v>0</v>
      </c>
      <c r="Q10" s="103">
        <v>0</v>
      </c>
      <c r="R10" s="78"/>
      <c r="S10" s="71"/>
    </row>
    <row r="11" spans="1:33" hidden="1" x14ac:dyDescent="0.3">
      <c r="A11">
        <f t="shared" ca="1" si="3"/>
        <v>1</v>
      </c>
      <c r="B11">
        <f t="shared" ca="1" si="0"/>
        <v>0</v>
      </c>
      <c r="C11" t="str">
        <f>"Week "&amp;RIGHT(C17,LEN(C17)-5)+1</f>
        <v>Week 19</v>
      </c>
      <c r="D11" s="29">
        <f>D10+2</f>
        <v>42359</v>
      </c>
      <c r="E11" s="4" t="str">
        <f t="shared" si="4"/>
        <v/>
      </c>
      <c r="F11" s="5" t="str">
        <f t="shared" si="5"/>
        <v/>
      </c>
      <c r="G11" s="30" t="str">
        <f t="shared" si="6"/>
        <v/>
      </c>
      <c r="H11" s="31" t="str">
        <f t="shared" si="7"/>
        <v/>
      </c>
      <c r="I11" s="47" t="str">
        <f t="shared" si="8"/>
        <v/>
      </c>
      <c r="J11" s="1">
        <v>3</v>
      </c>
      <c r="K11" s="6"/>
      <c r="L11" s="5"/>
      <c r="M11" s="63">
        <f t="shared" si="1"/>
        <v>0</v>
      </c>
      <c r="N11" s="74">
        <f t="shared" si="9"/>
        <v>0</v>
      </c>
      <c r="O11" s="68"/>
      <c r="P11" s="63">
        <f t="shared" si="2"/>
        <v>0</v>
      </c>
      <c r="Q11" s="95">
        <v>0</v>
      </c>
      <c r="R11" s="86"/>
      <c r="S11" s="71"/>
      <c r="T11" s="17">
        <f>SUM(Q11:R16)</f>
        <v>0</v>
      </c>
      <c r="U11" s="17">
        <f>SUM(M11:M16)-SUM(P11:P16)</f>
        <v>0</v>
      </c>
      <c r="V11" s="17">
        <f>SUM($M$5:M10)-SUM($S$5:S10)</f>
        <v>0</v>
      </c>
    </row>
    <row r="12" spans="1:33" hidden="1" x14ac:dyDescent="0.3">
      <c r="A12">
        <f t="shared" ca="1" si="3"/>
        <v>1</v>
      </c>
      <c r="B12">
        <f t="shared" ca="1" si="0"/>
        <v>0</v>
      </c>
      <c r="C12">
        <f>SUM(E11:E16)</f>
        <v>0</v>
      </c>
      <c r="D12" s="29">
        <f>D11+1</f>
        <v>42360</v>
      </c>
      <c r="E12" s="4" t="str">
        <f t="shared" si="4"/>
        <v/>
      </c>
      <c r="F12" s="5" t="str">
        <f t="shared" si="5"/>
        <v/>
      </c>
      <c r="G12" s="30" t="str">
        <f t="shared" si="6"/>
        <v/>
      </c>
      <c r="H12" s="31" t="str">
        <f t="shared" si="7"/>
        <v/>
      </c>
      <c r="I12" s="47" t="str">
        <f t="shared" si="8"/>
        <v/>
      </c>
      <c r="J12" s="4">
        <v>3</v>
      </c>
      <c r="K12" s="6"/>
      <c r="L12" s="5"/>
      <c r="M12" s="64">
        <f t="shared" si="1"/>
        <v>0</v>
      </c>
      <c r="N12" s="75">
        <f t="shared" si="9"/>
        <v>0</v>
      </c>
      <c r="O12" s="80"/>
      <c r="P12" s="64">
        <f t="shared" si="2"/>
        <v>0</v>
      </c>
      <c r="Q12" s="103">
        <v>0</v>
      </c>
      <c r="R12" s="78"/>
      <c r="S12" s="71"/>
    </row>
    <row r="13" spans="1:33" hidden="1" x14ac:dyDescent="0.3">
      <c r="A13">
        <f t="shared" ca="1" si="3"/>
        <v>1</v>
      </c>
      <c r="B13">
        <f t="shared" ca="1" si="0"/>
        <v>0</v>
      </c>
      <c r="D13" s="29">
        <f t="shared" ref="D13:D16" si="11">D12+1</f>
        <v>42361</v>
      </c>
      <c r="E13" s="4" t="str">
        <f t="shared" si="4"/>
        <v/>
      </c>
      <c r="F13" s="5" t="str">
        <f t="shared" si="5"/>
        <v/>
      </c>
      <c r="G13" s="30" t="str">
        <f t="shared" si="6"/>
        <v/>
      </c>
      <c r="H13" s="31" t="str">
        <f t="shared" si="7"/>
        <v/>
      </c>
      <c r="I13" s="47" t="str">
        <f t="shared" si="8"/>
        <v/>
      </c>
      <c r="J13" s="4">
        <v>3</v>
      </c>
      <c r="K13" s="6"/>
      <c r="L13" s="5"/>
      <c r="M13" s="64">
        <f t="shared" si="1"/>
        <v>0</v>
      </c>
      <c r="N13" s="75">
        <f t="shared" si="9"/>
        <v>0</v>
      </c>
      <c r="O13" s="80"/>
      <c r="P13" s="64">
        <f t="shared" si="2"/>
        <v>0</v>
      </c>
      <c r="Q13" s="103">
        <v>0</v>
      </c>
      <c r="R13" s="78"/>
      <c r="S13" s="71"/>
    </row>
    <row r="14" spans="1:33" hidden="1" x14ac:dyDescent="0.3">
      <c r="A14">
        <f t="shared" ca="1" si="3"/>
        <v>1</v>
      </c>
      <c r="B14">
        <f t="shared" ca="1" si="0"/>
        <v>0</v>
      </c>
      <c r="D14" s="29">
        <f t="shared" si="11"/>
        <v>42362</v>
      </c>
      <c r="E14" s="4" t="str">
        <f t="shared" ref="E14:E39" si="12">IF(SUMIF(RDB.Day,D14,RDB.Points)=0,"",SUMIF(RDB.Day,D14,RDB.Points))</f>
        <v/>
      </c>
      <c r="F14" s="5" t="str">
        <f t="shared" si="5"/>
        <v/>
      </c>
      <c r="G14" s="30" t="str">
        <f t="shared" ref="G14:G39" si="13">IF(SUMIF(RDB.Day,D14,RDB.ElapsedTime)=0,"",SUMIF(RDB.Day,D14,RDB.ElapsedTime))</f>
        <v/>
      </c>
      <c r="H14" s="31" t="str">
        <f t="shared" si="7"/>
        <v/>
      </c>
      <c r="I14" s="47" t="str">
        <f t="shared" si="8"/>
        <v/>
      </c>
      <c r="J14" s="4">
        <v>3</v>
      </c>
      <c r="K14" s="6"/>
      <c r="L14" s="5"/>
      <c r="M14" s="64">
        <f t="shared" si="1"/>
        <v>0</v>
      </c>
      <c r="N14" s="75">
        <f t="shared" si="9"/>
        <v>0</v>
      </c>
      <c r="O14" s="80"/>
      <c r="P14" s="64">
        <f t="shared" si="2"/>
        <v>0</v>
      </c>
      <c r="Q14" s="103">
        <v>0</v>
      </c>
      <c r="R14" s="78"/>
      <c r="S14" s="71"/>
    </row>
    <row r="15" spans="1:33" hidden="1" x14ac:dyDescent="0.3">
      <c r="A15">
        <f t="shared" ca="1" si="3"/>
        <v>1</v>
      </c>
      <c r="B15">
        <f t="shared" ca="1" si="0"/>
        <v>0</v>
      </c>
      <c r="D15" s="29">
        <f t="shared" si="11"/>
        <v>42363</v>
      </c>
      <c r="E15" s="4" t="str">
        <f t="shared" si="12"/>
        <v/>
      </c>
      <c r="F15" s="5" t="str">
        <f t="shared" ref="F15:F39" si="14">IF(SUMIF(RDB.Day,D15,RDB.Correct)=0,"",SUMIF(RDB.Day,D15,RDB.Correct))</f>
        <v/>
      </c>
      <c r="G15" s="30" t="str">
        <f t="shared" si="13"/>
        <v/>
      </c>
      <c r="H15" s="31" t="str">
        <f t="shared" ref="H15:H39" si="15">IF(OR(E15="",E15=0),"",F15/E15)</f>
        <v/>
      </c>
      <c r="I15" s="47" t="str">
        <f t="shared" ref="I15:I39" si="16">IF(OR(E15="",E15=0),"",G15/E15)</f>
        <v/>
      </c>
      <c r="J15" s="4">
        <v>3</v>
      </c>
      <c r="K15" s="6"/>
      <c r="L15" s="5"/>
      <c r="M15" s="64">
        <f t="shared" si="1"/>
        <v>0</v>
      </c>
      <c r="N15" s="75">
        <f t="shared" si="9"/>
        <v>0</v>
      </c>
      <c r="O15" s="80"/>
      <c r="P15" s="64">
        <f t="shared" si="2"/>
        <v>0</v>
      </c>
      <c r="Q15" s="103">
        <v>0</v>
      </c>
      <c r="R15" s="78"/>
      <c r="S15" s="71"/>
    </row>
    <row r="16" spans="1:33" ht="15" hidden="1" thickBot="1" x14ac:dyDescent="0.35">
      <c r="A16">
        <f t="shared" ca="1" si="3"/>
        <v>1</v>
      </c>
      <c r="B16">
        <f t="shared" ca="1" si="0"/>
        <v>0</v>
      </c>
      <c r="D16" s="29">
        <f t="shared" si="11"/>
        <v>42364</v>
      </c>
      <c r="E16" s="7" t="str">
        <f t="shared" si="12"/>
        <v/>
      </c>
      <c r="F16" s="8" t="str">
        <f t="shared" si="14"/>
        <v/>
      </c>
      <c r="G16" s="33" t="str">
        <f t="shared" si="13"/>
        <v/>
      </c>
      <c r="H16" s="34" t="str">
        <f t="shared" si="15"/>
        <v/>
      </c>
      <c r="I16" s="48" t="str">
        <f t="shared" si="16"/>
        <v/>
      </c>
      <c r="J16" s="7">
        <v>3</v>
      </c>
      <c r="K16" s="9"/>
      <c r="L16" s="5"/>
      <c r="M16" s="64">
        <f t="shared" si="1"/>
        <v>0</v>
      </c>
      <c r="N16" s="75">
        <f t="shared" si="9"/>
        <v>0</v>
      </c>
      <c r="O16" s="80"/>
      <c r="P16" s="64">
        <f t="shared" si="2"/>
        <v>0</v>
      </c>
      <c r="Q16" s="103">
        <v>0</v>
      </c>
      <c r="R16" s="78"/>
      <c r="S16" s="71"/>
    </row>
    <row r="17" spans="1:22" hidden="1" x14ac:dyDescent="0.3">
      <c r="A17">
        <f t="shared" ca="1" si="3"/>
        <v>1</v>
      </c>
      <c r="B17">
        <f t="shared" ca="1" si="0"/>
        <v>0</v>
      </c>
      <c r="C17" t="str">
        <f>"Week "&amp;RIGHT(C23,LEN(C23)-5)+1</f>
        <v>Week 18</v>
      </c>
      <c r="D17" s="26">
        <f>D16+2</f>
        <v>42366</v>
      </c>
      <c r="E17" s="2" t="str">
        <f t="shared" si="12"/>
        <v/>
      </c>
      <c r="F17" s="2" t="str">
        <f t="shared" si="14"/>
        <v/>
      </c>
      <c r="G17" s="27" t="str">
        <f t="shared" si="13"/>
        <v/>
      </c>
      <c r="H17" s="28" t="str">
        <f t="shared" si="15"/>
        <v/>
      </c>
      <c r="I17" s="49" t="str">
        <f t="shared" si="16"/>
        <v/>
      </c>
      <c r="J17" s="1">
        <v>3</v>
      </c>
      <c r="K17" s="3"/>
      <c r="L17" s="2"/>
      <c r="M17" s="63">
        <f t="shared" si="1"/>
        <v>0</v>
      </c>
      <c r="N17" s="74">
        <f t="shared" si="9"/>
        <v>0</v>
      </c>
      <c r="O17" s="68"/>
      <c r="P17" s="63">
        <v>0</v>
      </c>
      <c r="Q17" s="95">
        <v>0</v>
      </c>
      <c r="R17" s="86"/>
      <c r="S17" s="71"/>
      <c r="T17" s="17">
        <f>SUM(Q17:R22)</f>
        <v>0</v>
      </c>
      <c r="U17" s="17">
        <f>SUM(M17:M22)-SUM(P17:P22)</f>
        <v>0</v>
      </c>
      <c r="V17" s="17">
        <f>SUM($M$5:M16)-SUM($S$5:S16)</f>
        <v>0</v>
      </c>
    </row>
    <row r="18" spans="1:22" hidden="1" x14ac:dyDescent="0.3">
      <c r="A18">
        <f t="shared" ca="1" si="3"/>
        <v>1</v>
      </c>
      <c r="B18">
        <f t="shared" ca="1" si="0"/>
        <v>0</v>
      </c>
      <c r="C18">
        <f>SUM(E17:E22)</f>
        <v>0</v>
      </c>
      <c r="D18" s="29">
        <f>D17+1</f>
        <v>42367</v>
      </c>
      <c r="E18" s="5" t="str">
        <f t="shared" si="12"/>
        <v/>
      </c>
      <c r="F18" s="5" t="str">
        <f t="shared" si="14"/>
        <v/>
      </c>
      <c r="G18" s="30" t="str">
        <f t="shared" si="13"/>
        <v/>
      </c>
      <c r="H18" s="31" t="str">
        <f t="shared" si="15"/>
        <v/>
      </c>
      <c r="I18" s="47" t="str">
        <f t="shared" si="16"/>
        <v/>
      </c>
      <c r="J18" s="4">
        <v>3</v>
      </c>
      <c r="K18" s="6"/>
      <c r="L18" s="5"/>
      <c r="M18" s="64">
        <f t="shared" si="1"/>
        <v>0</v>
      </c>
      <c r="N18" s="75">
        <f t="shared" si="9"/>
        <v>0</v>
      </c>
      <c r="O18" s="80"/>
      <c r="P18" s="64">
        <v>0</v>
      </c>
      <c r="Q18" s="103">
        <v>0</v>
      </c>
      <c r="R18" s="78"/>
      <c r="S18" s="71"/>
    </row>
    <row r="19" spans="1:22" hidden="1" x14ac:dyDescent="0.3">
      <c r="A19">
        <f t="shared" ca="1" si="3"/>
        <v>1</v>
      </c>
      <c r="B19">
        <f t="shared" ca="1" si="0"/>
        <v>0</v>
      </c>
      <c r="D19" s="29">
        <f t="shared" ref="D19:D22" si="17">D18+1</f>
        <v>42368</v>
      </c>
      <c r="E19" s="5" t="str">
        <f t="shared" si="12"/>
        <v/>
      </c>
      <c r="F19" s="5" t="str">
        <f t="shared" si="14"/>
        <v/>
      </c>
      <c r="G19" s="30" t="str">
        <f t="shared" si="13"/>
        <v/>
      </c>
      <c r="H19" s="31" t="str">
        <f t="shared" si="15"/>
        <v/>
      </c>
      <c r="I19" s="47" t="str">
        <f t="shared" si="16"/>
        <v/>
      </c>
      <c r="J19" s="4">
        <v>3</v>
      </c>
      <c r="K19" s="6"/>
      <c r="L19" s="5"/>
      <c r="M19" s="64">
        <f t="shared" si="1"/>
        <v>0</v>
      </c>
      <c r="N19" s="75">
        <f t="shared" si="9"/>
        <v>0</v>
      </c>
      <c r="O19" s="80"/>
      <c r="P19" s="64">
        <v>0</v>
      </c>
      <c r="Q19" s="103">
        <v>0</v>
      </c>
      <c r="R19" s="78"/>
      <c r="S19" s="71"/>
    </row>
    <row r="20" spans="1:22" hidden="1" x14ac:dyDescent="0.3">
      <c r="A20">
        <f t="shared" ca="1" si="3"/>
        <v>1</v>
      </c>
      <c r="B20">
        <f t="shared" ca="1" si="0"/>
        <v>0</v>
      </c>
      <c r="D20" s="29">
        <f t="shared" si="17"/>
        <v>42369</v>
      </c>
      <c r="E20" s="5" t="str">
        <f t="shared" si="12"/>
        <v/>
      </c>
      <c r="F20" s="5" t="str">
        <f t="shared" si="14"/>
        <v/>
      </c>
      <c r="G20" s="30" t="str">
        <f t="shared" si="13"/>
        <v/>
      </c>
      <c r="H20" s="31" t="str">
        <f t="shared" si="15"/>
        <v/>
      </c>
      <c r="I20" s="47" t="str">
        <f t="shared" si="16"/>
        <v/>
      </c>
      <c r="J20" s="4">
        <v>3</v>
      </c>
      <c r="K20" s="6"/>
      <c r="L20" s="5"/>
      <c r="M20" s="64">
        <f t="shared" si="1"/>
        <v>0</v>
      </c>
      <c r="N20" s="75">
        <f t="shared" si="9"/>
        <v>0</v>
      </c>
      <c r="O20" s="80"/>
      <c r="P20" s="64">
        <v>0</v>
      </c>
      <c r="Q20" s="103">
        <v>0</v>
      </c>
      <c r="R20" s="79"/>
      <c r="S20" s="53"/>
    </row>
    <row r="21" spans="1:22" hidden="1" x14ac:dyDescent="0.3">
      <c r="A21">
        <f t="shared" ca="1" si="3"/>
        <v>1</v>
      </c>
      <c r="B21">
        <f t="shared" ca="1" si="0"/>
        <v>0</v>
      </c>
      <c r="D21" s="29">
        <f t="shared" si="17"/>
        <v>42370</v>
      </c>
      <c r="E21" s="5" t="str">
        <f t="shared" si="12"/>
        <v/>
      </c>
      <c r="F21" s="5" t="str">
        <f t="shared" si="14"/>
        <v/>
      </c>
      <c r="G21" s="30" t="str">
        <f t="shared" si="13"/>
        <v/>
      </c>
      <c r="H21" s="31" t="str">
        <f t="shared" si="15"/>
        <v/>
      </c>
      <c r="I21" s="47" t="str">
        <f t="shared" si="16"/>
        <v/>
      </c>
      <c r="J21" s="4">
        <v>3</v>
      </c>
      <c r="K21" s="6"/>
      <c r="L21" s="5"/>
      <c r="M21" s="64">
        <f t="shared" si="1"/>
        <v>0</v>
      </c>
      <c r="N21" s="75">
        <f t="shared" si="9"/>
        <v>0</v>
      </c>
      <c r="O21" s="80"/>
      <c r="P21" s="64">
        <v>0</v>
      </c>
      <c r="Q21" s="103">
        <v>0</v>
      </c>
      <c r="R21" s="79"/>
      <c r="S21" s="53"/>
    </row>
    <row r="22" spans="1:22" ht="15" hidden="1" thickBot="1" x14ac:dyDescent="0.35">
      <c r="A22">
        <f t="shared" ca="1" si="3"/>
        <v>1</v>
      </c>
      <c r="B22">
        <f t="shared" ca="1" si="0"/>
        <v>0</v>
      </c>
      <c r="D22" s="29">
        <f t="shared" si="17"/>
        <v>42371</v>
      </c>
      <c r="E22" s="8" t="str">
        <f t="shared" si="12"/>
        <v/>
      </c>
      <c r="F22" s="8" t="str">
        <f t="shared" si="14"/>
        <v/>
      </c>
      <c r="G22" s="33" t="str">
        <f t="shared" si="13"/>
        <v/>
      </c>
      <c r="H22" s="34" t="str">
        <f t="shared" si="15"/>
        <v/>
      </c>
      <c r="I22" s="48" t="str">
        <f t="shared" si="16"/>
        <v/>
      </c>
      <c r="J22" s="7">
        <v>3</v>
      </c>
      <c r="K22" s="9"/>
      <c r="L22" s="8"/>
      <c r="M22" s="64">
        <f t="shared" si="1"/>
        <v>0</v>
      </c>
      <c r="N22" s="75">
        <f t="shared" si="9"/>
        <v>0</v>
      </c>
      <c r="O22" s="80"/>
      <c r="P22" s="64">
        <v>0</v>
      </c>
      <c r="Q22" s="103">
        <v>0</v>
      </c>
      <c r="R22" s="79"/>
      <c r="S22" s="53"/>
    </row>
    <row r="23" spans="1:22" hidden="1" x14ac:dyDescent="0.3">
      <c r="A23">
        <f t="shared" ca="1" si="3"/>
        <v>1</v>
      </c>
      <c r="B23">
        <f t="shared" ca="1" si="0"/>
        <v>0</v>
      </c>
      <c r="C23" t="str">
        <f>"Week "&amp;RIGHT(C29,LEN(C29)-5)+1</f>
        <v>Week 17</v>
      </c>
      <c r="D23" s="26">
        <f>D22+2</f>
        <v>42373</v>
      </c>
      <c r="E23" s="1" t="str">
        <f t="shared" si="12"/>
        <v/>
      </c>
      <c r="F23" s="2" t="str">
        <f t="shared" si="14"/>
        <v/>
      </c>
      <c r="G23" s="27" t="str">
        <f t="shared" si="13"/>
        <v/>
      </c>
      <c r="H23" s="28" t="str">
        <f t="shared" si="15"/>
        <v/>
      </c>
      <c r="I23" s="49" t="str">
        <f t="shared" si="16"/>
        <v/>
      </c>
      <c r="J23" s="1">
        <v>3</v>
      </c>
      <c r="K23" s="3"/>
      <c r="L23" s="5"/>
      <c r="M23" s="63">
        <f t="shared" si="1"/>
        <v>0</v>
      </c>
      <c r="N23" s="74">
        <f t="shared" si="9"/>
        <v>0</v>
      </c>
      <c r="O23" s="68"/>
      <c r="P23" s="63">
        <f t="shared" si="2"/>
        <v>0</v>
      </c>
      <c r="Q23" s="95">
        <v>0</v>
      </c>
      <c r="R23" s="86"/>
      <c r="S23" s="71"/>
      <c r="T23" s="17">
        <f>SUM(Q23:R28)</f>
        <v>0</v>
      </c>
      <c r="U23" s="17">
        <f>SUM(M23:M28)-SUM(P23:P28)</f>
        <v>0</v>
      </c>
      <c r="V23" s="17">
        <f>SUM($M$5:M22)-SUM($S$5:S22)</f>
        <v>0</v>
      </c>
    </row>
    <row r="24" spans="1:22" hidden="1" x14ac:dyDescent="0.3">
      <c r="A24">
        <f t="shared" ca="1" si="3"/>
        <v>1</v>
      </c>
      <c r="B24">
        <f t="shared" ca="1" si="0"/>
        <v>0</v>
      </c>
      <c r="C24">
        <f>SUM(E23:E28)</f>
        <v>0</v>
      </c>
      <c r="D24" s="29">
        <f>D23+1</f>
        <v>42374</v>
      </c>
      <c r="E24" s="4" t="str">
        <f t="shared" si="12"/>
        <v/>
      </c>
      <c r="F24" s="5" t="str">
        <f t="shared" si="14"/>
        <v/>
      </c>
      <c r="G24" s="30" t="str">
        <f t="shared" si="13"/>
        <v/>
      </c>
      <c r="H24" s="31" t="str">
        <f t="shared" si="15"/>
        <v/>
      </c>
      <c r="I24" s="47" t="str">
        <f t="shared" si="16"/>
        <v/>
      </c>
      <c r="J24" s="4">
        <v>3</v>
      </c>
      <c r="K24" s="6"/>
      <c r="L24" s="5"/>
      <c r="M24" s="64">
        <f t="shared" si="1"/>
        <v>0</v>
      </c>
      <c r="N24" s="75">
        <f t="shared" si="9"/>
        <v>0</v>
      </c>
      <c r="O24" s="80"/>
      <c r="P24" s="64">
        <f t="shared" si="2"/>
        <v>0</v>
      </c>
      <c r="Q24" s="103">
        <v>0</v>
      </c>
      <c r="R24" s="78"/>
      <c r="S24" s="71"/>
    </row>
    <row r="25" spans="1:22" hidden="1" x14ac:dyDescent="0.3">
      <c r="A25">
        <f t="shared" ca="1" si="3"/>
        <v>1</v>
      </c>
      <c r="B25">
        <f t="shared" ca="1" si="0"/>
        <v>0</v>
      </c>
      <c r="D25" s="29">
        <f t="shared" ref="D25:D28" si="18">D24+1</f>
        <v>42375</v>
      </c>
      <c r="E25" s="4" t="str">
        <f t="shared" si="12"/>
        <v/>
      </c>
      <c r="F25" s="5" t="str">
        <f t="shared" si="14"/>
        <v/>
      </c>
      <c r="G25" s="30" t="str">
        <f t="shared" si="13"/>
        <v/>
      </c>
      <c r="H25" s="31" t="str">
        <f t="shared" si="15"/>
        <v/>
      </c>
      <c r="I25" s="47" t="str">
        <f t="shared" si="16"/>
        <v/>
      </c>
      <c r="J25" s="4">
        <v>3</v>
      </c>
      <c r="K25" s="6"/>
      <c r="L25" s="5"/>
      <c r="M25" s="64">
        <f t="shared" si="1"/>
        <v>0</v>
      </c>
      <c r="N25" s="75">
        <f t="shared" si="9"/>
        <v>0</v>
      </c>
      <c r="O25" s="80"/>
      <c r="P25" s="64">
        <f t="shared" si="2"/>
        <v>0</v>
      </c>
      <c r="Q25" s="103">
        <v>0</v>
      </c>
      <c r="R25" s="78"/>
      <c r="S25" s="71"/>
    </row>
    <row r="26" spans="1:22" hidden="1" x14ac:dyDescent="0.3">
      <c r="A26">
        <f t="shared" ca="1" si="3"/>
        <v>1</v>
      </c>
      <c r="B26">
        <f t="shared" ca="1" si="0"/>
        <v>0</v>
      </c>
      <c r="D26" s="29">
        <f t="shared" si="18"/>
        <v>42376</v>
      </c>
      <c r="E26" s="4" t="str">
        <f t="shared" si="12"/>
        <v/>
      </c>
      <c r="F26" s="5" t="str">
        <f t="shared" si="14"/>
        <v/>
      </c>
      <c r="G26" s="30" t="str">
        <f t="shared" si="13"/>
        <v/>
      </c>
      <c r="H26" s="31" t="str">
        <f t="shared" si="15"/>
        <v/>
      </c>
      <c r="I26" s="47" t="str">
        <f t="shared" si="16"/>
        <v/>
      </c>
      <c r="J26" s="4">
        <v>3</v>
      </c>
      <c r="K26" s="6"/>
      <c r="L26" s="5"/>
      <c r="M26" s="64">
        <f t="shared" si="1"/>
        <v>0</v>
      </c>
      <c r="N26" s="75">
        <f t="shared" si="9"/>
        <v>0</v>
      </c>
      <c r="O26" s="80"/>
      <c r="P26" s="64">
        <f t="shared" si="2"/>
        <v>0</v>
      </c>
      <c r="Q26" s="103">
        <v>0</v>
      </c>
      <c r="R26" s="78"/>
      <c r="S26" s="71"/>
    </row>
    <row r="27" spans="1:22" hidden="1" x14ac:dyDescent="0.3">
      <c r="A27">
        <f t="shared" ca="1" si="3"/>
        <v>1</v>
      </c>
      <c r="B27">
        <f t="shared" ca="1" si="0"/>
        <v>0</v>
      </c>
      <c r="D27" s="29">
        <f t="shared" si="18"/>
        <v>42377</v>
      </c>
      <c r="E27" s="4" t="str">
        <f t="shared" si="12"/>
        <v/>
      </c>
      <c r="F27" s="5" t="str">
        <f t="shared" si="14"/>
        <v/>
      </c>
      <c r="G27" s="30" t="str">
        <f t="shared" si="13"/>
        <v/>
      </c>
      <c r="H27" s="31" t="str">
        <f t="shared" si="15"/>
        <v/>
      </c>
      <c r="I27" s="47" t="str">
        <f t="shared" si="16"/>
        <v/>
      </c>
      <c r="J27" s="4">
        <v>3</v>
      </c>
      <c r="K27" s="6"/>
      <c r="L27" s="5"/>
      <c r="M27" s="64">
        <f t="shared" si="1"/>
        <v>0</v>
      </c>
      <c r="N27" s="75">
        <f t="shared" si="9"/>
        <v>0</v>
      </c>
      <c r="O27" s="80"/>
      <c r="P27" s="64">
        <f t="shared" si="2"/>
        <v>0</v>
      </c>
      <c r="Q27" s="103">
        <v>0</v>
      </c>
      <c r="R27" s="78"/>
      <c r="S27" s="71"/>
    </row>
    <row r="28" spans="1:22" ht="15" hidden="1" thickBot="1" x14ac:dyDescent="0.35">
      <c r="A28">
        <f t="shared" ca="1" si="3"/>
        <v>1</v>
      </c>
      <c r="B28">
        <f t="shared" ca="1" si="0"/>
        <v>0</v>
      </c>
      <c r="D28" s="29">
        <f t="shared" si="18"/>
        <v>42378</v>
      </c>
      <c r="E28" s="35" t="str">
        <f t="shared" si="12"/>
        <v/>
      </c>
      <c r="F28" s="36" t="str">
        <f t="shared" si="14"/>
        <v/>
      </c>
      <c r="G28" s="37" t="str">
        <f t="shared" si="13"/>
        <v/>
      </c>
      <c r="H28" s="34" t="str">
        <f t="shared" si="15"/>
        <v/>
      </c>
      <c r="I28" s="48" t="str">
        <f t="shared" si="16"/>
        <v/>
      </c>
      <c r="J28" s="7">
        <v>3</v>
      </c>
      <c r="K28" s="9"/>
      <c r="L28" s="5"/>
      <c r="M28" s="64">
        <f t="shared" si="1"/>
        <v>0</v>
      </c>
      <c r="N28" s="75">
        <f t="shared" si="9"/>
        <v>0</v>
      </c>
      <c r="O28" s="80"/>
      <c r="P28" s="64">
        <f t="shared" si="2"/>
        <v>0</v>
      </c>
      <c r="Q28" s="103">
        <v>0</v>
      </c>
      <c r="R28" s="78"/>
      <c r="S28" s="71"/>
    </row>
    <row r="29" spans="1:22" x14ac:dyDescent="0.3">
      <c r="A29">
        <f t="shared" ca="1" si="3"/>
        <v>1</v>
      </c>
      <c r="B29">
        <f t="shared" ca="1" si="0"/>
        <v>0</v>
      </c>
      <c r="C29" t="str">
        <f>"Week "&amp;RIGHT(C35,LEN(C35)-5)+1</f>
        <v>Week 16</v>
      </c>
      <c r="D29" s="26">
        <f>D28+2</f>
        <v>42380</v>
      </c>
      <c r="E29" s="1" t="str">
        <f t="shared" si="12"/>
        <v/>
      </c>
      <c r="F29" s="2" t="str">
        <f t="shared" si="14"/>
        <v/>
      </c>
      <c r="G29" s="27" t="str">
        <f t="shared" si="13"/>
        <v/>
      </c>
      <c r="H29" s="28" t="str">
        <f t="shared" si="15"/>
        <v/>
      </c>
      <c r="I29" s="49" t="str">
        <f t="shared" si="16"/>
        <v/>
      </c>
      <c r="J29" s="1"/>
      <c r="K29" s="3"/>
      <c r="L29" s="2"/>
      <c r="M29" s="63">
        <f t="shared" si="1"/>
        <v>0</v>
      </c>
      <c r="N29" s="74">
        <f t="shared" si="9"/>
        <v>-0.5</v>
      </c>
      <c r="O29" s="68">
        <v>0.5</v>
      </c>
      <c r="P29" s="63">
        <f t="shared" si="2"/>
        <v>0</v>
      </c>
      <c r="Q29" s="95">
        <v>0</v>
      </c>
      <c r="R29" s="86"/>
      <c r="S29" s="71"/>
      <c r="T29" s="17">
        <f>SUM(Q29:R34)</f>
        <v>12</v>
      </c>
      <c r="U29" s="17">
        <f>SUM(M29:M34)-SUM(P29:P34)</f>
        <v>-12</v>
      </c>
      <c r="V29" s="17">
        <f>SUM($M$5:M28)-SUM($S$5:S28)</f>
        <v>0</v>
      </c>
    </row>
    <row r="30" spans="1:22" x14ac:dyDescent="0.3">
      <c r="A30">
        <f t="shared" ca="1" si="3"/>
        <v>1</v>
      </c>
      <c r="B30">
        <f t="shared" ca="1" si="0"/>
        <v>0</v>
      </c>
      <c r="C30">
        <f>SUM(E29:E34)</f>
        <v>0</v>
      </c>
      <c r="D30" s="29">
        <f>D29+1</f>
        <v>42381</v>
      </c>
      <c r="E30" s="4" t="str">
        <f t="shared" si="12"/>
        <v/>
      </c>
      <c r="F30" s="5" t="str">
        <f t="shared" si="14"/>
        <v/>
      </c>
      <c r="G30" s="30" t="str">
        <f t="shared" si="13"/>
        <v/>
      </c>
      <c r="H30" s="31" t="str">
        <f t="shared" si="15"/>
        <v/>
      </c>
      <c r="I30" s="47" t="str">
        <f t="shared" si="16"/>
        <v/>
      </c>
      <c r="J30" s="4"/>
      <c r="K30" s="6"/>
      <c r="L30" s="5"/>
      <c r="M30" s="64">
        <f t="shared" si="1"/>
        <v>0</v>
      </c>
      <c r="N30" s="75">
        <f t="shared" si="9"/>
        <v>-0.5</v>
      </c>
      <c r="O30" s="80">
        <v>0.5</v>
      </c>
      <c r="P30" s="64">
        <f t="shared" si="2"/>
        <v>0</v>
      </c>
      <c r="Q30" s="103">
        <v>0</v>
      </c>
      <c r="R30" s="78"/>
      <c r="S30" s="71"/>
    </row>
    <row r="31" spans="1:22" x14ac:dyDescent="0.3">
      <c r="A31">
        <f t="shared" ca="1" si="3"/>
        <v>1</v>
      </c>
      <c r="B31">
        <f t="shared" ca="1" si="0"/>
        <v>0</v>
      </c>
      <c r="D31" s="29">
        <f t="shared" ref="D31:D34" si="19">D30+1</f>
        <v>42382</v>
      </c>
      <c r="E31" s="4" t="str">
        <f t="shared" si="12"/>
        <v/>
      </c>
      <c r="F31" s="5" t="str">
        <f t="shared" si="14"/>
        <v/>
      </c>
      <c r="G31" s="30" t="str">
        <f t="shared" si="13"/>
        <v/>
      </c>
      <c r="H31" s="31" t="str">
        <f t="shared" si="15"/>
        <v/>
      </c>
      <c r="I31" s="47" t="str">
        <f t="shared" si="16"/>
        <v/>
      </c>
      <c r="J31" s="4"/>
      <c r="K31" s="6"/>
      <c r="L31" s="5"/>
      <c r="M31" s="64">
        <f t="shared" si="1"/>
        <v>0</v>
      </c>
      <c r="N31" s="75">
        <f t="shared" si="9"/>
        <v>-0.5</v>
      </c>
      <c r="O31" s="80">
        <v>0.5</v>
      </c>
      <c r="P31" s="64">
        <f t="shared" si="2"/>
        <v>0</v>
      </c>
      <c r="Q31" s="103">
        <v>0</v>
      </c>
      <c r="R31" s="78"/>
      <c r="S31" s="71"/>
    </row>
    <row r="32" spans="1:22" x14ac:dyDescent="0.3">
      <c r="A32">
        <f t="shared" ca="1" si="3"/>
        <v>1</v>
      </c>
      <c r="B32">
        <f t="shared" ca="1" si="0"/>
        <v>0</v>
      </c>
      <c r="D32" s="29">
        <f t="shared" si="19"/>
        <v>42383</v>
      </c>
      <c r="E32" s="4" t="str">
        <f t="shared" si="12"/>
        <v/>
      </c>
      <c r="F32" s="5" t="str">
        <f t="shared" si="14"/>
        <v/>
      </c>
      <c r="G32" s="30" t="str">
        <f t="shared" si="13"/>
        <v/>
      </c>
      <c r="H32" s="31" t="str">
        <f t="shared" si="15"/>
        <v/>
      </c>
      <c r="I32" s="47" t="str">
        <f t="shared" si="16"/>
        <v/>
      </c>
      <c r="J32" s="4"/>
      <c r="K32" s="6"/>
      <c r="L32" s="5"/>
      <c r="M32" s="64">
        <f t="shared" si="1"/>
        <v>0</v>
      </c>
      <c r="N32" s="75">
        <f t="shared" si="9"/>
        <v>-0.5</v>
      </c>
      <c r="O32" s="80">
        <v>0.5</v>
      </c>
      <c r="P32" s="64">
        <f t="shared" si="2"/>
        <v>0</v>
      </c>
      <c r="Q32" s="103">
        <v>0</v>
      </c>
      <c r="R32" s="78"/>
      <c r="S32" s="71"/>
    </row>
    <row r="33" spans="1:22" x14ac:dyDescent="0.3">
      <c r="A33">
        <f t="shared" ca="1" si="3"/>
        <v>1</v>
      </c>
      <c r="B33">
        <f t="shared" ca="1" si="0"/>
        <v>0</v>
      </c>
      <c r="D33" s="29">
        <f t="shared" si="19"/>
        <v>42384</v>
      </c>
      <c r="E33" s="4" t="str">
        <f t="shared" si="12"/>
        <v/>
      </c>
      <c r="F33" s="5" t="str">
        <f t="shared" si="14"/>
        <v/>
      </c>
      <c r="G33" s="30" t="str">
        <f t="shared" si="13"/>
        <v/>
      </c>
      <c r="H33" s="31" t="str">
        <f t="shared" si="15"/>
        <v/>
      </c>
      <c r="I33" s="47" t="str">
        <f t="shared" si="16"/>
        <v/>
      </c>
      <c r="J33" s="4"/>
      <c r="K33" s="6"/>
      <c r="L33" s="5"/>
      <c r="M33" s="64">
        <f t="shared" si="1"/>
        <v>0</v>
      </c>
      <c r="N33" s="75">
        <f t="shared" si="9"/>
        <v>-0.5</v>
      </c>
      <c r="O33" s="80">
        <v>0.5</v>
      </c>
      <c r="P33" s="64">
        <f t="shared" si="2"/>
        <v>4</v>
      </c>
      <c r="Q33" s="103">
        <v>4</v>
      </c>
      <c r="R33" s="78"/>
      <c r="S33" s="71"/>
    </row>
    <row r="34" spans="1:22" ht="15" thickBot="1" x14ac:dyDescent="0.35">
      <c r="A34">
        <f t="shared" ca="1" si="3"/>
        <v>1</v>
      </c>
      <c r="B34">
        <f t="shared" ca="1" si="0"/>
        <v>0</v>
      </c>
      <c r="D34" s="29">
        <f t="shared" si="19"/>
        <v>42385</v>
      </c>
      <c r="E34" s="7" t="str">
        <f t="shared" si="12"/>
        <v/>
      </c>
      <c r="F34" s="8" t="str">
        <f t="shared" si="14"/>
        <v/>
      </c>
      <c r="G34" s="33" t="str">
        <f t="shared" si="13"/>
        <v/>
      </c>
      <c r="H34" s="34" t="str">
        <f t="shared" si="15"/>
        <v/>
      </c>
      <c r="I34" s="48" t="str">
        <f t="shared" si="16"/>
        <v/>
      </c>
      <c r="J34" s="7"/>
      <c r="K34" s="9"/>
      <c r="L34" s="8"/>
      <c r="M34" s="64">
        <f t="shared" si="1"/>
        <v>0</v>
      </c>
      <c r="N34" s="75">
        <f t="shared" si="9"/>
        <v>0</v>
      </c>
      <c r="O34" s="80"/>
      <c r="P34" s="64">
        <f t="shared" si="2"/>
        <v>8</v>
      </c>
      <c r="Q34" s="103">
        <v>8</v>
      </c>
      <c r="R34" s="78"/>
      <c r="S34" s="71"/>
    </row>
    <row r="35" spans="1:22" x14ac:dyDescent="0.3">
      <c r="A35">
        <f t="shared" ca="1" si="3"/>
        <v>1</v>
      </c>
      <c r="B35">
        <f t="shared" ca="1" si="0"/>
        <v>0</v>
      </c>
      <c r="C35" t="str">
        <f>"Week "&amp;RIGHT(C41,LEN(C41)-5)+1</f>
        <v>Week 15</v>
      </c>
      <c r="D35" s="26">
        <f>D34+2</f>
        <v>42387</v>
      </c>
      <c r="E35" s="1" t="str">
        <f t="shared" si="12"/>
        <v/>
      </c>
      <c r="F35" s="2" t="str">
        <f t="shared" si="14"/>
        <v/>
      </c>
      <c r="G35" s="27" t="str">
        <f t="shared" si="13"/>
        <v/>
      </c>
      <c r="H35" s="28" t="str">
        <f t="shared" si="15"/>
        <v/>
      </c>
      <c r="I35" s="49" t="str">
        <f t="shared" si="16"/>
        <v/>
      </c>
      <c r="J35" s="1"/>
      <c r="K35" s="3"/>
      <c r="L35" s="5"/>
      <c r="M35" s="63">
        <f t="shared" si="1"/>
        <v>0</v>
      </c>
      <c r="N35" s="74">
        <f t="shared" si="9"/>
        <v>0</v>
      </c>
      <c r="O35" s="68"/>
      <c r="P35" s="63">
        <f t="shared" si="2"/>
        <v>4</v>
      </c>
      <c r="Q35" s="95">
        <v>4</v>
      </c>
      <c r="R35" s="86"/>
      <c r="S35" s="71"/>
      <c r="T35" s="17">
        <f>SUM(Q35:R40)</f>
        <v>28</v>
      </c>
      <c r="U35" s="17">
        <f>SUM(M35:M40)-SUM(P35:P40)</f>
        <v>-28</v>
      </c>
      <c r="V35" s="17">
        <f>SUM($M$5:M34)-SUM($S$5:S34)</f>
        <v>0</v>
      </c>
    </row>
    <row r="36" spans="1:22" x14ac:dyDescent="0.3">
      <c r="A36">
        <f t="shared" ca="1" si="3"/>
        <v>1</v>
      </c>
      <c r="B36">
        <f t="shared" ca="1" si="0"/>
        <v>0</v>
      </c>
      <c r="C36">
        <f>SUM(E35:E40)</f>
        <v>10</v>
      </c>
      <c r="D36" s="29">
        <f>D35+1</f>
        <v>42388</v>
      </c>
      <c r="E36" s="4" t="str">
        <f t="shared" si="12"/>
        <v/>
      </c>
      <c r="F36" s="5" t="str">
        <f t="shared" si="14"/>
        <v/>
      </c>
      <c r="G36" s="30" t="str">
        <f t="shared" si="13"/>
        <v/>
      </c>
      <c r="H36" s="31" t="str">
        <f t="shared" si="15"/>
        <v/>
      </c>
      <c r="I36" s="47" t="str">
        <f t="shared" si="16"/>
        <v/>
      </c>
      <c r="J36" s="4"/>
      <c r="K36" s="6"/>
      <c r="L36" s="5"/>
      <c r="M36" s="64">
        <f t="shared" si="1"/>
        <v>0</v>
      </c>
      <c r="N36" s="75">
        <f t="shared" si="9"/>
        <v>-0.5</v>
      </c>
      <c r="O36" s="80">
        <v>0.5</v>
      </c>
      <c r="P36" s="64">
        <f t="shared" si="2"/>
        <v>4</v>
      </c>
      <c r="Q36" s="103">
        <v>4</v>
      </c>
      <c r="R36" s="78"/>
      <c r="S36" s="71"/>
    </row>
    <row r="37" spans="1:22" x14ac:dyDescent="0.3">
      <c r="A37">
        <f t="shared" ca="1" si="3"/>
        <v>1</v>
      </c>
      <c r="B37">
        <f t="shared" ca="1" si="0"/>
        <v>0</v>
      </c>
      <c r="D37" s="29">
        <f t="shared" ref="D37:D40" si="20">D36+1</f>
        <v>42389</v>
      </c>
      <c r="E37" s="4">
        <f t="shared" si="12"/>
        <v>10</v>
      </c>
      <c r="F37" s="5">
        <f t="shared" si="14"/>
        <v>7.75</v>
      </c>
      <c r="G37" s="30">
        <f t="shared" si="13"/>
        <v>16.749999996973202</v>
      </c>
      <c r="H37" s="31">
        <f t="shared" si="15"/>
        <v>0.77500000000000002</v>
      </c>
      <c r="I37" s="47">
        <f t="shared" si="16"/>
        <v>1.6749999996973202</v>
      </c>
      <c r="J37" s="4"/>
      <c r="K37" s="6"/>
      <c r="L37" s="5"/>
      <c r="M37" s="64">
        <f t="shared" ref="M37:M68" si="21">SUMIFS(Timecard.Total,Timecard.Day,D37)/60</f>
        <v>0</v>
      </c>
      <c r="N37" s="75">
        <f t="shared" si="9"/>
        <v>-0.5</v>
      </c>
      <c r="O37" s="80">
        <v>0.5</v>
      </c>
      <c r="P37" s="64">
        <f t="shared" si="2"/>
        <v>4</v>
      </c>
      <c r="Q37" s="103">
        <v>4</v>
      </c>
      <c r="R37" s="78"/>
      <c r="S37" s="71"/>
    </row>
    <row r="38" spans="1:22" x14ac:dyDescent="0.3">
      <c r="A38">
        <f t="shared" ca="1" si="3"/>
        <v>1</v>
      </c>
      <c r="B38">
        <f t="shared" ca="1" si="0"/>
        <v>0</v>
      </c>
      <c r="D38" s="29">
        <f t="shared" si="20"/>
        <v>42390</v>
      </c>
      <c r="E38" s="4" t="str">
        <f t="shared" si="12"/>
        <v/>
      </c>
      <c r="F38" s="5" t="str">
        <f t="shared" si="14"/>
        <v/>
      </c>
      <c r="G38" s="30" t="str">
        <f t="shared" si="13"/>
        <v/>
      </c>
      <c r="H38" s="31" t="str">
        <f t="shared" si="15"/>
        <v/>
      </c>
      <c r="I38" s="47" t="str">
        <f t="shared" si="16"/>
        <v/>
      </c>
      <c r="J38" s="4"/>
      <c r="K38" s="6"/>
      <c r="L38" s="5"/>
      <c r="M38" s="64">
        <f t="shared" si="21"/>
        <v>0</v>
      </c>
      <c r="N38" s="75">
        <f t="shared" si="9"/>
        <v>-0.5</v>
      </c>
      <c r="O38" s="80">
        <v>0.5</v>
      </c>
      <c r="P38" s="64">
        <f t="shared" si="2"/>
        <v>4</v>
      </c>
      <c r="Q38" s="103">
        <v>4</v>
      </c>
      <c r="R38" s="78"/>
      <c r="S38" s="71"/>
    </row>
    <row r="39" spans="1:22" x14ac:dyDescent="0.3">
      <c r="A39">
        <f t="shared" ca="1" si="3"/>
        <v>1</v>
      </c>
      <c r="B39">
        <f t="shared" ca="1" si="0"/>
        <v>0</v>
      </c>
      <c r="D39" s="29">
        <f t="shared" si="20"/>
        <v>42391</v>
      </c>
      <c r="E39" s="4" t="str">
        <f t="shared" si="12"/>
        <v/>
      </c>
      <c r="F39" s="5" t="str">
        <f t="shared" si="14"/>
        <v/>
      </c>
      <c r="G39" s="30" t="str">
        <f t="shared" si="13"/>
        <v/>
      </c>
      <c r="H39" s="31" t="str">
        <f t="shared" si="15"/>
        <v/>
      </c>
      <c r="I39" s="47" t="str">
        <f t="shared" si="16"/>
        <v/>
      </c>
      <c r="J39" s="4"/>
      <c r="K39" s="6"/>
      <c r="L39" s="5"/>
      <c r="M39" s="64">
        <f t="shared" si="21"/>
        <v>0</v>
      </c>
      <c r="N39" s="75">
        <f t="shared" si="9"/>
        <v>-0.5</v>
      </c>
      <c r="O39" s="80">
        <v>0.5</v>
      </c>
      <c r="P39" s="64">
        <f t="shared" si="2"/>
        <v>4</v>
      </c>
      <c r="Q39" s="103">
        <v>4</v>
      </c>
      <c r="R39" s="78"/>
      <c r="S39" s="71"/>
    </row>
    <row r="40" spans="1:22" ht="15" thickBot="1" x14ac:dyDescent="0.35">
      <c r="A40">
        <f t="shared" ca="1" si="3"/>
        <v>1</v>
      </c>
      <c r="B40">
        <f t="shared" ca="1" si="0"/>
        <v>0</v>
      </c>
      <c r="D40" s="29">
        <f t="shared" si="20"/>
        <v>42392</v>
      </c>
      <c r="E40" s="7" t="str">
        <f t="shared" ref="E40:E103" si="22">IF(SUMIF(RDB.Day,D40,RDB.Points)=0,"",SUMIF(RDB.Day,D40,RDB.Points))</f>
        <v/>
      </c>
      <c r="F40" s="8" t="str">
        <f t="shared" ref="F40:F103" si="23">IF(SUMIF(RDB.Day,D40,RDB.Correct)=0,"",SUMIF(RDB.Day,D40,RDB.Correct))</f>
        <v/>
      </c>
      <c r="G40" s="33" t="str">
        <f t="shared" ref="G40:G103" si="24">IF(SUMIF(RDB.Day,D40,RDB.ElapsedTime)=0,"",SUMIF(RDB.Day,D40,RDB.ElapsedTime))</f>
        <v/>
      </c>
      <c r="H40" s="34" t="str">
        <f t="shared" ref="H40:H103" si="25">IF(OR(E40="",E40=0),"",F40/E40)</f>
        <v/>
      </c>
      <c r="I40" s="48" t="str">
        <f t="shared" ref="I40:I103" si="26">IF(OR(E40="",E40=0),"",G40/E40)</f>
        <v/>
      </c>
      <c r="J40" s="7"/>
      <c r="K40" s="9"/>
      <c r="L40" s="5"/>
      <c r="M40" s="64">
        <f t="shared" si="21"/>
        <v>0</v>
      </c>
      <c r="N40" s="75">
        <f t="shared" si="9"/>
        <v>0</v>
      </c>
      <c r="O40" s="80"/>
      <c r="P40" s="64">
        <f t="shared" si="2"/>
        <v>8</v>
      </c>
      <c r="Q40" s="103">
        <v>8</v>
      </c>
      <c r="R40" s="78"/>
      <c r="S40" s="71"/>
    </row>
    <row r="41" spans="1:22" x14ac:dyDescent="0.3">
      <c r="A41">
        <f t="shared" ca="1" si="3"/>
        <v>1</v>
      </c>
      <c r="B41">
        <f t="shared" ca="1" si="0"/>
        <v>0</v>
      </c>
      <c r="C41" t="str">
        <f>"Week "&amp;RIGHT(C47,LEN(C47)-5)+1</f>
        <v>Week 14</v>
      </c>
      <c r="D41" s="26">
        <f>D40+2</f>
        <v>42394</v>
      </c>
      <c r="E41" s="1" t="str">
        <f t="shared" si="22"/>
        <v/>
      </c>
      <c r="F41" s="2" t="str">
        <f t="shared" si="23"/>
        <v/>
      </c>
      <c r="G41" s="27" t="str">
        <f t="shared" si="24"/>
        <v/>
      </c>
      <c r="H41" s="28" t="str">
        <f t="shared" si="25"/>
        <v/>
      </c>
      <c r="I41" s="49" t="str">
        <f t="shared" si="26"/>
        <v/>
      </c>
      <c r="J41" s="1"/>
      <c r="K41" s="3"/>
      <c r="L41" s="2"/>
      <c r="M41" s="63">
        <f t="shared" si="21"/>
        <v>0</v>
      </c>
      <c r="N41" s="74">
        <f t="shared" si="9"/>
        <v>-0.5</v>
      </c>
      <c r="O41" s="68">
        <v>0.5</v>
      </c>
      <c r="P41" s="63">
        <f t="shared" si="2"/>
        <v>4</v>
      </c>
      <c r="Q41" s="95">
        <v>4</v>
      </c>
      <c r="R41" s="86"/>
      <c r="S41" s="71"/>
      <c r="T41" s="17">
        <f>SUM(Q41:R46)</f>
        <v>28</v>
      </c>
      <c r="U41" s="17">
        <f>SUM(M41:M46)-SUM(P41:P46)</f>
        <v>-28</v>
      </c>
      <c r="V41" s="17">
        <f>SUM($M$5:M40)-SUM($S$5:S40)</f>
        <v>0</v>
      </c>
    </row>
    <row r="42" spans="1:22" x14ac:dyDescent="0.3">
      <c r="A42">
        <f t="shared" ca="1" si="3"/>
        <v>1</v>
      </c>
      <c r="B42">
        <f t="shared" ca="1" si="0"/>
        <v>0</v>
      </c>
      <c r="C42">
        <f>SUM(E41:E46)</f>
        <v>0</v>
      </c>
      <c r="D42" s="29">
        <f>D41+1</f>
        <v>42395</v>
      </c>
      <c r="E42" s="4" t="str">
        <f t="shared" si="22"/>
        <v/>
      </c>
      <c r="F42" s="5" t="str">
        <f t="shared" si="23"/>
        <v/>
      </c>
      <c r="G42" s="30" t="str">
        <f t="shared" si="24"/>
        <v/>
      </c>
      <c r="H42" s="31" t="str">
        <f t="shared" si="25"/>
        <v/>
      </c>
      <c r="I42" s="47" t="str">
        <f t="shared" si="26"/>
        <v/>
      </c>
      <c r="J42" s="4"/>
      <c r="K42" s="6"/>
      <c r="L42" s="5"/>
      <c r="M42" s="64">
        <f t="shared" si="21"/>
        <v>0</v>
      </c>
      <c r="N42" s="75">
        <f t="shared" si="9"/>
        <v>-0.5</v>
      </c>
      <c r="O42" s="80">
        <v>0.5</v>
      </c>
      <c r="P42" s="64">
        <f t="shared" si="2"/>
        <v>4</v>
      </c>
      <c r="Q42" s="103">
        <v>4</v>
      </c>
      <c r="R42" s="78"/>
      <c r="S42" s="71"/>
    </row>
    <row r="43" spans="1:22" x14ac:dyDescent="0.3">
      <c r="A43">
        <f t="shared" ca="1" si="3"/>
        <v>1</v>
      </c>
      <c r="B43">
        <f t="shared" ca="1" si="0"/>
        <v>0</v>
      </c>
      <c r="D43" s="29">
        <f t="shared" ref="D43:D46" si="27">D42+1</f>
        <v>42396</v>
      </c>
      <c r="E43" s="4" t="str">
        <f t="shared" si="22"/>
        <v/>
      </c>
      <c r="F43" s="5" t="str">
        <f t="shared" si="23"/>
        <v/>
      </c>
      <c r="G43" s="30" t="str">
        <f t="shared" si="24"/>
        <v/>
      </c>
      <c r="H43" s="31" t="str">
        <f t="shared" si="25"/>
        <v/>
      </c>
      <c r="I43" s="47" t="str">
        <f t="shared" si="26"/>
        <v/>
      </c>
      <c r="J43" s="4"/>
      <c r="K43" s="6"/>
      <c r="L43" s="5"/>
      <c r="M43" s="64">
        <f t="shared" si="21"/>
        <v>0</v>
      </c>
      <c r="N43" s="75">
        <f t="shared" si="9"/>
        <v>-1</v>
      </c>
      <c r="O43" s="80">
        <v>1</v>
      </c>
      <c r="P43" s="64">
        <f t="shared" si="2"/>
        <v>4</v>
      </c>
      <c r="Q43" s="103">
        <v>4</v>
      </c>
      <c r="R43" s="78"/>
      <c r="S43" s="71"/>
    </row>
    <row r="44" spans="1:22" x14ac:dyDescent="0.3">
      <c r="A44">
        <f t="shared" ca="1" si="3"/>
        <v>1</v>
      </c>
      <c r="B44">
        <f t="shared" ca="1" si="0"/>
        <v>0</v>
      </c>
      <c r="D44" s="29">
        <f t="shared" si="27"/>
        <v>42397</v>
      </c>
      <c r="E44" s="4" t="str">
        <f t="shared" si="22"/>
        <v/>
      </c>
      <c r="F44" s="5" t="str">
        <f t="shared" si="23"/>
        <v/>
      </c>
      <c r="G44" s="30" t="str">
        <f t="shared" si="24"/>
        <v/>
      </c>
      <c r="H44" s="31" t="str">
        <f t="shared" si="25"/>
        <v/>
      </c>
      <c r="I44" s="47" t="str">
        <f t="shared" si="26"/>
        <v/>
      </c>
      <c r="J44" s="4"/>
      <c r="K44" s="6"/>
      <c r="L44" s="5"/>
      <c r="M44" s="64">
        <f t="shared" si="21"/>
        <v>0</v>
      </c>
      <c r="N44" s="75">
        <f t="shared" si="9"/>
        <v>-1</v>
      </c>
      <c r="O44" s="80">
        <v>1</v>
      </c>
      <c r="P44" s="64">
        <f t="shared" si="2"/>
        <v>4</v>
      </c>
      <c r="Q44" s="103">
        <v>4</v>
      </c>
      <c r="R44" s="78"/>
      <c r="S44" s="71"/>
    </row>
    <row r="45" spans="1:22" x14ac:dyDescent="0.3">
      <c r="A45">
        <f t="shared" ca="1" si="3"/>
        <v>1</v>
      </c>
      <c r="B45">
        <f t="shared" ca="1" si="0"/>
        <v>0</v>
      </c>
      <c r="D45" s="29">
        <f t="shared" si="27"/>
        <v>42398</v>
      </c>
      <c r="E45" s="4" t="str">
        <f t="shared" si="22"/>
        <v/>
      </c>
      <c r="F45" s="5" t="str">
        <f t="shared" si="23"/>
        <v/>
      </c>
      <c r="G45" s="30" t="str">
        <f t="shared" si="24"/>
        <v/>
      </c>
      <c r="H45" s="31" t="str">
        <f t="shared" si="25"/>
        <v/>
      </c>
      <c r="I45" s="47" t="str">
        <f t="shared" si="26"/>
        <v/>
      </c>
      <c r="J45" s="4"/>
      <c r="K45" s="6"/>
      <c r="L45" s="5"/>
      <c r="M45" s="64">
        <f t="shared" si="21"/>
        <v>0</v>
      </c>
      <c r="N45" s="75">
        <f t="shared" si="9"/>
        <v>-0.5</v>
      </c>
      <c r="O45" s="80">
        <v>0.5</v>
      </c>
      <c r="P45" s="64">
        <f t="shared" si="2"/>
        <v>4</v>
      </c>
      <c r="Q45" s="103">
        <v>4</v>
      </c>
      <c r="R45" s="78"/>
      <c r="S45" s="71"/>
    </row>
    <row r="46" spans="1:22" ht="15" thickBot="1" x14ac:dyDescent="0.35">
      <c r="A46">
        <f t="shared" ca="1" si="3"/>
        <v>1</v>
      </c>
      <c r="B46">
        <f t="shared" ca="1" si="0"/>
        <v>0</v>
      </c>
      <c r="D46" s="29">
        <f t="shared" si="27"/>
        <v>42399</v>
      </c>
      <c r="E46" s="7" t="str">
        <f t="shared" si="22"/>
        <v/>
      </c>
      <c r="F46" s="8" t="str">
        <f t="shared" si="23"/>
        <v/>
      </c>
      <c r="G46" s="33" t="str">
        <f t="shared" si="24"/>
        <v/>
      </c>
      <c r="H46" s="34" t="str">
        <f t="shared" si="25"/>
        <v/>
      </c>
      <c r="I46" s="48" t="str">
        <f t="shared" si="26"/>
        <v/>
      </c>
      <c r="J46" s="7"/>
      <c r="K46" s="9"/>
      <c r="L46" s="8"/>
      <c r="M46" s="65">
        <f t="shared" si="21"/>
        <v>0</v>
      </c>
      <c r="N46" s="87">
        <f t="shared" si="9"/>
        <v>0</v>
      </c>
      <c r="O46" s="69"/>
      <c r="P46" s="65">
        <f t="shared" si="2"/>
        <v>8</v>
      </c>
      <c r="Q46" s="103">
        <v>8</v>
      </c>
      <c r="R46" s="88"/>
      <c r="S46" s="71"/>
    </row>
    <row r="47" spans="1:22" x14ac:dyDescent="0.3">
      <c r="A47">
        <f t="shared" ca="1" si="3"/>
        <v>1</v>
      </c>
      <c r="B47">
        <f t="shared" ca="1" si="0"/>
        <v>0</v>
      </c>
      <c r="C47" t="str">
        <f>"Week "&amp;RIGHT(C53,LEN(C53)-5)+1</f>
        <v>Week 13</v>
      </c>
      <c r="D47" s="26">
        <f>D46+2</f>
        <v>42401</v>
      </c>
      <c r="E47" s="1" t="str">
        <f t="shared" si="22"/>
        <v/>
      </c>
      <c r="F47" s="2" t="str">
        <f t="shared" si="23"/>
        <v/>
      </c>
      <c r="G47" s="27" t="str">
        <f t="shared" si="24"/>
        <v/>
      </c>
      <c r="H47" s="28" t="str">
        <f t="shared" si="25"/>
        <v/>
      </c>
      <c r="I47" s="49" t="str">
        <f t="shared" si="26"/>
        <v/>
      </c>
      <c r="J47" s="1"/>
      <c r="K47" s="3"/>
      <c r="L47" s="5"/>
      <c r="M47" s="64">
        <f t="shared" si="21"/>
        <v>0</v>
      </c>
      <c r="N47" s="75">
        <f t="shared" si="9"/>
        <v>-1</v>
      </c>
      <c r="O47" s="80">
        <v>1</v>
      </c>
      <c r="P47" s="64">
        <f t="shared" si="2"/>
        <v>4</v>
      </c>
      <c r="Q47" s="95">
        <v>4</v>
      </c>
      <c r="R47" s="78"/>
      <c r="S47" s="71"/>
      <c r="T47" s="17">
        <f>SUM(Q47:R52)</f>
        <v>32</v>
      </c>
      <c r="U47" s="17">
        <f>SUM(M47:M52)-SUM(P47:P52)</f>
        <v>-32</v>
      </c>
      <c r="V47" s="17">
        <f>SUM($M$5:M46)-SUM($S$5:S46)</f>
        <v>0</v>
      </c>
    </row>
    <row r="48" spans="1:22" x14ac:dyDescent="0.3">
      <c r="A48">
        <f t="shared" ca="1" si="3"/>
        <v>1</v>
      </c>
      <c r="B48">
        <f t="shared" ca="1" si="0"/>
        <v>0</v>
      </c>
      <c r="C48">
        <f>SUM(E47:E52)</f>
        <v>0</v>
      </c>
      <c r="D48" s="29">
        <f>D47+1</f>
        <v>42402</v>
      </c>
      <c r="E48" s="4" t="str">
        <f t="shared" si="22"/>
        <v/>
      </c>
      <c r="F48" s="5" t="str">
        <f t="shared" si="23"/>
        <v/>
      </c>
      <c r="G48" s="30" t="str">
        <f t="shared" si="24"/>
        <v/>
      </c>
      <c r="H48" s="31" t="str">
        <f t="shared" si="25"/>
        <v/>
      </c>
      <c r="I48" s="47" t="str">
        <f t="shared" si="26"/>
        <v/>
      </c>
      <c r="J48" s="4"/>
      <c r="K48" s="6"/>
      <c r="L48" s="5"/>
      <c r="M48" s="64">
        <f t="shared" si="21"/>
        <v>0</v>
      </c>
      <c r="N48" s="75">
        <f t="shared" si="9"/>
        <v>0</v>
      </c>
      <c r="O48" s="80"/>
      <c r="P48" s="64">
        <f t="shared" si="2"/>
        <v>4</v>
      </c>
      <c r="Q48" s="103">
        <v>4</v>
      </c>
      <c r="R48" s="78"/>
      <c r="S48" s="71"/>
    </row>
    <row r="49" spans="1:30" x14ac:dyDescent="0.3">
      <c r="A49">
        <f t="shared" ca="1" si="3"/>
        <v>1</v>
      </c>
      <c r="B49">
        <f t="shared" ca="1" si="0"/>
        <v>0</v>
      </c>
      <c r="D49" s="29">
        <f t="shared" ref="D49:D52" si="28">D48+1</f>
        <v>42403</v>
      </c>
      <c r="E49" s="4" t="str">
        <f t="shared" si="22"/>
        <v/>
      </c>
      <c r="F49" s="5" t="str">
        <f t="shared" si="23"/>
        <v/>
      </c>
      <c r="G49" s="30" t="str">
        <f t="shared" si="24"/>
        <v/>
      </c>
      <c r="H49" s="31" t="str">
        <f t="shared" si="25"/>
        <v/>
      </c>
      <c r="I49" s="47" t="str">
        <f t="shared" si="26"/>
        <v/>
      </c>
      <c r="J49" s="4"/>
      <c r="K49" s="6"/>
      <c r="L49" s="5"/>
      <c r="M49" s="64">
        <f t="shared" si="21"/>
        <v>0</v>
      </c>
      <c r="N49" s="75">
        <f t="shared" si="9"/>
        <v>-1</v>
      </c>
      <c r="O49" s="80">
        <v>1</v>
      </c>
      <c r="P49" s="64">
        <f t="shared" si="2"/>
        <v>4</v>
      </c>
      <c r="Q49" s="103">
        <v>4</v>
      </c>
      <c r="R49" s="78"/>
      <c r="S49" s="71"/>
    </row>
    <row r="50" spans="1:30" x14ac:dyDescent="0.3">
      <c r="A50">
        <f t="shared" ca="1" si="3"/>
        <v>1</v>
      </c>
      <c r="B50">
        <f t="shared" ca="1" si="0"/>
        <v>0</v>
      </c>
      <c r="D50" s="29">
        <f t="shared" si="28"/>
        <v>42404</v>
      </c>
      <c r="E50" s="4" t="str">
        <f t="shared" si="22"/>
        <v/>
      </c>
      <c r="F50" s="5" t="str">
        <f t="shared" si="23"/>
        <v/>
      </c>
      <c r="G50" s="30" t="str">
        <f t="shared" si="24"/>
        <v/>
      </c>
      <c r="H50" s="31" t="str">
        <f t="shared" si="25"/>
        <v/>
      </c>
      <c r="I50" s="47" t="str">
        <f t="shared" si="26"/>
        <v/>
      </c>
      <c r="J50" s="4"/>
      <c r="K50" s="6"/>
      <c r="L50" s="5"/>
      <c r="M50" s="64">
        <f t="shared" si="21"/>
        <v>0</v>
      </c>
      <c r="N50" s="75">
        <f t="shared" si="9"/>
        <v>-1</v>
      </c>
      <c r="O50" s="80">
        <v>1</v>
      </c>
      <c r="P50" s="64">
        <f t="shared" si="2"/>
        <v>8</v>
      </c>
      <c r="Q50" s="103">
        <v>4</v>
      </c>
      <c r="R50" s="78">
        <v>4</v>
      </c>
      <c r="S50" s="71"/>
    </row>
    <row r="51" spans="1:30" x14ac:dyDescent="0.3">
      <c r="A51">
        <f t="shared" ca="1" si="3"/>
        <v>1</v>
      </c>
      <c r="B51">
        <f t="shared" ca="1" si="0"/>
        <v>0</v>
      </c>
      <c r="D51" s="29">
        <f t="shared" si="28"/>
        <v>42405</v>
      </c>
      <c r="E51" s="4" t="str">
        <f t="shared" si="22"/>
        <v/>
      </c>
      <c r="F51" s="5" t="str">
        <f t="shared" si="23"/>
        <v/>
      </c>
      <c r="G51" s="30" t="str">
        <f t="shared" si="24"/>
        <v/>
      </c>
      <c r="H51" s="31" t="str">
        <f t="shared" si="25"/>
        <v/>
      </c>
      <c r="I51" s="47" t="str">
        <f t="shared" si="26"/>
        <v/>
      </c>
      <c r="J51" s="4"/>
      <c r="K51" s="6"/>
      <c r="L51" s="5"/>
      <c r="M51" s="64">
        <f t="shared" si="21"/>
        <v>0</v>
      </c>
      <c r="N51" s="75">
        <f t="shared" si="9"/>
        <v>-1</v>
      </c>
      <c r="O51" s="80">
        <v>1</v>
      </c>
      <c r="P51" s="64">
        <f t="shared" si="2"/>
        <v>4</v>
      </c>
      <c r="Q51" s="103">
        <v>4</v>
      </c>
      <c r="R51" s="78"/>
      <c r="S51" s="71"/>
    </row>
    <row r="52" spans="1:30" ht="15" thickBot="1" x14ac:dyDescent="0.35">
      <c r="A52">
        <f t="shared" ca="1" si="3"/>
        <v>1</v>
      </c>
      <c r="B52">
        <f t="shared" ca="1" si="0"/>
        <v>0</v>
      </c>
      <c r="D52" s="29">
        <f t="shared" si="28"/>
        <v>42406</v>
      </c>
      <c r="E52" s="7" t="str">
        <f t="shared" si="22"/>
        <v/>
      </c>
      <c r="F52" s="8" t="str">
        <f t="shared" si="23"/>
        <v/>
      </c>
      <c r="G52" s="33" t="str">
        <f t="shared" si="24"/>
        <v/>
      </c>
      <c r="H52" s="34" t="str">
        <f t="shared" si="25"/>
        <v/>
      </c>
      <c r="I52" s="48" t="str">
        <f t="shared" si="26"/>
        <v/>
      </c>
      <c r="J52" s="7"/>
      <c r="K52" s="9"/>
      <c r="L52" s="5"/>
      <c r="M52" s="65">
        <f t="shared" si="21"/>
        <v>0</v>
      </c>
      <c r="N52" s="87">
        <f t="shared" si="9"/>
        <v>0</v>
      </c>
      <c r="O52" s="69"/>
      <c r="P52" s="65">
        <f t="shared" si="2"/>
        <v>8</v>
      </c>
      <c r="Q52" s="103">
        <v>8</v>
      </c>
      <c r="R52" s="88"/>
      <c r="S52" s="71"/>
      <c r="AD52" s="190">
        <v>0.35416666666666669</v>
      </c>
    </row>
    <row r="53" spans="1:30" x14ac:dyDescent="0.3">
      <c r="A53">
        <f t="shared" ca="1" si="3"/>
        <v>1</v>
      </c>
      <c r="B53">
        <f t="shared" ca="1" si="0"/>
        <v>0</v>
      </c>
      <c r="C53" t="str">
        <f>"Week "&amp;RIGHT(C59,LEN(C59)-5)+1</f>
        <v>Week 12</v>
      </c>
      <c r="D53" s="26">
        <f>D52+2</f>
        <v>42408</v>
      </c>
      <c r="E53" s="1" t="str">
        <f t="shared" si="22"/>
        <v/>
      </c>
      <c r="F53" s="2" t="str">
        <f t="shared" si="23"/>
        <v/>
      </c>
      <c r="G53" s="27" t="str">
        <f t="shared" si="24"/>
        <v/>
      </c>
      <c r="H53" s="28" t="str">
        <f t="shared" si="25"/>
        <v/>
      </c>
      <c r="I53" s="49" t="str">
        <f t="shared" si="26"/>
        <v/>
      </c>
      <c r="J53" s="1"/>
      <c r="K53" s="3"/>
      <c r="L53" s="2"/>
      <c r="M53" s="64">
        <f t="shared" si="21"/>
        <v>0</v>
      </c>
      <c r="N53" s="75">
        <f t="shared" si="9"/>
        <v>0</v>
      </c>
      <c r="O53" s="80"/>
      <c r="P53" s="64">
        <f t="shared" si="2"/>
        <v>4</v>
      </c>
      <c r="Q53" s="95">
        <v>4</v>
      </c>
      <c r="R53" s="78"/>
      <c r="S53" s="71"/>
      <c r="T53" s="17">
        <f>SUM(Q53:R58)</f>
        <v>32</v>
      </c>
      <c r="U53" s="17">
        <f>SUM(M53:M58)-SUM(P53:P58)</f>
        <v>-32</v>
      </c>
      <c r="V53" s="17">
        <f>SUM($M$5:M52)-SUM($S$5:S52)</f>
        <v>0</v>
      </c>
      <c r="Y53" t="s">
        <v>1023</v>
      </c>
      <c r="AD53" s="190">
        <v>0.3520833333333333</v>
      </c>
    </row>
    <row r="54" spans="1:30" x14ac:dyDescent="0.3">
      <c r="A54">
        <f t="shared" ca="1" si="3"/>
        <v>1</v>
      </c>
      <c r="B54">
        <f t="shared" ca="1" si="0"/>
        <v>0</v>
      </c>
      <c r="C54">
        <f>SUM(E53:E58)</f>
        <v>0</v>
      </c>
      <c r="D54" s="29">
        <f>D53+1</f>
        <v>42409</v>
      </c>
      <c r="E54" s="4" t="str">
        <f t="shared" si="22"/>
        <v/>
      </c>
      <c r="F54" s="5" t="str">
        <f t="shared" si="23"/>
        <v/>
      </c>
      <c r="G54" s="30" t="str">
        <f t="shared" si="24"/>
        <v/>
      </c>
      <c r="H54" s="31" t="str">
        <f t="shared" si="25"/>
        <v/>
      </c>
      <c r="I54" s="47" t="str">
        <f t="shared" si="26"/>
        <v/>
      </c>
      <c r="J54" s="4"/>
      <c r="K54" s="6"/>
      <c r="L54" s="5"/>
      <c r="M54" s="64">
        <f t="shared" si="21"/>
        <v>0</v>
      </c>
      <c r="N54" s="75">
        <f t="shared" si="9"/>
        <v>-1</v>
      </c>
      <c r="O54" s="80">
        <v>1</v>
      </c>
      <c r="P54" s="64">
        <f t="shared" si="2"/>
        <v>4</v>
      </c>
      <c r="Q54" s="103">
        <v>4</v>
      </c>
      <c r="R54" s="78"/>
      <c r="S54" s="71"/>
      <c r="Y54" t="s">
        <v>1024</v>
      </c>
      <c r="AD54" s="190">
        <v>0.3520833333333333</v>
      </c>
    </row>
    <row r="55" spans="1:30" x14ac:dyDescent="0.3">
      <c r="A55">
        <f t="shared" ca="1" si="3"/>
        <v>1</v>
      </c>
      <c r="B55">
        <f t="shared" ca="1" si="0"/>
        <v>0</v>
      </c>
      <c r="D55" s="29">
        <f t="shared" ref="D55:D58" si="29">D54+1</f>
        <v>42410</v>
      </c>
      <c r="E55" s="4" t="str">
        <f t="shared" si="22"/>
        <v/>
      </c>
      <c r="F55" s="5" t="str">
        <f t="shared" si="23"/>
        <v/>
      </c>
      <c r="G55" s="30" t="str">
        <f t="shared" si="24"/>
        <v/>
      </c>
      <c r="H55" s="31" t="str">
        <f t="shared" si="25"/>
        <v/>
      </c>
      <c r="I55" s="47" t="str">
        <f t="shared" si="26"/>
        <v/>
      </c>
      <c r="J55" s="4"/>
      <c r="K55" s="6"/>
      <c r="L55" s="5"/>
      <c r="M55" s="64">
        <f t="shared" si="21"/>
        <v>0</v>
      </c>
      <c r="N55" s="75">
        <f t="shared" si="9"/>
        <v>-1</v>
      </c>
      <c r="O55" s="80">
        <v>1</v>
      </c>
      <c r="P55" s="64">
        <f t="shared" si="2"/>
        <v>4</v>
      </c>
      <c r="Q55" s="103">
        <v>4</v>
      </c>
      <c r="R55" s="78"/>
      <c r="S55" s="71"/>
      <c r="Y55" t="s">
        <v>1025</v>
      </c>
      <c r="AD55" s="190">
        <v>0.3520833333333333</v>
      </c>
    </row>
    <row r="56" spans="1:30" x14ac:dyDescent="0.3">
      <c r="A56">
        <f t="shared" ca="1" si="3"/>
        <v>1</v>
      </c>
      <c r="B56">
        <f t="shared" ca="1" si="0"/>
        <v>0</v>
      </c>
      <c r="D56" s="29">
        <f t="shared" si="29"/>
        <v>42411</v>
      </c>
      <c r="E56" s="4" t="str">
        <f t="shared" si="22"/>
        <v/>
      </c>
      <c r="F56" s="5" t="str">
        <f t="shared" si="23"/>
        <v/>
      </c>
      <c r="G56" s="30" t="str">
        <f t="shared" si="24"/>
        <v/>
      </c>
      <c r="H56" s="31" t="str">
        <f t="shared" si="25"/>
        <v/>
      </c>
      <c r="I56" s="47" t="str">
        <f t="shared" si="26"/>
        <v/>
      </c>
      <c r="J56" s="4"/>
      <c r="K56" s="6"/>
      <c r="L56" s="5"/>
      <c r="M56" s="64">
        <f t="shared" si="21"/>
        <v>0</v>
      </c>
      <c r="N56" s="75">
        <f t="shared" si="9"/>
        <v>-1</v>
      </c>
      <c r="O56" s="80">
        <v>1</v>
      </c>
      <c r="P56" s="64">
        <f t="shared" si="2"/>
        <v>8</v>
      </c>
      <c r="Q56" s="103">
        <v>4</v>
      </c>
      <c r="R56" s="78">
        <v>4</v>
      </c>
      <c r="S56" s="71"/>
      <c r="Y56" t="s">
        <v>1026</v>
      </c>
      <c r="AD56" s="190">
        <v>0.34722222222222227</v>
      </c>
    </row>
    <row r="57" spans="1:30" x14ac:dyDescent="0.3">
      <c r="A57">
        <f t="shared" ca="1" si="3"/>
        <v>1</v>
      </c>
      <c r="B57">
        <f t="shared" ca="1" si="0"/>
        <v>0</v>
      </c>
      <c r="D57" s="29">
        <f t="shared" si="29"/>
        <v>42412</v>
      </c>
      <c r="E57" s="4" t="str">
        <f t="shared" si="22"/>
        <v/>
      </c>
      <c r="F57" s="5" t="str">
        <f t="shared" si="23"/>
        <v/>
      </c>
      <c r="G57" s="30" t="str">
        <f t="shared" si="24"/>
        <v/>
      </c>
      <c r="H57" s="31" t="str">
        <f t="shared" si="25"/>
        <v/>
      </c>
      <c r="I57" s="47" t="str">
        <f t="shared" si="26"/>
        <v/>
      </c>
      <c r="J57" s="4"/>
      <c r="K57" s="6"/>
      <c r="L57" s="5"/>
      <c r="M57" s="64">
        <f t="shared" si="21"/>
        <v>0</v>
      </c>
      <c r="N57" s="75">
        <f t="shared" si="9"/>
        <v>0</v>
      </c>
      <c r="O57" s="80"/>
      <c r="P57" s="64">
        <f t="shared" si="2"/>
        <v>4</v>
      </c>
      <c r="Q57" s="103">
        <v>4</v>
      </c>
      <c r="R57" s="78"/>
      <c r="S57" s="71"/>
      <c r="Y57" t="s">
        <v>1027</v>
      </c>
      <c r="Z57" t="s">
        <v>1028</v>
      </c>
      <c r="AA57" t="s">
        <v>1029</v>
      </c>
      <c r="AB57">
        <f>12+24+21</f>
        <v>57</v>
      </c>
    </row>
    <row r="58" spans="1:30" ht="15" thickBot="1" x14ac:dyDescent="0.35">
      <c r="A58">
        <f t="shared" ca="1" si="3"/>
        <v>1</v>
      </c>
      <c r="B58">
        <f t="shared" ca="1" si="0"/>
        <v>0</v>
      </c>
      <c r="D58" s="29">
        <f t="shared" si="29"/>
        <v>42413</v>
      </c>
      <c r="E58" s="7" t="str">
        <f t="shared" si="22"/>
        <v/>
      </c>
      <c r="F58" s="8" t="str">
        <f t="shared" si="23"/>
        <v/>
      </c>
      <c r="G58" s="33" t="str">
        <f t="shared" si="24"/>
        <v/>
      </c>
      <c r="H58" s="34" t="str">
        <f t="shared" si="25"/>
        <v/>
      </c>
      <c r="I58" s="48" t="str">
        <f t="shared" si="26"/>
        <v/>
      </c>
      <c r="J58" s="7"/>
      <c r="K58" s="9"/>
      <c r="L58" s="8"/>
      <c r="M58" s="65">
        <f t="shared" si="21"/>
        <v>0</v>
      </c>
      <c r="N58" s="87">
        <f t="shared" si="9"/>
        <v>0</v>
      </c>
      <c r="O58" s="69"/>
      <c r="P58" s="65">
        <f t="shared" si="2"/>
        <v>8</v>
      </c>
      <c r="Q58" s="103">
        <v>8</v>
      </c>
      <c r="R58" s="88"/>
      <c r="S58" s="71"/>
    </row>
    <row r="59" spans="1:30" x14ac:dyDescent="0.3">
      <c r="A59">
        <f t="shared" ca="1" si="3"/>
        <v>1</v>
      </c>
      <c r="B59">
        <f t="shared" ca="1" si="0"/>
        <v>0</v>
      </c>
      <c r="C59" t="str">
        <f>"Week "&amp;RIGHT(C65,LEN(C65)-5)+1</f>
        <v>Week 11</v>
      </c>
      <c r="D59" s="26">
        <f>D58+2</f>
        <v>42415</v>
      </c>
      <c r="E59" s="1" t="str">
        <f t="shared" si="22"/>
        <v/>
      </c>
      <c r="F59" s="2" t="str">
        <f t="shared" si="23"/>
        <v/>
      </c>
      <c r="G59" s="27" t="str">
        <f t="shared" si="24"/>
        <v/>
      </c>
      <c r="H59" s="28" t="str">
        <f t="shared" si="25"/>
        <v/>
      </c>
      <c r="I59" s="49" t="str">
        <f t="shared" si="26"/>
        <v/>
      </c>
      <c r="J59" s="1"/>
      <c r="K59" s="3"/>
      <c r="L59" s="5"/>
      <c r="M59" s="64">
        <f t="shared" si="21"/>
        <v>0</v>
      </c>
      <c r="N59" s="75">
        <f t="shared" si="9"/>
        <v>-1</v>
      </c>
      <c r="O59" s="80">
        <v>1</v>
      </c>
      <c r="P59" s="64">
        <f t="shared" si="2"/>
        <v>4</v>
      </c>
      <c r="Q59" s="95">
        <v>4</v>
      </c>
      <c r="R59" s="78"/>
      <c r="S59" s="71"/>
      <c r="T59" s="17">
        <f>SUM(Q59:R64)</f>
        <v>32</v>
      </c>
      <c r="U59" s="17">
        <f>SUM(M59:M64)-SUM(P59:P64)</f>
        <v>-32</v>
      </c>
      <c r="V59" s="17">
        <f>SUM($M$5:M58)-SUM($S$5:S58)</f>
        <v>0</v>
      </c>
      <c r="AD59" s="190">
        <v>0.36805555555555558</v>
      </c>
    </row>
    <row r="60" spans="1:30" x14ac:dyDescent="0.3">
      <c r="A60">
        <f t="shared" ca="1" si="3"/>
        <v>1</v>
      </c>
      <c r="B60">
        <f t="shared" ca="1" si="0"/>
        <v>0</v>
      </c>
      <c r="C60">
        <f>SUM(E59:E64)</f>
        <v>16.75</v>
      </c>
      <c r="D60" s="29">
        <f>D59+1</f>
        <v>42416</v>
      </c>
      <c r="E60" s="4" t="str">
        <f t="shared" si="22"/>
        <v/>
      </c>
      <c r="F60" s="5" t="str">
        <f t="shared" si="23"/>
        <v/>
      </c>
      <c r="G60" s="30" t="str">
        <f t="shared" si="24"/>
        <v/>
      </c>
      <c r="H60" s="31" t="str">
        <f t="shared" si="25"/>
        <v/>
      </c>
      <c r="I60" s="47" t="str">
        <f t="shared" si="26"/>
        <v/>
      </c>
      <c r="J60" s="4"/>
      <c r="K60" s="6"/>
      <c r="L60" s="5"/>
      <c r="M60" s="64">
        <f t="shared" si="21"/>
        <v>0</v>
      </c>
      <c r="N60" s="75">
        <f t="shared" si="9"/>
        <v>-1</v>
      </c>
      <c r="O60" s="80">
        <v>1</v>
      </c>
      <c r="P60" s="64">
        <f t="shared" si="2"/>
        <v>4</v>
      </c>
      <c r="Q60" s="103">
        <v>4</v>
      </c>
      <c r="R60" s="78"/>
      <c r="S60" s="71"/>
      <c r="AD60" s="190">
        <v>0.34375</v>
      </c>
    </row>
    <row r="61" spans="1:30" x14ac:dyDescent="0.3">
      <c r="A61">
        <f t="shared" ca="1" si="3"/>
        <v>1</v>
      </c>
      <c r="B61">
        <f t="shared" ca="1" si="0"/>
        <v>0</v>
      </c>
      <c r="D61" s="29">
        <f t="shared" ref="D61:D64" si="30">D60+1</f>
        <v>42417</v>
      </c>
      <c r="E61" s="4" t="str">
        <f t="shared" si="22"/>
        <v/>
      </c>
      <c r="F61" s="5" t="str">
        <f t="shared" si="23"/>
        <v/>
      </c>
      <c r="G61" s="30" t="str">
        <f t="shared" si="24"/>
        <v/>
      </c>
      <c r="H61" s="31" t="str">
        <f t="shared" si="25"/>
        <v/>
      </c>
      <c r="I61" s="47" t="str">
        <f t="shared" si="26"/>
        <v/>
      </c>
      <c r="J61" s="4"/>
      <c r="K61" s="6"/>
      <c r="L61" s="5"/>
      <c r="M61" s="64">
        <f t="shared" si="21"/>
        <v>0</v>
      </c>
      <c r="N61" s="75">
        <f t="shared" si="9"/>
        <v>-1</v>
      </c>
      <c r="O61" s="80">
        <v>1</v>
      </c>
      <c r="P61" s="64">
        <f t="shared" si="2"/>
        <v>4</v>
      </c>
      <c r="Q61" s="103">
        <v>4</v>
      </c>
      <c r="R61" s="78"/>
      <c r="S61" s="71"/>
    </row>
    <row r="62" spans="1:30" x14ac:dyDescent="0.3">
      <c r="A62">
        <f t="shared" ca="1" si="3"/>
        <v>1</v>
      </c>
      <c r="B62">
        <f t="shared" ca="1" si="0"/>
        <v>0</v>
      </c>
      <c r="D62" s="29">
        <f t="shared" si="30"/>
        <v>42418</v>
      </c>
      <c r="E62" s="4">
        <f t="shared" si="22"/>
        <v>16.75</v>
      </c>
      <c r="F62" s="5">
        <f t="shared" si="23"/>
        <v>9.25</v>
      </c>
      <c r="G62" s="30">
        <f t="shared" si="24"/>
        <v>57.650000002468005</v>
      </c>
      <c r="H62" s="31">
        <f t="shared" si="25"/>
        <v>0.55223880597014929</v>
      </c>
      <c r="I62" s="47">
        <f t="shared" si="26"/>
        <v>3.441791044923463</v>
      </c>
      <c r="J62" s="4"/>
      <c r="K62" s="6"/>
      <c r="L62" s="5"/>
      <c r="M62" s="64">
        <f t="shared" si="21"/>
        <v>0</v>
      </c>
      <c r="N62" s="75">
        <f t="shared" si="9"/>
        <v>0</v>
      </c>
      <c r="O62" s="80"/>
      <c r="P62" s="64">
        <f t="shared" si="2"/>
        <v>8</v>
      </c>
      <c r="Q62" s="103">
        <v>4</v>
      </c>
      <c r="R62" s="78">
        <v>4</v>
      </c>
      <c r="S62" s="71"/>
    </row>
    <row r="63" spans="1:30" x14ac:dyDescent="0.3">
      <c r="A63">
        <f t="shared" ca="1" si="3"/>
        <v>1</v>
      </c>
      <c r="B63">
        <f t="shared" ca="1" si="0"/>
        <v>0</v>
      </c>
      <c r="D63" s="29">
        <f t="shared" si="30"/>
        <v>42419</v>
      </c>
      <c r="E63" s="4" t="str">
        <f t="shared" si="22"/>
        <v/>
      </c>
      <c r="F63" s="5" t="str">
        <f t="shared" si="23"/>
        <v/>
      </c>
      <c r="G63" s="30" t="str">
        <f t="shared" si="24"/>
        <v/>
      </c>
      <c r="H63" s="31" t="str">
        <f t="shared" si="25"/>
        <v/>
      </c>
      <c r="I63" s="47" t="str">
        <f t="shared" si="26"/>
        <v/>
      </c>
      <c r="J63" s="4"/>
      <c r="K63" s="6"/>
      <c r="L63" s="5"/>
      <c r="M63" s="64">
        <f t="shared" si="21"/>
        <v>0</v>
      </c>
      <c r="N63" s="75">
        <f t="shared" si="9"/>
        <v>-1</v>
      </c>
      <c r="O63" s="80">
        <v>1</v>
      </c>
      <c r="P63" s="64">
        <f t="shared" si="2"/>
        <v>4</v>
      </c>
      <c r="Q63" s="103">
        <v>4</v>
      </c>
      <c r="R63" s="78"/>
      <c r="S63" s="71"/>
    </row>
    <row r="64" spans="1:30" ht="15" thickBot="1" x14ac:dyDescent="0.35">
      <c r="A64">
        <f t="shared" ca="1" si="3"/>
        <v>1</v>
      </c>
      <c r="B64">
        <f t="shared" ca="1" si="0"/>
        <v>0</v>
      </c>
      <c r="D64" s="29">
        <f t="shared" si="30"/>
        <v>42420</v>
      </c>
      <c r="E64" s="7" t="str">
        <f t="shared" si="22"/>
        <v/>
      </c>
      <c r="F64" s="8" t="str">
        <f t="shared" si="23"/>
        <v/>
      </c>
      <c r="G64" s="33" t="str">
        <f t="shared" si="24"/>
        <v/>
      </c>
      <c r="H64" s="34" t="str">
        <f t="shared" si="25"/>
        <v/>
      </c>
      <c r="I64" s="48" t="str">
        <f t="shared" si="26"/>
        <v/>
      </c>
      <c r="J64" s="7"/>
      <c r="K64" s="9"/>
      <c r="L64" s="5"/>
      <c r="M64" s="65">
        <f t="shared" si="21"/>
        <v>0</v>
      </c>
      <c r="N64" s="87">
        <f t="shared" si="9"/>
        <v>0</v>
      </c>
      <c r="O64" s="69"/>
      <c r="P64" s="65">
        <f t="shared" si="2"/>
        <v>8</v>
      </c>
      <c r="Q64" s="103">
        <v>8</v>
      </c>
      <c r="R64" s="88"/>
      <c r="S64" s="71"/>
    </row>
    <row r="65" spans="1:22" x14ac:dyDescent="0.3">
      <c r="A65">
        <f t="shared" ca="1" si="3"/>
        <v>1</v>
      </c>
      <c r="B65">
        <f t="shared" ca="1" si="0"/>
        <v>0</v>
      </c>
      <c r="C65" t="str">
        <f>"Week "&amp;RIGHT(C71,LEN(C71)-5)+1</f>
        <v>Week 10</v>
      </c>
      <c r="D65" s="26">
        <f>D64+2</f>
        <v>42422</v>
      </c>
      <c r="E65" s="1" t="str">
        <f t="shared" si="22"/>
        <v/>
      </c>
      <c r="F65" s="2" t="str">
        <f t="shared" si="23"/>
        <v/>
      </c>
      <c r="G65" s="27" t="str">
        <f t="shared" si="24"/>
        <v/>
      </c>
      <c r="H65" s="28" t="str">
        <f t="shared" si="25"/>
        <v/>
      </c>
      <c r="I65" s="49" t="str">
        <f t="shared" si="26"/>
        <v/>
      </c>
      <c r="J65" s="1"/>
      <c r="K65" s="3"/>
      <c r="L65" s="2"/>
      <c r="M65" s="64">
        <f t="shared" si="21"/>
        <v>0</v>
      </c>
      <c r="N65" s="75">
        <f t="shared" si="9"/>
        <v>-1</v>
      </c>
      <c r="O65" s="80">
        <v>1</v>
      </c>
      <c r="P65" s="64">
        <f t="shared" si="2"/>
        <v>4</v>
      </c>
      <c r="Q65" s="95">
        <v>4</v>
      </c>
      <c r="R65" s="78"/>
      <c r="S65" s="71"/>
      <c r="T65" s="17">
        <f>SUM(Q65:R70)</f>
        <v>32</v>
      </c>
      <c r="U65" s="17">
        <f>SUM(M65:M70)-SUM(P65:P70)</f>
        <v>-32</v>
      </c>
      <c r="V65" s="17">
        <f>SUM($M$5:M64)-SUM($S$5:S64)</f>
        <v>0</v>
      </c>
    </row>
    <row r="66" spans="1:22" x14ac:dyDescent="0.3">
      <c r="A66">
        <f t="shared" ca="1" si="3"/>
        <v>1</v>
      </c>
      <c r="B66">
        <f t="shared" ca="1" si="0"/>
        <v>0</v>
      </c>
      <c r="C66">
        <f>SUM(E65:E70)</f>
        <v>18.5</v>
      </c>
      <c r="D66" s="29">
        <f>D65+1</f>
        <v>42423</v>
      </c>
      <c r="E66" s="4" t="str">
        <f t="shared" si="22"/>
        <v/>
      </c>
      <c r="F66" s="5" t="str">
        <f t="shared" si="23"/>
        <v/>
      </c>
      <c r="G66" s="30" t="str">
        <f t="shared" si="24"/>
        <v/>
      </c>
      <c r="H66" s="31" t="str">
        <f t="shared" si="25"/>
        <v/>
      </c>
      <c r="I66" s="47" t="str">
        <f t="shared" si="26"/>
        <v/>
      </c>
      <c r="J66" s="4"/>
      <c r="K66" s="6"/>
      <c r="L66" s="5"/>
      <c r="M66" s="64">
        <f t="shared" si="21"/>
        <v>0</v>
      </c>
      <c r="N66" s="75">
        <f t="shared" si="9"/>
        <v>-1</v>
      </c>
      <c r="O66" s="80">
        <v>1</v>
      </c>
      <c r="P66" s="64">
        <f t="shared" si="2"/>
        <v>4</v>
      </c>
      <c r="Q66" s="103">
        <v>4</v>
      </c>
      <c r="R66" s="78"/>
      <c r="S66" s="71"/>
    </row>
    <row r="67" spans="1:22" x14ac:dyDescent="0.3">
      <c r="A67">
        <f t="shared" ca="1" si="3"/>
        <v>1</v>
      </c>
      <c r="B67">
        <f t="shared" ca="1" si="0"/>
        <v>0</v>
      </c>
      <c r="D67" s="29">
        <f t="shared" ref="D67:D70" si="31">D66+1</f>
        <v>42424</v>
      </c>
      <c r="E67" s="4" t="str">
        <f t="shared" si="22"/>
        <v/>
      </c>
      <c r="F67" s="5" t="str">
        <f t="shared" si="23"/>
        <v/>
      </c>
      <c r="G67" s="30" t="str">
        <f t="shared" si="24"/>
        <v/>
      </c>
      <c r="H67" s="31" t="str">
        <f t="shared" si="25"/>
        <v/>
      </c>
      <c r="I67" s="47" t="str">
        <f t="shared" si="26"/>
        <v/>
      </c>
      <c r="J67" s="4"/>
      <c r="K67" s="6"/>
      <c r="L67" s="5"/>
      <c r="M67" s="64">
        <f t="shared" si="21"/>
        <v>0</v>
      </c>
      <c r="N67" s="75">
        <f t="shared" si="9"/>
        <v>0</v>
      </c>
      <c r="O67" s="80"/>
      <c r="P67" s="64">
        <f t="shared" si="2"/>
        <v>4</v>
      </c>
      <c r="Q67" s="103">
        <v>4</v>
      </c>
      <c r="R67" s="78"/>
      <c r="S67" s="71"/>
    </row>
    <row r="68" spans="1:22" x14ac:dyDescent="0.3">
      <c r="A68">
        <f t="shared" ca="1" si="3"/>
        <v>1</v>
      </c>
      <c r="B68">
        <f t="shared" ca="1" si="0"/>
        <v>0</v>
      </c>
      <c r="D68" s="29">
        <f t="shared" si="31"/>
        <v>42425</v>
      </c>
      <c r="E68" s="4" t="str">
        <f t="shared" si="22"/>
        <v/>
      </c>
      <c r="F68" s="5" t="str">
        <f t="shared" si="23"/>
        <v/>
      </c>
      <c r="G68" s="30" t="str">
        <f t="shared" si="24"/>
        <v/>
      </c>
      <c r="H68" s="31" t="str">
        <f t="shared" si="25"/>
        <v/>
      </c>
      <c r="I68" s="47" t="str">
        <f t="shared" si="26"/>
        <v/>
      </c>
      <c r="J68" s="4"/>
      <c r="K68" s="6"/>
      <c r="L68" s="5"/>
      <c r="M68" s="64">
        <f t="shared" si="21"/>
        <v>0</v>
      </c>
      <c r="N68" s="75">
        <f t="shared" si="9"/>
        <v>-1</v>
      </c>
      <c r="O68" s="80">
        <v>1</v>
      </c>
      <c r="P68" s="64">
        <f t="shared" si="2"/>
        <v>8</v>
      </c>
      <c r="Q68" s="103">
        <v>4</v>
      </c>
      <c r="R68" s="78">
        <v>4</v>
      </c>
      <c r="S68" s="71"/>
    </row>
    <row r="69" spans="1:22" x14ac:dyDescent="0.3">
      <c r="A69">
        <f t="shared" ca="1" si="3"/>
        <v>1</v>
      </c>
      <c r="B69">
        <f t="shared" ref="B69:B82" ca="1" si="32">IF(D69=DATE(YEAR(NOW()),MONTH(NOW()),DAY(NOW())),1,0)</f>
        <v>0</v>
      </c>
      <c r="D69" s="29">
        <f t="shared" si="31"/>
        <v>42426</v>
      </c>
      <c r="E69" s="4">
        <f t="shared" si="22"/>
        <v>18.5</v>
      </c>
      <c r="F69" s="5">
        <f t="shared" si="23"/>
        <v>10.5</v>
      </c>
      <c r="G69" s="30">
        <f t="shared" si="24"/>
        <v>316.66666666208766</v>
      </c>
      <c r="H69" s="31">
        <f t="shared" si="25"/>
        <v>0.56756756756756754</v>
      </c>
      <c r="I69" s="47">
        <f t="shared" si="26"/>
        <v>17.117117116869604</v>
      </c>
      <c r="J69" s="4"/>
      <c r="K69" s="6"/>
      <c r="L69" s="5"/>
      <c r="M69" s="64">
        <f t="shared" ref="M69:M100" si="33">SUMIFS(Timecard.Total,Timecard.Day,D69)/60</f>
        <v>0</v>
      </c>
      <c r="N69" s="75">
        <f t="shared" si="9"/>
        <v>0</v>
      </c>
      <c r="O69" s="80"/>
      <c r="P69" s="64">
        <f t="shared" ref="P69:P82" si="34">IF(Q69&lt;&gt;"",Q69+R69,"")</f>
        <v>4</v>
      </c>
      <c r="Q69" s="103">
        <v>4</v>
      </c>
      <c r="R69" s="78"/>
      <c r="S69" s="71"/>
    </row>
    <row r="70" spans="1:22" ht="15" thickBot="1" x14ac:dyDescent="0.35">
      <c r="A70">
        <f t="shared" ref="A70:A118" ca="1" si="35">IF(D70&lt;=NOW(),1,0)</f>
        <v>1</v>
      </c>
      <c r="B70">
        <f t="shared" ca="1" si="32"/>
        <v>0</v>
      </c>
      <c r="D70" s="29">
        <f t="shared" si="31"/>
        <v>42427</v>
      </c>
      <c r="E70" s="7" t="str">
        <f t="shared" si="22"/>
        <v/>
      </c>
      <c r="F70" s="8" t="str">
        <f t="shared" si="23"/>
        <v/>
      </c>
      <c r="G70" s="33" t="str">
        <f t="shared" si="24"/>
        <v/>
      </c>
      <c r="H70" s="34" t="str">
        <f t="shared" si="25"/>
        <v/>
      </c>
      <c r="I70" s="48" t="str">
        <f t="shared" si="26"/>
        <v/>
      </c>
      <c r="J70" s="7"/>
      <c r="K70" s="9"/>
      <c r="L70" s="8"/>
      <c r="M70" s="65">
        <f t="shared" si="33"/>
        <v>0</v>
      </c>
      <c r="N70" s="87">
        <f t="shared" ref="N70:N130" si="36">M70-O70</f>
        <v>0</v>
      </c>
      <c r="O70" s="69"/>
      <c r="P70" s="64">
        <f t="shared" si="34"/>
        <v>8</v>
      </c>
      <c r="Q70" s="103">
        <v>8</v>
      </c>
      <c r="R70" s="78"/>
      <c r="S70" s="71"/>
    </row>
    <row r="71" spans="1:22" x14ac:dyDescent="0.3">
      <c r="A71">
        <f t="shared" ca="1" si="35"/>
        <v>1</v>
      </c>
      <c r="B71">
        <f t="shared" ca="1" si="32"/>
        <v>0</v>
      </c>
      <c r="C71" t="str">
        <f>"Week "&amp;RIGHT(C77,LEN(C77)-5)+1</f>
        <v>Week 9</v>
      </c>
      <c r="D71" s="26">
        <f>D70+2</f>
        <v>42429</v>
      </c>
      <c r="E71" s="1">
        <f t="shared" si="22"/>
        <v>13</v>
      </c>
      <c r="F71" s="2">
        <f t="shared" si="23"/>
        <v>5.75</v>
      </c>
      <c r="G71" s="27">
        <f t="shared" si="24"/>
        <v>38.716666675172746</v>
      </c>
      <c r="H71" s="28">
        <f t="shared" si="25"/>
        <v>0.44230769230769229</v>
      </c>
      <c r="I71" s="49">
        <f t="shared" si="26"/>
        <v>2.9782051288594422</v>
      </c>
      <c r="J71" s="1"/>
      <c r="K71" s="3"/>
      <c r="L71" s="2"/>
      <c r="M71" s="64">
        <f t="shared" si="33"/>
        <v>0</v>
      </c>
      <c r="N71" s="75">
        <f t="shared" si="36"/>
        <v>-1</v>
      </c>
      <c r="O71" s="66">
        <v>1</v>
      </c>
      <c r="P71" s="63">
        <f t="shared" si="34"/>
        <v>4</v>
      </c>
      <c r="Q71" s="95">
        <v>4</v>
      </c>
      <c r="R71" s="86"/>
      <c r="S71" s="71"/>
      <c r="T71" s="17">
        <f>SUM(Q71:R76)</f>
        <v>32</v>
      </c>
      <c r="U71" s="17">
        <f>SUM(M71:M76)-SUM(P71:P76)</f>
        <v>-32</v>
      </c>
      <c r="V71" s="17">
        <f>SUM($M$5:M70)-SUM($S$5:S70)</f>
        <v>0</v>
      </c>
    </row>
    <row r="72" spans="1:22" x14ac:dyDescent="0.3">
      <c r="A72">
        <f t="shared" ca="1" si="35"/>
        <v>1</v>
      </c>
      <c r="B72">
        <f t="shared" ca="1" si="32"/>
        <v>0</v>
      </c>
      <c r="C72">
        <f>SUM(E71:E76)</f>
        <v>13</v>
      </c>
      <c r="D72" s="29">
        <f>D71+1</f>
        <v>42430</v>
      </c>
      <c r="E72" s="4" t="str">
        <f t="shared" si="22"/>
        <v/>
      </c>
      <c r="F72" s="5" t="str">
        <f t="shared" si="23"/>
        <v/>
      </c>
      <c r="G72" s="30" t="str">
        <f t="shared" si="24"/>
        <v/>
      </c>
      <c r="H72" s="31" t="str">
        <f t="shared" si="25"/>
        <v/>
      </c>
      <c r="I72" s="47" t="str">
        <f t="shared" si="26"/>
        <v/>
      </c>
      <c r="J72" s="4"/>
      <c r="K72" s="6"/>
      <c r="L72" s="5"/>
      <c r="M72" s="64">
        <f t="shared" si="33"/>
        <v>0</v>
      </c>
      <c r="N72" s="75">
        <f t="shared" si="36"/>
        <v>-1</v>
      </c>
      <c r="O72" s="66">
        <v>1</v>
      </c>
      <c r="P72" s="64">
        <f t="shared" si="34"/>
        <v>4</v>
      </c>
      <c r="Q72" s="103">
        <v>4</v>
      </c>
      <c r="R72" s="78"/>
      <c r="S72" s="71"/>
    </row>
    <row r="73" spans="1:22" x14ac:dyDescent="0.3">
      <c r="A73">
        <f t="shared" ca="1" si="35"/>
        <v>1</v>
      </c>
      <c r="B73">
        <f t="shared" ca="1" si="32"/>
        <v>0</v>
      </c>
      <c r="D73" s="29">
        <f t="shared" ref="D73:D76" si="37">D72+1</f>
        <v>42431</v>
      </c>
      <c r="E73" s="4" t="str">
        <f t="shared" si="22"/>
        <v/>
      </c>
      <c r="F73" s="5" t="str">
        <f t="shared" si="23"/>
        <v/>
      </c>
      <c r="G73" s="30" t="str">
        <f t="shared" si="24"/>
        <v/>
      </c>
      <c r="H73" s="31" t="str">
        <f t="shared" si="25"/>
        <v/>
      </c>
      <c r="I73" s="47" t="str">
        <f t="shared" si="26"/>
        <v/>
      </c>
      <c r="J73" s="4"/>
      <c r="K73" s="6"/>
      <c r="L73" s="5"/>
      <c r="M73" s="64">
        <f t="shared" si="33"/>
        <v>0</v>
      </c>
      <c r="N73" s="75">
        <f t="shared" si="36"/>
        <v>-1</v>
      </c>
      <c r="O73" s="66">
        <v>1</v>
      </c>
      <c r="P73" s="64">
        <f t="shared" si="34"/>
        <v>4</v>
      </c>
      <c r="Q73" s="103">
        <v>4</v>
      </c>
      <c r="R73" s="78"/>
      <c r="S73" s="71"/>
    </row>
    <row r="74" spans="1:22" x14ac:dyDescent="0.3">
      <c r="A74">
        <f t="shared" ca="1" si="35"/>
        <v>1</v>
      </c>
      <c r="B74">
        <f t="shared" ca="1" si="32"/>
        <v>0</v>
      </c>
      <c r="C74" t="s">
        <v>803</v>
      </c>
      <c r="D74" s="146">
        <f t="shared" si="37"/>
        <v>42432</v>
      </c>
      <c r="E74" s="147" t="str">
        <f t="shared" si="22"/>
        <v/>
      </c>
      <c r="F74" s="148" t="str">
        <f t="shared" si="23"/>
        <v/>
      </c>
      <c r="G74" s="149" t="str">
        <f t="shared" si="24"/>
        <v/>
      </c>
      <c r="H74" s="150" t="str">
        <f t="shared" si="25"/>
        <v/>
      </c>
      <c r="I74" s="151" t="str">
        <f t="shared" si="26"/>
        <v/>
      </c>
      <c r="J74" s="147"/>
      <c r="K74" s="152"/>
      <c r="L74" s="148"/>
      <c r="M74" s="154">
        <f t="shared" si="33"/>
        <v>0</v>
      </c>
      <c r="N74" s="153">
        <f t="shared" si="36"/>
        <v>0</v>
      </c>
      <c r="O74" s="184"/>
      <c r="P74" s="154">
        <f t="shared" si="34"/>
        <v>8</v>
      </c>
      <c r="Q74" s="153">
        <v>4</v>
      </c>
      <c r="R74" s="155">
        <v>4</v>
      </c>
      <c r="S74" s="71"/>
    </row>
    <row r="75" spans="1:22" x14ac:dyDescent="0.3">
      <c r="A75">
        <f t="shared" ca="1" si="35"/>
        <v>1</v>
      </c>
      <c r="B75">
        <f t="shared" ca="1" si="32"/>
        <v>0</v>
      </c>
      <c r="D75" s="29">
        <f t="shared" si="37"/>
        <v>42433</v>
      </c>
      <c r="E75" s="4" t="str">
        <f t="shared" si="22"/>
        <v/>
      </c>
      <c r="F75" s="5" t="str">
        <f t="shared" si="23"/>
        <v/>
      </c>
      <c r="G75" s="30" t="str">
        <f t="shared" si="24"/>
        <v/>
      </c>
      <c r="H75" s="31" t="str">
        <f t="shared" si="25"/>
        <v/>
      </c>
      <c r="I75" s="47" t="str">
        <f t="shared" si="26"/>
        <v/>
      </c>
      <c r="J75" s="4"/>
      <c r="K75" s="6"/>
      <c r="L75" s="5"/>
      <c r="M75" s="64">
        <f t="shared" si="33"/>
        <v>0</v>
      </c>
      <c r="N75" s="75">
        <f t="shared" si="36"/>
        <v>-1</v>
      </c>
      <c r="O75" s="66">
        <v>1</v>
      </c>
      <c r="P75" s="64">
        <f t="shared" si="34"/>
        <v>4</v>
      </c>
      <c r="Q75" s="103">
        <v>4</v>
      </c>
      <c r="R75" s="78"/>
      <c r="S75" s="71"/>
    </row>
    <row r="76" spans="1:22" ht="15" thickBot="1" x14ac:dyDescent="0.35">
      <c r="A76">
        <f t="shared" ca="1" si="35"/>
        <v>1</v>
      </c>
      <c r="B76">
        <f t="shared" ca="1" si="32"/>
        <v>0</v>
      </c>
      <c r="D76" s="29">
        <f t="shared" si="37"/>
        <v>42434</v>
      </c>
      <c r="E76" s="7" t="str">
        <f t="shared" si="22"/>
        <v/>
      </c>
      <c r="F76" s="8" t="str">
        <f t="shared" si="23"/>
        <v/>
      </c>
      <c r="G76" s="33" t="str">
        <f t="shared" si="24"/>
        <v/>
      </c>
      <c r="H76" s="34" t="str">
        <f t="shared" si="25"/>
        <v/>
      </c>
      <c r="I76" s="48" t="str">
        <f t="shared" si="26"/>
        <v/>
      </c>
      <c r="J76" s="7"/>
      <c r="K76" s="9"/>
      <c r="L76" s="8"/>
      <c r="M76" s="65">
        <f t="shared" si="33"/>
        <v>0</v>
      </c>
      <c r="N76" s="87">
        <f t="shared" si="36"/>
        <v>0</v>
      </c>
      <c r="O76" s="185"/>
      <c r="P76" s="65">
        <f t="shared" si="34"/>
        <v>8</v>
      </c>
      <c r="Q76" s="186">
        <v>8</v>
      </c>
      <c r="R76" s="88"/>
      <c r="S76" s="71"/>
    </row>
    <row r="77" spans="1:22" x14ac:dyDescent="0.3">
      <c r="A77">
        <f t="shared" ca="1" si="35"/>
        <v>1</v>
      </c>
      <c r="B77">
        <f t="shared" ca="1" si="32"/>
        <v>0</v>
      </c>
      <c r="C77" t="str">
        <f>"Week "&amp;RIGHT(C83,LEN(C83)-5)+1</f>
        <v>Week 8</v>
      </c>
      <c r="D77" s="26">
        <f>D76+2</f>
        <v>42436</v>
      </c>
      <c r="E77" s="1" t="str">
        <f t="shared" si="22"/>
        <v/>
      </c>
      <c r="F77" s="2" t="str">
        <f t="shared" si="23"/>
        <v/>
      </c>
      <c r="G77" s="27" t="str">
        <f t="shared" si="24"/>
        <v/>
      </c>
      <c r="H77" s="28" t="str">
        <f t="shared" si="25"/>
        <v/>
      </c>
      <c r="I77" s="49" t="str">
        <f t="shared" si="26"/>
        <v/>
      </c>
      <c r="J77" s="1"/>
      <c r="K77" s="3"/>
      <c r="L77" s="2"/>
      <c r="M77" s="64">
        <f t="shared" si="33"/>
        <v>0</v>
      </c>
      <c r="N77" s="75">
        <f t="shared" si="36"/>
        <v>-1</v>
      </c>
      <c r="O77" s="80">
        <v>1</v>
      </c>
      <c r="P77" s="64">
        <f t="shared" si="34"/>
        <v>4</v>
      </c>
      <c r="Q77" s="103">
        <v>4</v>
      </c>
      <c r="R77" s="78"/>
      <c r="S77" s="71"/>
      <c r="T77" s="17">
        <f>SUM(Q77:R82)</f>
        <v>36</v>
      </c>
      <c r="U77" s="17">
        <f>SUM(M77:M82)-SUM(P77:P82)</f>
        <v>-36</v>
      </c>
      <c r="V77" s="17">
        <f>SUM($M$5:M76)-SUM($S$5:S76)</f>
        <v>0</v>
      </c>
    </row>
    <row r="78" spans="1:22" x14ac:dyDescent="0.3">
      <c r="A78">
        <f t="shared" ca="1" si="35"/>
        <v>1</v>
      </c>
      <c r="B78">
        <f t="shared" ca="1" si="32"/>
        <v>0</v>
      </c>
      <c r="C78">
        <f>SUM(E77:E82)</f>
        <v>0</v>
      </c>
      <c r="D78" s="29">
        <f>D77+1</f>
        <v>42437</v>
      </c>
      <c r="E78" s="4" t="str">
        <f t="shared" si="22"/>
        <v/>
      </c>
      <c r="F78" s="5" t="str">
        <f t="shared" si="23"/>
        <v/>
      </c>
      <c r="G78" s="30" t="str">
        <f t="shared" si="24"/>
        <v/>
      </c>
      <c r="H78" s="31" t="str">
        <f t="shared" si="25"/>
        <v/>
      </c>
      <c r="I78" s="47" t="str">
        <f t="shared" si="26"/>
        <v/>
      </c>
      <c r="J78" s="4"/>
      <c r="K78" s="6"/>
      <c r="L78" s="5"/>
      <c r="M78" s="64">
        <f t="shared" si="33"/>
        <v>0</v>
      </c>
      <c r="N78" s="75">
        <f t="shared" si="36"/>
        <v>-1</v>
      </c>
      <c r="O78" s="80">
        <v>1</v>
      </c>
      <c r="P78" s="64">
        <f t="shared" si="34"/>
        <v>4</v>
      </c>
      <c r="Q78" s="103">
        <v>4</v>
      </c>
      <c r="R78" s="78"/>
      <c r="S78" s="71"/>
    </row>
    <row r="79" spans="1:22" x14ac:dyDescent="0.3">
      <c r="A79">
        <f t="shared" ca="1" si="35"/>
        <v>1</v>
      </c>
      <c r="B79">
        <f t="shared" ca="1" si="32"/>
        <v>0</v>
      </c>
      <c r="D79" s="29">
        <f t="shared" ref="D79:D82" si="38">D78+1</f>
        <v>42438</v>
      </c>
      <c r="E79" s="4" t="str">
        <f t="shared" si="22"/>
        <v/>
      </c>
      <c r="F79" s="5" t="str">
        <f t="shared" si="23"/>
        <v/>
      </c>
      <c r="G79" s="30" t="str">
        <f t="shared" si="24"/>
        <v/>
      </c>
      <c r="H79" s="31" t="str">
        <f t="shared" si="25"/>
        <v/>
      </c>
      <c r="I79" s="47" t="str">
        <f t="shared" si="26"/>
        <v/>
      </c>
      <c r="J79" s="4"/>
      <c r="K79" s="6"/>
      <c r="L79" s="5"/>
      <c r="M79" s="64">
        <f t="shared" si="33"/>
        <v>0</v>
      </c>
      <c r="N79" s="75">
        <f t="shared" si="36"/>
        <v>-1</v>
      </c>
      <c r="O79" s="80">
        <v>1</v>
      </c>
      <c r="P79" s="64">
        <f t="shared" si="34"/>
        <v>8</v>
      </c>
      <c r="Q79" s="103">
        <v>4</v>
      </c>
      <c r="R79" s="78">
        <v>4</v>
      </c>
      <c r="S79" s="71"/>
    </row>
    <row r="80" spans="1:22" x14ac:dyDescent="0.3">
      <c r="A80">
        <f t="shared" ca="1" si="35"/>
        <v>1</v>
      </c>
      <c r="B80">
        <f t="shared" ca="1" si="32"/>
        <v>0</v>
      </c>
      <c r="D80" s="29">
        <f t="shared" si="38"/>
        <v>42439</v>
      </c>
      <c r="E80" s="4" t="str">
        <f t="shared" si="22"/>
        <v/>
      </c>
      <c r="F80" s="5" t="str">
        <f t="shared" si="23"/>
        <v/>
      </c>
      <c r="G80" s="30" t="str">
        <f t="shared" si="24"/>
        <v/>
      </c>
      <c r="H80" s="31" t="str">
        <f t="shared" si="25"/>
        <v/>
      </c>
      <c r="I80" s="47" t="str">
        <f t="shared" si="26"/>
        <v/>
      </c>
      <c r="J80" s="4"/>
      <c r="K80" s="6"/>
      <c r="L80" s="5"/>
      <c r="M80" s="64">
        <f t="shared" si="33"/>
        <v>0</v>
      </c>
      <c r="N80" s="75">
        <f t="shared" si="36"/>
        <v>-1</v>
      </c>
      <c r="O80" s="80">
        <v>1</v>
      </c>
      <c r="P80" s="64">
        <f t="shared" si="34"/>
        <v>8</v>
      </c>
      <c r="Q80" s="103">
        <v>4</v>
      </c>
      <c r="R80" s="78">
        <v>4</v>
      </c>
      <c r="S80" s="71"/>
    </row>
    <row r="81" spans="1:27" x14ac:dyDescent="0.3">
      <c r="A81">
        <f t="shared" ca="1" si="35"/>
        <v>1</v>
      </c>
      <c r="B81">
        <f t="shared" ca="1" si="32"/>
        <v>0</v>
      </c>
      <c r="D81" s="29">
        <f t="shared" si="38"/>
        <v>42440</v>
      </c>
      <c r="E81" s="4" t="str">
        <f t="shared" si="22"/>
        <v/>
      </c>
      <c r="F81" s="5" t="str">
        <f t="shared" si="23"/>
        <v/>
      </c>
      <c r="G81" s="30" t="str">
        <f t="shared" si="24"/>
        <v/>
      </c>
      <c r="H81" s="31" t="str">
        <f t="shared" si="25"/>
        <v/>
      </c>
      <c r="I81" s="47" t="str">
        <f t="shared" si="26"/>
        <v/>
      </c>
      <c r="J81" s="4"/>
      <c r="K81" s="6"/>
      <c r="L81" s="5"/>
      <c r="M81" s="64">
        <f t="shared" si="33"/>
        <v>0</v>
      </c>
      <c r="N81" s="75">
        <f t="shared" si="36"/>
        <v>0</v>
      </c>
      <c r="O81" s="80"/>
      <c r="P81" s="64">
        <f t="shared" si="34"/>
        <v>4</v>
      </c>
      <c r="Q81" s="103">
        <v>4</v>
      </c>
      <c r="R81" s="78"/>
      <c r="S81" s="71"/>
    </row>
    <row r="82" spans="1:27" ht="15" thickBot="1" x14ac:dyDescent="0.35">
      <c r="A82">
        <f t="shared" ca="1" si="35"/>
        <v>1</v>
      </c>
      <c r="B82">
        <f t="shared" ca="1" si="32"/>
        <v>0</v>
      </c>
      <c r="D82" s="29">
        <f t="shared" si="38"/>
        <v>42441</v>
      </c>
      <c r="E82" s="7" t="str">
        <f t="shared" si="22"/>
        <v/>
      </c>
      <c r="F82" s="8" t="str">
        <f t="shared" si="23"/>
        <v/>
      </c>
      <c r="G82" s="33" t="str">
        <f t="shared" si="24"/>
        <v/>
      </c>
      <c r="H82" s="34" t="str">
        <f t="shared" si="25"/>
        <v/>
      </c>
      <c r="I82" s="48" t="str">
        <f t="shared" si="26"/>
        <v/>
      </c>
      <c r="J82" s="7"/>
      <c r="K82" s="9"/>
      <c r="L82" s="8"/>
      <c r="M82" s="64">
        <f t="shared" si="33"/>
        <v>0</v>
      </c>
      <c r="N82" s="75">
        <f t="shared" si="36"/>
        <v>0</v>
      </c>
      <c r="O82" s="80"/>
      <c r="P82" s="64">
        <f t="shared" si="34"/>
        <v>8</v>
      </c>
      <c r="Q82" s="103">
        <v>8</v>
      </c>
      <c r="R82" s="78"/>
      <c r="S82" s="71"/>
    </row>
    <row r="83" spans="1:27" x14ac:dyDescent="0.3">
      <c r="A83">
        <f t="shared" ca="1" si="35"/>
        <v>1</v>
      </c>
      <c r="B83">
        <f t="shared" ref="B83:B118" ca="1" si="39">IF(D83=DATE(YEAR(NOW()),MONTH(NOW()),DAY(NOW())),1,0)</f>
        <v>0</v>
      </c>
      <c r="C83" t="str">
        <f>"Week "&amp;RIGHT(C89,LEN(C89)-5)+1</f>
        <v>Week 7</v>
      </c>
      <c r="D83" s="26">
        <f>D82+2</f>
        <v>42443</v>
      </c>
      <c r="E83" s="1">
        <f t="shared" si="22"/>
        <v>10</v>
      </c>
      <c r="F83" s="2">
        <f t="shared" si="23"/>
        <v>8</v>
      </c>
      <c r="G83" s="27">
        <f t="shared" si="24"/>
        <v>30.533333335770294</v>
      </c>
      <c r="H83" s="28">
        <f t="shared" si="25"/>
        <v>0.8</v>
      </c>
      <c r="I83" s="49">
        <f t="shared" si="26"/>
        <v>3.0533333335770294</v>
      </c>
      <c r="J83" s="1"/>
      <c r="K83" s="3"/>
      <c r="L83" s="2"/>
      <c r="M83" s="63">
        <f t="shared" si="33"/>
        <v>0</v>
      </c>
      <c r="N83" s="74">
        <f t="shared" si="36"/>
        <v>0</v>
      </c>
      <c r="O83" s="68"/>
      <c r="P83" s="63">
        <f>IF(Q83&lt;&gt;"",Q83+R83,"")</f>
        <v>4</v>
      </c>
      <c r="Q83" s="95">
        <v>4</v>
      </c>
      <c r="R83" s="86"/>
      <c r="S83" s="85"/>
      <c r="T83" s="17">
        <f>SUM(Q83:R88)</f>
        <v>36</v>
      </c>
      <c r="U83" s="17">
        <f>SUM(M83:M88)-SUM(P83:P88)</f>
        <v>-36</v>
      </c>
      <c r="V83" s="17">
        <f ca="1">IF(A83=0,0,SUM($M$5:M82)-SUM($S$5:S82))</f>
        <v>0</v>
      </c>
      <c r="W83" s="17">
        <f ca="1">$P$4-ReadingIndex!$K$2+(130-$R$4)</f>
        <v>-407.25</v>
      </c>
    </row>
    <row r="84" spans="1:27" x14ac:dyDescent="0.3">
      <c r="A84">
        <f t="shared" ca="1" si="35"/>
        <v>1</v>
      </c>
      <c r="B84">
        <f t="shared" ca="1" si="39"/>
        <v>0</v>
      </c>
      <c r="C84">
        <f>SUM(E83:E88)</f>
        <v>54.75</v>
      </c>
      <c r="D84" s="29">
        <f>D83+1</f>
        <v>42444</v>
      </c>
      <c r="E84" s="4">
        <f t="shared" si="22"/>
        <v>4</v>
      </c>
      <c r="F84" s="5">
        <f t="shared" si="23"/>
        <v>1.5</v>
      </c>
      <c r="G84" s="30">
        <f t="shared" si="24"/>
        <v>16.066666671540588</v>
      </c>
      <c r="H84" s="31">
        <f t="shared" si="25"/>
        <v>0.375</v>
      </c>
      <c r="I84" s="47">
        <f t="shared" si="26"/>
        <v>4.016666667885147</v>
      </c>
      <c r="J84" s="4"/>
      <c r="K84" s="6"/>
      <c r="L84" s="5"/>
      <c r="M84" s="64">
        <f t="shared" si="33"/>
        <v>0</v>
      </c>
      <c r="N84" s="75">
        <f t="shared" si="36"/>
        <v>0</v>
      </c>
      <c r="O84" s="80"/>
      <c r="P84" s="64">
        <f t="shared" ref="P84:P112" si="40">IF(Q84&lt;&gt;"",Q84+R84,"")</f>
        <v>8</v>
      </c>
      <c r="Q84" s="103">
        <v>4</v>
      </c>
      <c r="R84" s="78">
        <v>4</v>
      </c>
      <c r="S84" s="85"/>
    </row>
    <row r="85" spans="1:27" x14ac:dyDescent="0.3">
      <c r="A85">
        <f t="shared" ca="1" si="35"/>
        <v>1</v>
      </c>
      <c r="B85">
        <f t="shared" ca="1" si="39"/>
        <v>0</v>
      </c>
      <c r="D85" s="29">
        <f t="shared" ref="D85:D88" si="41">D84+1</f>
        <v>42445</v>
      </c>
      <c r="E85" s="4" t="str">
        <f t="shared" si="22"/>
        <v/>
      </c>
      <c r="F85" s="5" t="str">
        <f t="shared" si="23"/>
        <v/>
      </c>
      <c r="G85" s="30" t="str">
        <f t="shared" si="24"/>
        <v/>
      </c>
      <c r="H85" s="31" t="str">
        <f t="shared" si="25"/>
        <v/>
      </c>
      <c r="I85" s="47" t="str">
        <f t="shared" si="26"/>
        <v/>
      </c>
      <c r="J85" s="4"/>
      <c r="K85" s="6"/>
      <c r="L85" s="5"/>
      <c r="M85" s="64">
        <f t="shared" si="33"/>
        <v>0</v>
      </c>
      <c r="N85" s="75">
        <f t="shared" si="36"/>
        <v>-1</v>
      </c>
      <c r="O85" s="80">
        <v>1</v>
      </c>
      <c r="P85" s="64">
        <f t="shared" si="40"/>
        <v>4</v>
      </c>
      <c r="Q85" s="103">
        <v>4</v>
      </c>
      <c r="R85" s="78"/>
      <c r="S85" s="85"/>
    </row>
    <row r="86" spans="1:27" x14ac:dyDescent="0.3">
      <c r="A86">
        <f t="shared" ca="1" si="35"/>
        <v>1</v>
      </c>
      <c r="B86">
        <f t="shared" ca="1" si="39"/>
        <v>0</v>
      </c>
      <c r="D86" s="29">
        <f t="shared" si="41"/>
        <v>42446</v>
      </c>
      <c r="E86" s="4">
        <f t="shared" si="22"/>
        <v>10</v>
      </c>
      <c r="F86" s="5">
        <f t="shared" si="23"/>
        <v>6.5</v>
      </c>
      <c r="G86" s="30">
        <f t="shared" si="24"/>
        <v>42.650000005960464</v>
      </c>
      <c r="H86" s="31">
        <f t="shared" si="25"/>
        <v>0.65</v>
      </c>
      <c r="I86" s="47">
        <f t="shared" si="26"/>
        <v>4.2650000005960464</v>
      </c>
      <c r="J86" s="4"/>
      <c r="K86" s="6"/>
      <c r="L86" s="5"/>
      <c r="M86" s="64">
        <f t="shared" si="33"/>
        <v>0</v>
      </c>
      <c r="N86" s="75">
        <f t="shared" si="36"/>
        <v>-3</v>
      </c>
      <c r="O86" s="80">
        <v>3</v>
      </c>
      <c r="P86" s="64">
        <f t="shared" si="40"/>
        <v>8</v>
      </c>
      <c r="Q86" s="103">
        <v>4</v>
      </c>
      <c r="R86" s="78">
        <v>4</v>
      </c>
      <c r="S86" s="85"/>
      <c r="Y86" s="89"/>
    </row>
    <row r="87" spans="1:27" x14ac:dyDescent="0.3">
      <c r="A87">
        <f t="shared" ca="1" si="35"/>
        <v>1</v>
      </c>
      <c r="B87">
        <f t="shared" ca="1" si="39"/>
        <v>0</v>
      </c>
      <c r="D87" s="29">
        <f t="shared" si="41"/>
        <v>42447</v>
      </c>
      <c r="E87" s="4">
        <f t="shared" si="22"/>
        <v>5</v>
      </c>
      <c r="F87" s="5">
        <f t="shared" si="23"/>
        <v>2.5</v>
      </c>
      <c r="G87" s="30">
        <f t="shared" si="24"/>
        <v>59.683333339635283</v>
      </c>
      <c r="H87" s="31">
        <f t="shared" si="25"/>
        <v>0.5</v>
      </c>
      <c r="I87" s="47">
        <f t="shared" si="26"/>
        <v>11.936666667927057</v>
      </c>
      <c r="J87" s="4"/>
      <c r="K87" s="6"/>
      <c r="L87" s="5"/>
      <c r="M87" s="64">
        <f t="shared" si="33"/>
        <v>0</v>
      </c>
      <c r="N87" s="75">
        <f t="shared" si="36"/>
        <v>0</v>
      </c>
      <c r="O87" s="80"/>
      <c r="P87" s="64">
        <f t="shared" si="40"/>
        <v>4</v>
      </c>
      <c r="Q87" s="103">
        <v>4</v>
      </c>
      <c r="R87" s="78"/>
      <c r="S87" s="85"/>
    </row>
    <row r="88" spans="1:27" ht="15" thickBot="1" x14ac:dyDescent="0.35">
      <c r="A88">
        <f t="shared" ca="1" si="35"/>
        <v>1</v>
      </c>
      <c r="B88">
        <f t="shared" ca="1" si="39"/>
        <v>0</v>
      </c>
      <c r="D88" s="29">
        <f t="shared" si="41"/>
        <v>42448</v>
      </c>
      <c r="E88" s="7">
        <f t="shared" si="22"/>
        <v>25.75</v>
      </c>
      <c r="F88" s="8">
        <f t="shared" si="23"/>
        <v>16.75</v>
      </c>
      <c r="G88" s="33">
        <f t="shared" si="24"/>
        <v>129.23333333688788</v>
      </c>
      <c r="H88" s="34">
        <f t="shared" si="25"/>
        <v>0.65048543689320393</v>
      </c>
      <c r="I88" s="48">
        <f t="shared" si="26"/>
        <v>5.0187702266752572</v>
      </c>
      <c r="J88" s="7"/>
      <c r="K88" s="9"/>
      <c r="L88" s="8"/>
      <c r="M88" s="65">
        <f>SUMIFS(Timecard.Total,Timecard.Day,D88)/60</f>
        <v>0</v>
      </c>
      <c r="N88" s="87">
        <f>M88-O88</f>
        <v>0</v>
      </c>
      <c r="O88" s="69"/>
      <c r="P88" s="65">
        <f t="shared" si="40"/>
        <v>8</v>
      </c>
      <c r="Q88" s="103">
        <v>8</v>
      </c>
      <c r="R88" s="88"/>
      <c r="S88" s="85"/>
    </row>
    <row r="89" spans="1:27" x14ac:dyDescent="0.3">
      <c r="A89">
        <f t="shared" ca="1" si="35"/>
        <v>1</v>
      </c>
      <c r="B89">
        <f t="shared" ca="1" si="39"/>
        <v>0</v>
      </c>
      <c r="C89" t="str">
        <f>"Week "&amp;RIGHT(C95,LEN(C95)-5)+1</f>
        <v>Week 6</v>
      </c>
      <c r="D89" s="26">
        <f>D88+2</f>
        <v>42450</v>
      </c>
      <c r="E89" s="1">
        <f t="shared" si="22"/>
        <v>21.25</v>
      </c>
      <c r="F89" s="2">
        <f t="shared" si="23"/>
        <v>13</v>
      </c>
      <c r="G89" s="27">
        <f t="shared" si="24"/>
        <v>210.03333333414048</v>
      </c>
      <c r="H89" s="28">
        <f t="shared" si="25"/>
        <v>0.61176470588235299</v>
      </c>
      <c r="I89" s="49">
        <f t="shared" si="26"/>
        <v>9.8839215686654338</v>
      </c>
      <c r="J89" s="1"/>
      <c r="K89" s="3"/>
      <c r="L89" s="2"/>
      <c r="M89" s="63">
        <f t="shared" si="33"/>
        <v>0</v>
      </c>
      <c r="N89" s="74">
        <f t="shared" si="36"/>
        <v>-2</v>
      </c>
      <c r="O89" s="68">
        <v>2</v>
      </c>
      <c r="P89" s="63">
        <f t="shared" si="40"/>
        <v>5</v>
      </c>
      <c r="Q89" s="95">
        <v>5</v>
      </c>
      <c r="R89" s="86"/>
      <c r="S89" s="85"/>
      <c r="T89" s="17">
        <f>SUM(Q89:R94)</f>
        <v>41</v>
      </c>
      <c r="U89" s="17">
        <f>SUM(M89:M94)-SUM(P89:P94)</f>
        <v>-37</v>
      </c>
      <c r="V89" s="17">
        <f ca="1">IF(A89=0,0,SUM($M$5:M88)-SUM($S$5:S88))</f>
        <v>0</v>
      </c>
      <c r="W89" s="17">
        <f ca="1">$P$4-ReadingIndex!$K$2+(130-$R$4)</f>
        <v>-407.25</v>
      </c>
    </row>
    <row r="90" spans="1:27" x14ac:dyDescent="0.3">
      <c r="A90">
        <f t="shared" ca="1" si="35"/>
        <v>1</v>
      </c>
      <c r="B90">
        <f t="shared" ca="1" si="39"/>
        <v>0</v>
      </c>
      <c r="C90">
        <f>SUM(E89:E94)</f>
        <v>76</v>
      </c>
      <c r="D90" s="29">
        <f>D89+1</f>
        <v>42451</v>
      </c>
      <c r="E90" s="4" t="str">
        <f t="shared" si="22"/>
        <v/>
      </c>
      <c r="F90" s="5" t="str">
        <f t="shared" si="23"/>
        <v/>
      </c>
      <c r="G90" s="30" t="str">
        <f t="shared" si="24"/>
        <v/>
      </c>
      <c r="H90" s="31" t="str">
        <f t="shared" si="25"/>
        <v/>
      </c>
      <c r="I90" s="47" t="str">
        <f t="shared" si="26"/>
        <v/>
      </c>
      <c r="J90" s="4"/>
      <c r="K90" s="6"/>
      <c r="L90" s="5"/>
      <c r="M90" s="40">
        <f t="shared" si="33"/>
        <v>0</v>
      </c>
      <c r="N90" s="66">
        <f t="shared" si="36"/>
        <v>0</v>
      </c>
      <c r="O90" s="80"/>
      <c r="P90" s="64">
        <f t="shared" si="40"/>
        <v>9</v>
      </c>
      <c r="Q90" s="103">
        <v>5</v>
      </c>
      <c r="R90" s="78">
        <v>4</v>
      </c>
      <c r="S90" s="85"/>
      <c r="AA90" s="54"/>
    </row>
    <row r="91" spans="1:27" x14ac:dyDescent="0.3">
      <c r="A91">
        <f t="shared" ca="1" si="35"/>
        <v>1</v>
      </c>
      <c r="B91">
        <f t="shared" ca="1" si="39"/>
        <v>0</v>
      </c>
      <c r="D91" s="29">
        <f t="shared" ref="D91:D94" si="42">D90+1</f>
        <v>42452</v>
      </c>
      <c r="E91" s="4">
        <f t="shared" si="22"/>
        <v>11.25</v>
      </c>
      <c r="F91" s="5">
        <f t="shared" si="23"/>
        <v>7</v>
      </c>
      <c r="G91" s="30">
        <f t="shared" si="24"/>
        <v>58.333333327900618</v>
      </c>
      <c r="H91" s="31">
        <f t="shared" si="25"/>
        <v>0.62222222222222223</v>
      </c>
      <c r="I91" s="47">
        <f t="shared" si="26"/>
        <v>5.1851851847022772</v>
      </c>
      <c r="J91" s="4"/>
      <c r="K91" s="6"/>
      <c r="L91" s="5"/>
      <c r="M91" s="64">
        <v>4</v>
      </c>
      <c r="N91" s="75">
        <f t="shared" si="36"/>
        <v>3</v>
      </c>
      <c r="O91" s="80">
        <v>1</v>
      </c>
      <c r="P91" s="64">
        <f t="shared" si="40"/>
        <v>5</v>
      </c>
      <c r="Q91" s="103">
        <v>5</v>
      </c>
      <c r="R91" s="78"/>
      <c r="S91" s="85"/>
    </row>
    <row r="92" spans="1:27" x14ac:dyDescent="0.3">
      <c r="A92">
        <f t="shared" ca="1" si="35"/>
        <v>1</v>
      </c>
      <c r="B92">
        <f t="shared" ca="1" si="39"/>
        <v>0</v>
      </c>
      <c r="D92" s="29">
        <f t="shared" si="42"/>
        <v>42453</v>
      </c>
      <c r="E92" s="4" t="str">
        <f t="shared" si="22"/>
        <v/>
      </c>
      <c r="F92" s="5" t="str">
        <f t="shared" si="23"/>
        <v/>
      </c>
      <c r="G92" s="30" t="str">
        <f t="shared" si="24"/>
        <v/>
      </c>
      <c r="H92" s="31" t="str">
        <f t="shared" si="25"/>
        <v/>
      </c>
      <c r="I92" s="47" t="str">
        <f t="shared" si="26"/>
        <v/>
      </c>
      <c r="J92" s="4"/>
      <c r="K92" s="6"/>
      <c r="L92" s="5"/>
      <c r="M92" s="64">
        <f t="shared" si="33"/>
        <v>0</v>
      </c>
      <c r="N92" s="75">
        <f t="shared" si="36"/>
        <v>-3</v>
      </c>
      <c r="O92" s="80">
        <v>3</v>
      </c>
      <c r="P92" s="64">
        <f t="shared" si="40"/>
        <v>9</v>
      </c>
      <c r="Q92" s="103">
        <v>5</v>
      </c>
      <c r="R92" s="78">
        <v>4</v>
      </c>
      <c r="S92" s="85"/>
      <c r="Y92" s="54"/>
    </row>
    <row r="93" spans="1:27" x14ac:dyDescent="0.3">
      <c r="A93">
        <f t="shared" ca="1" si="35"/>
        <v>1</v>
      </c>
      <c r="B93">
        <f t="shared" ca="1" si="39"/>
        <v>0</v>
      </c>
      <c r="D93" s="29">
        <f t="shared" si="42"/>
        <v>42454</v>
      </c>
      <c r="E93" s="4">
        <f t="shared" si="22"/>
        <v>19</v>
      </c>
      <c r="F93" s="5">
        <f t="shared" si="23"/>
        <v>12.5</v>
      </c>
      <c r="G93" s="30">
        <f t="shared" si="24"/>
        <v>114.43333333474584</v>
      </c>
      <c r="H93" s="31">
        <f t="shared" si="25"/>
        <v>0.65789473684210531</v>
      </c>
      <c r="I93" s="47">
        <f t="shared" si="26"/>
        <v>6.0228070176182023</v>
      </c>
      <c r="J93" s="4"/>
      <c r="K93" s="6"/>
      <c r="L93" s="5"/>
      <c r="M93" s="64">
        <f t="shared" si="33"/>
        <v>0</v>
      </c>
      <c r="N93" s="75">
        <f t="shared" si="36"/>
        <v>-1</v>
      </c>
      <c r="O93" s="80">
        <v>1</v>
      </c>
      <c r="P93" s="64">
        <f t="shared" si="40"/>
        <v>5</v>
      </c>
      <c r="Q93" s="103">
        <v>5</v>
      </c>
      <c r="R93" s="78"/>
      <c r="S93" s="85"/>
      <c r="Y93" s="54"/>
    </row>
    <row r="94" spans="1:27" ht="15" thickBot="1" x14ac:dyDescent="0.35">
      <c r="A94">
        <f t="shared" ca="1" si="35"/>
        <v>1</v>
      </c>
      <c r="B94">
        <f t="shared" ca="1" si="39"/>
        <v>0</v>
      </c>
      <c r="D94" s="29">
        <f t="shared" si="42"/>
        <v>42455</v>
      </c>
      <c r="E94" s="7">
        <f t="shared" si="22"/>
        <v>24.5</v>
      </c>
      <c r="F94" s="8">
        <f t="shared" si="23"/>
        <v>15.5</v>
      </c>
      <c r="G94" s="33">
        <f t="shared" si="24"/>
        <v>74.133333333302289</v>
      </c>
      <c r="H94" s="34">
        <f t="shared" si="25"/>
        <v>0.63265306122448983</v>
      </c>
      <c r="I94" s="48">
        <f t="shared" si="26"/>
        <v>3.0258503401347872</v>
      </c>
      <c r="J94" s="7"/>
      <c r="K94" s="9"/>
      <c r="L94" s="8"/>
      <c r="M94" s="65">
        <f t="shared" si="33"/>
        <v>0</v>
      </c>
      <c r="N94" s="87">
        <f t="shared" si="36"/>
        <v>0</v>
      </c>
      <c r="O94" s="69"/>
      <c r="P94" s="65">
        <f t="shared" si="40"/>
        <v>8</v>
      </c>
      <c r="Q94" s="103">
        <v>8</v>
      </c>
      <c r="R94" s="88"/>
      <c r="S94" s="85"/>
    </row>
    <row r="95" spans="1:27" x14ac:dyDescent="0.3">
      <c r="A95">
        <f t="shared" ca="1" si="35"/>
        <v>1</v>
      </c>
      <c r="B95">
        <f t="shared" ca="1" si="39"/>
        <v>0</v>
      </c>
      <c r="C95" t="str">
        <f>"Week "&amp;RIGHT(C101,LEN(C101)-5)+1</f>
        <v>Week 5</v>
      </c>
      <c r="D95" s="26">
        <f>D94+2</f>
        <v>42457</v>
      </c>
      <c r="E95" s="1">
        <f t="shared" si="22"/>
        <v>22</v>
      </c>
      <c r="F95" s="2">
        <f t="shared" si="23"/>
        <v>15</v>
      </c>
      <c r="G95" s="27">
        <f t="shared" si="24"/>
        <v>53.766666672891006</v>
      </c>
      <c r="H95" s="28">
        <f t="shared" si="25"/>
        <v>0.68181818181818177</v>
      </c>
      <c r="I95" s="49">
        <f t="shared" si="26"/>
        <v>2.4439393942223187</v>
      </c>
      <c r="J95" s="1"/>
      <c r="K95" s="3"/>
      <c r="L95" s="2"/>
      <c r="M95" s="64">
        <f t="shared" si="33"/>
        <v>0</v>
      </c>
      <c r="N95" s="75">
        <f t="shared" si="36"/>
        <v>-2</v>
      </c>
      <c r="O95" s="80">
        <v>2</v>
      </c>
      <c r="P95" s="64">
        <f t="shared" si="40"/>
        <v>5</v>
      </c>
      <c r="Q95" s="95">
        <v>5</v>
      </c>
      <c r="R95" s="78"/>
      <c r="S95" s="85"/>
      <c r="T95" s="17">
        <f>SUM(Q95:R100)</f>
        <v>41</v>
      </c>
      <c r="U95" s="17">
        <f>SUM(M95:M100)-SUM(P95:P100)</f>
        <v>-41</v>
      </c>
      <c r="V95" s="17">
        <f ca="1">IF(A95=0,0,SUM($M$5:M94)-SUM($S$5:S94))</f>
        <v>4</v>
      </c>
      <c r="W95" s="17">
        <f ca="1">$P$4-ReadingIndex!$K$2+(130-$R$4)</f>
        <v>-407.25</v>
      </c>
      <c r="Y95" s="54"/>
      <c r="Z95" s="54"/>
      <c r="AA95" s="54"/>
    </row>
    <row r="96" spans="1:27" x14ac:dyDescent="0.3">
      <c r="A96">
        <f t="shared" ca="1" si="35"/>
        <v>1</v>
      </c>
      <c r="B96">
        <f t="shared" ca="1" si="39"/>
        <v>0</v>
      </c>
      <c r="C96">
        <f>SUM(E95:E100)</f>
        <v>51.5</v>
      </c>
      <c r="D96" s="29">
        <f>D95+1</f>
        <v>42458</v>
      </c>
      <c r="E96" s="4" t="str">
        <f t="shared" si="22"/>
        <v/>
      </c>
      <c r="F96" s="5" t="str">
        <f t="shared" si="23"/>
        <v/>
      </c>
      <c r="G96" s="30" t="str">
        <f t="shared" si="24"/>
        <v/>
      </c>
      <c r="H96" s="31" t="str">
        <f t="shared" si="25"/>
        <v/>
      </c>
      <c r="I96" s="47" t="str">
        <f t="shared" si="26"/>
        <v/>
      </c>
      <c r="J96" s="4"/>
      <c r="K96" s="6"/>
      <c r="L96" s="5"/>
      <c r="M96" s="64">
        <f t="shared" si="33"/>
        <v>0</v>
      </c>
      <c r="N96" s="75">
        <f t="shared" si="36"/>
        <v>-2</v>
      </c>
      <c r="O96" s="80">
        <v>2</v>
      </c>
      <c r="P96" s="64">
        <f t="shared" si="40"/>
        <v>9</v>
      </c>
      <c r="Q96" s="103">
        <v>5</v>
      </c>
      <c r="R96" s="78">
        <v>4</v>
      </c>
      <c r="S96" s="85"/>
    </row>
    <row r="97" spans="1:28" x14ac:dyDescent="0.3">
      <c r="A97">
        <f t="shared" ca="1" si="35"/>
        <v>1</v>
      </c>
      <c r="B97">
        <f t="shared" ca="1" si="39"/>
        <v>0</v>
      </c>
      <c r="D97" s="29">
        <f t="shared" ref="D97:D100" si="43">D96+1</f>
        <v>42459</v>
      </c>
      <c r="E97" s="4">
        <f t="shared" si="22"/>
        <v>6.5</v>
      </c>
      <c r="F97" s="5">
        <f t="shared" si="23"/>
        <v>3</v>
      </c>
      <c r="G97" s="30">
        <f t="shared" si="24"/>
        <v>45.766666667768732</v>
      </c>
      <c r="H97" s="31">
        <f t="shared" si="25"/>
        <v>0.46153846153846156</v>
      </c>
      <c r="I97" s="47">
        <f t="shared" si="26"/>
        <v>7.0410256411951897</v>
      </c>
      <c r="J97" s="4"/>
      <c r="K97" s="6"/>
      <c r="L97" s="5"/>
      <c r="M97" s="64">
        <f t="shared" si="33"/>
        <v>0</v>
      </c>
      <c r="N97" s="75">
        <f t="shared" si="36"/>
        <v>-2</v>
      </c>
      <c r="O97" s="80">
        <v>2</v>
      </c>
      <c r="P97" s="64">
        <f t="shared" si="40"/>
        <v>5</v>
      </c>
      <c r="Q97" s="103">
        <v>5</v>
      </c>
      <c r="R97" s="78"/>
      <c r="S97" s="85"/>
      <c r="Y97" s="17"/>
      <c r="Z97" s="17"/>
      <c r="AA97" s="17"/>
    </row>
    <row r="98" spans="1:28" x14ac:dyDescent="0.3">
      <c r="A98">
        <f t="shared" ca="1" si="35"/>
        <v>1</v>
      </c>
      <c r="B98">
        <f t="shared" ca="1" si="39"/>
        <v>0</v>
      </c>
      <c r="D98" s="29">
        <f t="shared" si="43"/>
        <v>42460</v>
      </c>
      <c r="E98" s="4" t="str">
        <f t="shared" si="22"/>
        <v/>
      </c>
      <c r="F98" s="5" t="str">
        <f t="shared" si="23"/>
        <v/>
      </c>
      <c r="G98" s="30" t="str">
        <f t="shared" si="24"/>
        <v/>
      </c>
      <c r="H98" s="31" t="str">
        <f t="shared" si="25"/>
        <v/>
      </c>
      <c r="I98" s="47" t="str">
        <f t="shared" si="26"/>
        <v/>
      </c>
      <c r="J98" s="4"/>
      <c r="K98" s="6"/>
      <c r="L98" s="5"/>
      <c r="M98" s="64">
        <f t="shared" si="33"/>
        <v>0</v>
      </c>
      <c r="N98" s="75">
        <f t="shared" si="36"/>
        <v>-2</v>
      </c>
      <c r="O98" s="80">
        <v>2</v>
      </c>
      <c r="P98" s="64">
        <f t="shared" si="40"/>
        <v>9</v>
      </c>
      <c r="Q98" s="103">
        <v>5</v>
      </c>
      <c r="R98" s="78">
        <v>4</v>
      </c>
      <c r="S98" s="85"/>
      <c r="Y98" s="54"/>
    </row>
    <row r="99" spans="1:28" x14ac:dyDescent="0.3">
      <c r="A99">
        <f t="shared" ca="1" si="35"/>
        <v>1</v>
      </c>
      <c r="B99">
        <f t="shared" ca="1" si="39"/>
        <v>0</v>
      </c>
      <c r="D99" s="29">
        <f t="shared" si="43"/>
        <v>42461</v>
      </c>
      <c r="E99" s="4">
        <f t="shared" si="22"/>
        <v>23</v>
      </c>
      <c r="F99" s="5">
        <f t="shared" si="23"/>
        <v>16.5</v>
      </c>
      <c r="G99" s="30">
        <f t="shared" si="24"/>
        <v>103.33333332790062</v>
      </c>
      <c r="H99" s="31">
        <f t="shared" si="25"/>
        <v>0.71739130434782605</v>
      </c>
      <c r="I99" s="47">
        <f t="shared" si="26"/>
        <v>4.4927536229522005</v>
      </c>
      <c r="J99" s="4"/>
      <c r="K99" s="6"/>
      <c r="L99" s="5"/>
      <c r="M99" s="64">
        <f t="shared" si="33"/>
        <v>0</v>
      </c>
      <c r="N99" s="75">
        <f t="shared" si="36"/>
        <v>-2</v>
      </c>
      <c r="O99" s="80">
        <v>2</v>
      </c>
      <c r="P99" s="64">
        <f t="shared" si="40"/>
        <v>5</v>
      </c>
      <c r="Q99" s="103">
        <v>5</v>
      </c>
      <c r="R99" s="78"/>
      <c r="S99" s="85"/>
      <c r="Y99" s="54"/>
      <c r="Z99" s="54"/>
      <c r="AA99" s="54"/>
      <c r="AB99" s="54"/>
    </row>
    <row r="100" spans="1:28" ht="15" thickBot="1" x14ac:dyDescent="0.35">
      <c r="A100">
        <f t="shared" ca="1" si="35"/>
        <v>1</v>
      </c>
      <c r="B100">
        <f t="shared" ca="1" si="39"/>
        <v>0</v>
      </c>
      <c r="D100" s="29">
        <f t="shared" si="43"/>
        <v>42462</v>
      </c>
      <c r="E100" s="7" t="str">
        <f t="shared" si="22"/>
        <v/>
      </c>
      <c r="F100" s="8" t="str">
        <f t="shared" si="23"/>
        <v/>
      </c>
      <c r="G100" s="33" t="str">
        <f t="shared" si="24"/>
        <v/>
      </c>
      <c r="H100" s="34" t="str">
        <f t="shared" si="25"/>
        <v/>
      </c>
      <c r="I100" s="48" t="str">
        <f t="shared" si="26"/>
        <v/>
      </c>
      <c r="J100" s="7"/>
      <c r="K100" s="9"/>
      <c r="L100" s="8"/>
      <c r="M100" s="64">
        <f t="shared" si="33"/>
        <v>0</v>
      </c>
      <c r="N100" s="75">
        <f t="shared" si="36"/>
        <v>0</v>
      </c>
      <c r="O100" s="80"/>
      <c r="P100" s="64">
        <f t="shared" si="40"/>
        <v>8</v>
      </c>
      <c r="Q100" s="103">
        <v>8</v>
      </c>
      <c r="R100" s="78"/>
      <c r="S100" s="85"/>
    </row>
    <row r="101" spans="1:28" x14ac:dyDescent="0.3">
      <c r="A101">
        <f t="shared" ca="1" si="35"/>
        <v>1</v>
      </c>
      <c r="B101">
        <f t="shared" ca="1" si="39"/>
        <v>0</v>
      </c>
      <c r="C101" t="str">
        <f>"Week "&amp;RIGHT(C107,LEN(C107)-5)+1</f>
        <v>Week 4</v>
      </c>
      <c r="D101" s="26">
        <f>D100+2</f>
        <v>42464</v>
      </c>
      <c r="E101" s="1">
        <f t="shared" si="22"/>
        <v>19.25</v>
      </c>
      <c r="F101" s="2">
        <f t="shared" si="23"/>
        <v>9.5</v>
      </c>
      <c r="G101" s="27">
        <f t="shared" si="24"/>
        <v>188.06666665594094</v>
      </c>
      <c r="H101" s="28">
        <f t="shared" si="25"/>
        <v>0.4935064935064935</v>
      </c>
      <c r="I101" s="49">
        <f t="shared" si="26"/>
        <v>9.7696969691397886</v>
      </c>
      <c r="J101" s="1"/>
      <c r="K101" s="3"/>
      <c r="L101" s="2"/>
      <c r="M101" s="63">
        <f t="shared" ref="M101:M130" si="44">SUMIFS(Timecard.Total,Timecard.Day,D101)/60</f>
        <v>0</v>
      </c>
      <c r="N101" s="74">
        <f t="shared" si="36"/>
        <v>-2</v>
      </c>
      <c r="O101" s="68">
        <v>2</v>
      </c>
      <c r="P101" s="63">
        <f t="shared" si="40"/>
        <v>5</v>
      </c>
      <c r="Q101" s="95">
        <v>5</v>
      </c>
      <c r="R101" s="86"/>
      <c r="S101" s="85"/>
      <c r="T101" s="17">
        <f>SUM(Q101:R106)</f>
        <v>41</v>
      </c>
      <c r="U101" s="17">
        <f>SUM(M101:M106)-SUM(P101:P106)</f>
        <v>-41</v>
      </c>
      <c r="V101" s="17">
        <f ca="1">IF(A101=0,0,SUM($M$5:M100)-SUM($S$5:S100))</f>
        <v>4</v>
      </c>
      <c r="W101" s="17">
        <f ca="1">$P$4-ReadingIndex!$K$2+(130-$R$4)</f>
        <v>-407.25</v>
      </c>
      <c r="Z101" s="54"/>
    </row>
    <row r="102" spans="1:28" x14ac:dyDescent="0.3">
      <c r="A102">
        <f t="shared" ca="1" si="35"/>
        <v>1</v>
      </c>
      <c r="B102">
        <f t="shared" ca="1" si="39"/>
        <v>0</v>
      </c>
      <c r="C102">
        <f>SUM(E101:E106)</f>
        <v>192.75</v>
      </c>
      <c r="D102" s="29">
        <f>D101+1</f>
        <v>42465</v>
      </c>
      <c r="E102" s="4">
        <f t="shared" si="22"/>
        <v>21</v>
      </c>
      <c r="F102" s="5">
        <f t="shared" si="23"/>
        <v>13</v>
      </c>
      <c r="G102" s="30">
        <f t="shared" si="24"/>
        <v>910.9999999939464</v>
      </c>
      <c r="H102" s="31">
        <f t="shared" si="25"/>
        <v>0.61904761904761907</v>
      </c>
      <c r="I102" s="47">
        <f t="shared" si="26"/>
        <v>43.380952380664112</v>
      </c>
      <c r="J102" s="4"/>
      <c r="K102" s="6"/>
      <c r="L102" s="5"/>
      <c r="M102" s="64">
        <f t="shared" si="44"/>
        <v>0</v>
      </c>
      <c r="N102" s="75">
        <f t="shared" si="36"/>
        <v>-2</v>
      </c>
      <c r="O102" s="80">
        <v>2</v>
      </c>
      <c r="P102" s="64">
        <f t="shared" si="40"/>
        <v>9</v>
      </c>
      <c r="Q102" s="103">
        <v>5</v>
      </c>
      <c r="R102" s="78">
        <v>4</v>
      </c>
      <c r="S102" s="85"/>
      <c r="Y102" s="54"/>
    </row>
    <row r="103" spans="1:28" x14ac:dyDescent="0.3">
      <c r="A103">
        <f t="shared" ca="1" si="35"/>
        <v>1</v>
      </c>
      <c r="B103">
        <f t="shared" ca="1" si="39"/>
        <v>0</v>
      </c>
      <c r="D103" s="29">
        <f t="shared" ref="D103:D106" si="45">D102+1</f>
        <v>42466</v>
      </c>
      <c r="E103" s="4">
        <f t="shared" si="22"/>
        <v>30</v>
      </c>
      <c r="F103" s="5">
        <f t="shared" si="23"/>
        <v>18</v>
      </c>
      <c r="G103" s="30">
        <f t="shared" si="24"/>
        <v>301.83333333581686</v>
      </c>
      <c r="H103" s="31">
        <f t="shared" si="25"/>
        <v>0.6</v>
      </c>
      <c r="I103" s="47">
        <f t="shared" si="26"/>
        <v>10.061111111193895</v>
      </c>
      <c r="J103" s="4"/>
      <c r="K103" s="6"/>
      <c r="L103" s="5"/>
      <c r="M103" s="64">
        <f t="shared" si="44"/>
        <v>0</v>
      </c>
      <c r="N103" s="75">
        <f t="shared" si="36"/>
        <v>-2</v>
      </c>
      <c r="O103" s="80">
        <v>2</v>
      </c>
      <c r="P103" s="64">
        <f t="shared" si="40"/>
        <v>5</v>
      </c>
      <c r="Q103" s="103">
        <v>5</v>
      </c>
      <c r="R103" s="78"/>
      <c r="S103" s="85"/>
      <c r="Y103" s="54"/>
    </row>
    <row r="104" spans="1:28" x14ac:dyDescent="0.3">
      <c r="A104">
        <f t="shared" ca="1" si="35"/>
        <v>1</v>
      </c>
      <c r="B104">
        <f t="shared" ca="1" si="39"/>
        <v>0</v>
      </c>
      <c r="D104" s="29">
        <f t="shared" si="45"/>
        <v>42467</v>
      </c>
      <c r="E104" s="4">
        <f t="shared" ref="E104:E118" si="46">IF(SUMIF(RDB.Day,D104,RDB.Points)=0,"",SUMIF(RDB.Day,D104,RDB.Points))</f>
        <v>10.25</v>
      </c>
      <c r="F104" s="5">
        <f t="shared" ref="F104:F118" si="47">IF(SUMIF(RDB.Day,D104,RDB.Correct)=0,"",SUMIF(RDB.Day,D104,RDB.Correct))</f>
        <v>6.75</v>
      </c>
      <c r="G104" s="30">
        <f t="shared" ref="G104:G118" si="48">IF(SUMIF(RDB.Day,D104,RDB.ElapsedTime)=0,"",SUMIF(RDB.Day,D104,RDB.ElapsedTime))</f>
        <v>44.700000003213063</v>
      </c>
      <c r="H104" s="31">
        <f t="shared" ref="H104:H118" si="49">IF(OR(E104="",E104=0),"",F104/E104)</f>
        <v>0.65853658536585369</v>
      </c>
      <c r="I104" s="47">
        <f t="shared" ref="I104:I118" si="50">IF(OR(E104="",E104=0),"",G104/E104)</f>
        <v>4.3609756100695671</v>
      </c>
      <c r="J104" s="4"/>
      <c r="K104" s="6"/>
      <c r="L104" s="5"/>
      <c r="M104" s="64">
        <f t="shared" si="44"/>
        <v>0</v>
      </c>
      <c r="N104" s="75">
        <f t="shared" si="36"/>
        <v>-2</v>
      </c>
      <c r="O104" s="80">
        <v>2</v>
      </c>
      <c r="P104" s="64">
        <f t="shared" si="40"/>
        <v>9</v>
      </c>
      <c r="Q104" s="103">
        <v>5</v>
      </c>
      <c r="R104" s="78">
        <v>4</v>
      </c>
      <c r="S104" s="85"/>
      <c r="Y104" s="54"/>
    </row>
    <row r="105" spans="1:28" x14ac:dyDescent="0.3">
      <c r="A105">
        <f t="shared" ca="1" si="35"/>
        <v>1</v>
      </c>
      <c r="B105">
        <f t="shared" ca="1" si="39"/>
        <v>0</v>
      </c>
      <c r="D105" s="29">
        <f t="shared" si="45"/>
        <v>42468</v>
      </c>
      <c r="E105" s="4">
        <f t="shared" si="46"/>
        <v>77.5</v>
      </c>
      <c r="F105" s="5">
        <f t="shared" si="47"/>
        <v>57.75</v>
      </c>
      <c r="G105" s="30">
        <f t="shared" si="48"/>
        <v>227.19999999040738</v>
      </c>
      <c r="H105" s="31">
        <f t="shared" si="49"/>
        <v>0.74516129032258061</v>
      </c>
      <c r="I105" s="47">
        <f t="shared" si="50"/>
        <v>2.9316129031020308</v>
      </c>
      <c r="J105" s="4"/>
      <c r="K105" s="6"/>
      <c r="L105" s="5"/>
      <c r="M105" s="64">
        <f t="shared" si="44"/>
        <v>0</v>
      </c>
      <c r="N105" s="75">
        <f t="shared" si="36"/>
        <v>-3.75</v>
      </c>
      <c r="O105" s="80">
        <v>3.75</v>
      </c>
      <c r="P105" s="64">
        <f t="shared" si="40"/>
        <v>5</v>
      </c>
      <c r="Q105" s="103">
        <v>5</v>
      </c>
      <c r="R105" s="78"/>
      <c r="S105" s="85"/>
      <c r="Y105" s="54"/>
    </row>
    <row r="106" spans="1:28" ht="15" thickBot="1" x14ac:dyDescent="0.35">
      <c r="A106">
        <f t="shared" ca="1" si="35"/>
        <v>1</v>
      </c>
      <c r="B106">
        <f t="shared" ca="1" si="39"/>
        <v>0</v>
      </c>
      <c r="D106" s="29">
        <f t="shared" si="45"/>
        <v>42469</v>
      </c>
      <c r="E106" s="7">
        <f t="shared" si="46"/>
        <v>34.75</v>
      </c>
      <c r="F106" s="8">
        <f t="shared" si="47"/>
        <v>17.5</v>
      </c>
      <c r="G106" s="33">
        <f t="shared" si="48"/>
        <v>50.366666663903743</v>
      </c>
      <c r="H106" s="34">
        <f t="shared" si="49"/>
        <v>0.50359712230215825</v>
      </c>
      <c r="I106" s="48">
        <f t="shared" si="50"/>
        <v>1.4494004795367983</v>
      </c>
      <c r="J106" s="7"/>
      <c r="K106" s="9"/>
      <c r="L106" s="8"/>
      <c r="M106" s="65">
        <f t="shared" si="44"/>
        <v>0</v>
      </c>
      <c r="N106" s="87">
        <f t="shared" si="36"/>
        <v>0</v>
      </c>
      <c r="O106" s="69"/>
      <c r="P106" s="65">
        <f t="shared" si="40"/>
        <v>8</v>
      </c>
      <c r="Q106" s="103">
        <v>8</v>
      </c>
      <c r="R106" s="88"/>
      <c r="S106" s="85"/>
    </row>
    <row r="107" spans="1:28" x14ac:dyDescent="0.3">
      <c r="A107">
        <f t="shared" ca="1" si="35"/>
        <v>1</v>
      </c>
      <c r="B107">
        <f t="shared" ca="1" si="39"/>
        <v>0</v>
      </c>
      <c r="C107" t="str">
        <f>"Week "&amp;RIGHT(C113,LEN(C113)-5)+1</f>
        <v>Week 3</v>
      </c>
      <c r="D107" s="26">
        <f>D106+2</f>
        <v>42471</v>
      </c>
      <c r="E107" s="1">
        <f t="shared" si="46"/>
        <v>15.25</v>
      </c>
      <c r="F107" s="2">
        <f t="shared" si="47"/>
        <v>6.25</v>
      </c>
      <c r="G107" s="27">
        <f t="shared" si="48"/>
        <v>52.849999991012737</v>
      </c>
      <c r="H107" s="28">
        <f t="shared" si="49"/>
        <v>0.4098360655737705</v>
      </c>
      <c r="I107" s="49">
        <f t="shared" si="50"/>
        <v>3.4655737699024747</v>
      </c>
      <c r="J107" s="1"/>
      <c r="K107" s="3"/>
      <c r="L107" s="2"/>
      <c r="M107" s="64">
        <f t="shared" si="44"/>
        <v>0</v>
      </c>
      <c r="N107" s="75">
        <f t="shared" si="36"/>
        <v>-2</v>
      </c>
      <c r="O107" s="80">
        <v>2</v>
      </c>
      <c r="P107" s="63">
        <f t="shared" si="40"/>
        <v>5</v>
      </c>
      <c r="Q107" s="95">
        <v>5</v>
      </c>
      <c r="R107" s="86"/>
      <c r="S107" s="85"/>
      <c r="T107" s="17">
        <f>SUM(Q107:R112)</f>
        <v>41</v>
      </c>
      <c r="U107" s="17">
        <f>SUM(M107:M112)-SUM(P107:P112)</f>
        <v>-41</v>
      </c>
      <c r="V107" s="17">
        <f ca="1">IF(A107=0,0,SUM($M$5:M106)-SUM($S$5:S106))</f>
        <v>4</v>
      </c>
      <c r="W107" s="17">
        <f ca="1">$P$4-ReadingIndex!$K$2+(130-$R$4)</f>
        <v>-407.25</v>
      </c>
    </row>
    <row r="108" spans="1:28" x14ac:dyDescent="0.3">
      <c r="A108">
        <f t="shared" ca="1" si="35"/>
        <v>1</v>
      </c>
      <c r="B108">
        <f t="shared" ca="1" si="39"/>
        <v>0</v>
      </c>
      <c r="C108">
        <f>SUM(E107:E112)</f>
        <v>130.5</v>
      </c>
      <c r="D108" s="29">
        <f>D107+1</f>
        <v>42472</v>
      </c>
      <c r="E108" s="4">
        <f t="shared" si="46"/>
        <v>28.75</v>
      </c>
      <c r="F108" s="5">
        <f>IF(SUMIF(RDB.Day,D108,RDB.Correct)=0,"",SUMIF(RDB.Day,D108,RDB.Correct))</f>
        <v>20.25</v>
      </c>
      <c r="G108" s="30">
        <f t="shared" si="48"/>
        <v>206.28333333763294</v>
      </c>
      <c r="H108" s="31">
        <f t="shared" si="49"/>
        <v>0.70434782608695656</v>
      </c>
      <c r="I108" s="47">
        <f t="shared" si="50"/>
        <v>7.1750724639176671</v>
      </c>
      <c r="J108" s="4"/>
      <c r="K108" s="6"/>
      <c r="L108" s="5"/>
      <c r="M108" s="64">
        <f t="shared" si="44"/>
        <v>0</v>
      </c>
      <c r="N108" s="75">
        <f t="shared" si="36"/>
        <v>-2</v>
      </c>
      <c r="O108" s="80">
        <v>2</v>
      </c>
      <c r="P108" s="64">
        <f t="shared" si="40"/>
        <v>9</v>
      </c>
      <c r="Q108" s="103">
        <v>5</v>
      </c>
      <c r="R108" s="78">
        <v>4</v>
      </c>
      <c r="S108" s="85"/>
    </row>
    <row r="109" spans="1:28" x14ac:dyDescent="0.3">
      <c r="A109">
        <f t="shared" ca="1" si="35"/>
        <v>1</v>
      </c>
      <c r="B109">
        <f t="shared" ca="1" si="39"/>
        <v>0</v>
      </c>
      <c r="D109" s="29">
        <f t="shared" ref="D109:D112" si="51">D108+1</f>
        <v>42473</v>
      </c>
      <c r="E109" s="4">
        <f t="shared" si="46"/>
        <v>40.5</v>
      </c>
      <c r="F109" s="5">
        <f t="shared" si="47"/>
        <v>21.75</v>
      </c>
      <c r="G109" s="30">
        <f t="shared" si="48"/>
        <v>248.88333333190531</v>
      </c>
      <c r="H109" s="31">
        <f t="shared" si="49"/>
        <v>0.53703703703703709</v>
      </c>
      <c r="I109" s="47">
        <f t="shared" si="50"/>
        <v>6.1452674896766739</v>
      </c>
      <c r="J109" s="4"/>
      <c r="K109" s="6"/>
      <c r="L109" s="5"/>
      <c r="M109" s="64">
        <f t="shared" si="44"/>
        <v>0</v>
      </c>
      <c r="N109" s="75">
        <f t="shared" si="36"/>
        <v>-2</v>
      </c>
      <c r="O109" s="80">
        <v>2</v>
      </c>
      <c r="P109" s="64">
        <f t="shared" si="40"/>
        <v>5</v>
      </c>
      <c r="Q109" s="103">
        <v>5</v>
      </c>
      <c r="R109" s="78"/>
      <c r="S109" s="85"/>
    </row>
    <row r="110" spans="1:28" x14ac:dyDescent="0.3">
      <c r="A110">
        <f t="shared" ca="1" si="35"/>
        <v>1</v>
      </c>
      <c r="B110">
        <f t="shared" ca="1" si="39"/>
        <v>0</v>
      </c>
      <c r="D110" s="29">
        <f t="shared" si="51"/>
        <v>42474</v>
      </c>
      <c r="E110" s="4">
        <f t="shared" si="46"/>
        <v>25.75</v>
      </c>
      <c r="F110" s="5">
        <f t="shared" si="47"/>
        <v>16.25</v>
      </c>
      <c r="G110" s="30">
        <f t="shared" si="48"/>
        <v>96.283333335304633</v>
      </c>
      <c r="H110" s="31">
        <f t="shared" si="49"/>
        <v>0.6310679611650486</v>
      </c>
      <c r="I110" s="47">
        <f t="shared" si="50"/>
        <v>3.7391585761283355</v>
      </c>
      <c r="J110" s="4"/>
      <c r="K110" s="6"/>
      <c r="L110" s="5"/>
      <c r="M110" s="64">
        <f t="shared" si="44"/>
        <v>0</v>
      </c>
      <c r="N110" s="75">
        <f t="shared" si="36"/>
        <v>-2</v>
      </c>
      <c r="O110" s="80">
        <v>2</v>
      </c>
      <c r="P110" s="64">
        <f t="shared" si="40"/>
        <v>9</v>
      </c>
      <c r="Q110" s="103">
        <v>5</v>
      </c>
      <c r="R110" s="78">
        <v>4</v>
      </c>
      <c r="S110" s="85"/>
    </row>
    <row r="111" spans="1:28" x14ac:dyDescent="0.3">
      <c r="A111">
        <f t="shared" ca="1" si="35"/>
        <v>1</v>
      </c>
      <c r="B111">
        <f t="shared" ca="1" si="39"/>
        <v>0</v>
      </c>
      <c r="D111" s="29">
        <f t="shared" si="51"/>
        <v>42475</v>
      </c>
      <c r="E111" s="4">
        <f t="shared" si="46"/>
        <v>10.25</v>
      </c>
      <c r="F111" s="5" t="str">
        <f t="shared" si="47"/>
        <v/>
      </c>
      <c r="G111" s="30">
        <f t="shared" si="48"/>
        <v>380.74999999953434</v>
      </c>
      <c r="H111" s="31" t="e">
        <f t="shared" si="49"/>
        <v>#VALUE!</v>
      </c>
      <c r="I111" s="47">
        <f t="shared" si="50"/>
        <v>37.146341463369204</v>
      </c>
      <c r="J111" s="4"/>
      <c r="K111" s="6"/>
      <c r="L111" s="5"/>
      <c r="M111" s="64">
        <f t="shared" si="44"/>
        <v>0</v>
      </c>
      <c r="N111" s="75">
        <f t="shared" si="36"/>
        <v>-3.75</v>
      </c>
      <c r="O111" s="80">
        <v>3.75</v>
      </c>
      <c r="P111" s="64">
        <f t="shared" si="40"/>
        <v>5</v>
      </c>
      <c r="Q111" s="103">
        <v>5</v>
      </c>
      <c r="R111" s="78"/>
      <c r="S111" s="85"/>
    </row>
    <row r="112" spans="1:28" ht="15" thickBot="1" x14ac:dyDescent="0.35">
      <c r="A112">
        <f t="shared" ca="1" si="35"/>
        <v>1</v>
      </c>
      <c r="B112">
        <f t="shared" ca="1" si="39"/>
        <v>0</v>
      </c>
      <c r="D112" s="29">
        <f t="shared" si="51"/>
        <v>42476</v>
      </c>
      <c r="E112" s="7">
        <f t="shared" si="46"/>
        <v>10</v>
      </c>
      <c r="F112" s="8">
        <f t="shared" si="47"/>
        <v>7</v>
      </c>
      <c r="G112" s="33">
        <f t="shared" si="48"/>
        <v>73.06666666874662</v>
      </c>
      <c r="H112" s="34">
        <f t="shared" si="49"/>
        <v>0.7</v>
      </c>
      <c r="I112" s="48">
        <f t="shared" si="50"/>
        <v>7.306666666874662</v>
      </c>
      <c r="J112" s="7"/>
      <c r="K112" s="9"/>
      <c r="L112" s="8"/>
      <c r="M112" s="64">
        <f t="shared" si="44"/>
        <v>0</v>
      </c>
      <c r="N112" s="75">
        <f t="shared" si="36"/>
        <v>0</v>
      </c>
      <c r="O112" s="80"/>
      <c r="P112" s="65">
        <f t="shared" si="40"/>
        <v>8</v>
      </c>
      <c r="Q112" s="103">
        <v>8</v>
      </c>
      <c r="R112" s="88"/>
      <c r="S112" s="85"/>
    </row>
    <row r="113" spans="1:29" x14ac:dyDescent="0.3">
      <c r="A113">
        <f t="shared" ca="1" si="35"/>
        <v>1</v>
      </c>
      <c r="B113">
        <f t="shared" ca="1" si="39"/>
        <v>0</v>
      </c>
      <c r="C113" t="str">
        <f>"Week "&amp;RIGHT(C119,LEN(C119)-5)+1</f>
        <v>Week 2</v>
      </c>
      <c r="D113" s="26">
        <f>D112+2</f>
        <v>42478</v>
      </c>
      <c r="E113" s="1">
        <f t="shared" si="46"/>
        <v>47</v>
      </c>
      <c r="F113" s="2">
        <f t="shared" si="47"/>
        <v>28.75</v>
      </c>
      <c r="G113" s="27">
        <f t="shared" si="48"/>
        <v>207.66666665906087</v>
      </c>
      <c r="H113" s="28">
        <f t="shared" si="49"/>
        <v>0.61170212765957444</v>
      </c>
      <c r="I113" s="49">
        <f t="shared" si="50"/>
        <v>4.4184397161502309</v>
      </c>
      <c r="J113" s="1"/>
      <c r="K113" s="3"/>
      <c r="L113" s="2"/>
      <c r="M113" s="63">
        <f t="shared" si="44"/>
        <v>0</v>
      </c>
      <c r="N113" s="74">
        <f t="shared" si="36"/>
        <v>-2</v>
      </c>
      <c r="O113" s="68">
        <v>2</v>
      </c>
      <c r="P113" s="63">
        <f t="shared" ref="P113:P118" si="52">IF(Q113&lt;&gt;"",Q113+R113,"")</f>
        <v>5</v>
      </c>
      <c r="Q113" s="95">
        <v>5</v>
      </c>
      <c r="R113" s="86"/>
      <c r="S113" s="85"/>
      <c r="T113" s="17">
        <f>SUM(Q113:R118)</f>
        <v>41</v>
      </c>
      <c r="U113" s="17">
        <f>SUM(M113:M118)-SUM(P113:P118)</f>
        <v>-41</v>
      </c>
      <c r="V113" s="17">
        <f ca="1">IF(A113=0,0,SUM($M$5:M112)-SUM($S$5:S112))</f>
        <v>4</v>
      </c>
      <c r="W113" s="17">
        <f ca="1">$P$4-ReadingIndex!$K$2+(130-$R$4)</f>
        <v>-407.25</v>
      </c>
    </row>
    <row r="114" spans="1:29" x14ac:dyDescent="0.3">
      <c r="A114">
        <f t="shared" ca="1" si="35"/>
        <v>1</v>
      </c>
      <c r="B114">
        <f t="shared" ca="1" si="39"/>
        <v>0</v>
      </c>
      <c r="C114">
        <f>SUM(E113:E118)</f>
        <v>141</v>
      </c>
      <c r="D114" s="29">
        <f>D113+1</f>
        <v>42479</v>
      </c>
      <c r="E114" s="4">
        <f t="shared" si="46"/>
        <v>30.75</v>
      </c>
      <c r="F114" s="5">
        <f t="shared" si="47"/>
        <v>18.5</v>
      </c>
      <c r="G114" s="30">
        <f t="shared" si="48"/>
        <v>165.96666666562669</v>
      </c>
      <c r="H114" s="31">
        <f t="shared" si="49"/>
        <v>0.60162601626016265</v>
      </c>
      <c r="I114" s="47">
        <f t="shared" si="50"/>
        <v>5.3972899728659085</v>
      </c>
      <c r="J114" s="4"/>
      <c r="K114" s="6"/>
      <c r="L114" s="5"/>
      <c r="M114" s="64">
        <f t="shared" si="44"/>
        <v>0</v>
      </c>
      <c r="N114" s="75">
        <f t="shared" si="36"/>
        <v>-2</v>
      </c>
      <c r="O114" s="80">
        <v>2</v>
      </c>
      <c r="P114" s="64">
        <f t="shared" si="52"/>
        <v>5</v>
      </c>
      <c r="Q114" s="103">
        <v>5</v>
      </c>
      <c r="R114" s="78"/>
      <c r="S114" s="85"/>
    </row>
    <row r="115" spans="1:29" x14ac:dyDescent="0.3">
      <c r="A115">
        <f t="shared" ca="1" si="35"/>
        <v>1</v>
      </c>
      <c r="B115">
        <f t="shared" ca="1" si="39"/>
        <v>0</v>
      </c>
      <c r="D115" s="29">
        <f t="shared" ref="D115:D118" si="53">D114+1</f>
        <v>42480</v>
      </c>
      <c r="E115" s="4">
        <f t="shared" si="46"/>
        <v>20.25</v>
      </c>
      <c r="F115" s="5">
        <f t="shared" si="47"/>
        <v>11.5</v>
      </c>
      <c r="G115" s="30">
        <f t="shared" si="48"/>
        <v>97.083333333721384</v>
      </c>
      <c r="H115" s="31">
        <f t="shared" si="49"/>
        <v>0.5679012345679012</v>
      </c>
      <c r="I115" s="47">
        <f t="shared" si="50"/>
        <v>4.7942386831467347</v>
      </c>
      <c r="J115" s="4"/>
      <c r="K115" s="6"/>
      <c r="L115" s="5"/>
      <c r="M115" s="64">
        <f t="shared" si="44"/>
        <v>0</v>
      </c>
      <c r="N115" s="75">
        <f t="shared" si="36"/>
        <v>-2</v>
      </c>
      <c r="O115" s="80">
        <v>2</v>
      </c>
      <c r="P115" s="64">
        <f t="shared" si="52"/>
        <v>5</v>
      </c>
      <c r="Q115" s="103">
        <v>5</v>
      </c>
      <c r="R115" s="78"/>
      <c r="S115" s="85"/>
    </row>
    <row r="116" spans="1:29" x14ac:dyDescent="0.3">
      <c r="A116">
        <f t="shared" ca="1" si="35"/>
        <v>1</v>
      </c>
      <c r="B116">
        <f t="shared" ca="1" si="39"/>
        <v>0</v>
      </c>
      <c r="D116" s="29">
        <f t="shared" si="53"/>
        <v>42481</v>
      </c>
      <c r="E116" s="4">
        <f t="shared" si="46"/>
        <v>31.5</v>
      </c>
      <c r="F116" s="5">
        <f t="shared" si="47"/>
        <v>11.25</v>
      </c>
      <c r="G116" s="30">
        <f t="shared" si="48"/>
        <v>1137.5999999907799</v>
      </c>
      <c r="H116" s="31">
        <f t="shared" si="49"/>
        <v>0.35714285714285715</v>
      </c>
      <c r="I116" s="47">
        <f t="shared" si="50"/>
        <v>36.114285713993013</v>
      </c>
      <c r="J116" s="4"/>
      <c r="K116" s="6"/>
      <c r="L116" s="5"/>
      <c r="M116" s="64">
        <f t="shared" si="44"/>
        <v>0</v>
      </c>
      <c r="N116" s="75">
        <f t="shared" si="36"/>
        <v>-2</v>
      </c>
      <c r="O116" s="80">
        <v>2</v>
      </c>
      <c r="P116" s="64">
        <f t="shared" si="52"/>
        <v>9</v>
      </c>
      <c r="Q116" s="103">
        <v>5</v>
      </c>
      <c r="R116" s="78">
        <v>4</v>
      </c>
      <c r="S116" s="85"/>
    </row>
    <row r="117" spans="1:29" x14ac:dyDescent="0.3">
      <c r="A117">
        <f t="shared" ca="1" si="35"/>
        <v>1</v>
      </c>
      <c r="B117">
        <f t="shared" ca="1" si="39"/>
        <v>0</v>
      </c>
      <c r="D117" s="29">
        <f t="shared" si="53"/>
        <v>42482</v>
      </c>
      <c r="E117" s="4">
        <f t="shared" si="46"/>
        <v>11.5</v>
      </c>
      <c r="F117" s="5" t="str">
        <f t="shared" si="47"/>
        <v/>
      </c>
      <c r="G117" s="30">
        <f t="shared" si="48"/>
        <v>0.43333334033377469</v>
      </c>
      <c r="H117" s="31" t="e">
        <f t="shared" si="49"/>
        <v>#VALUE!</v>
      </c>
      <c r="I117" s="47">
        <f t="shared" si="50"/>
        <v>3.7681160029023886E-2</v>
      </c>
      <c r="J117" s="4"/>
      <c r="K117" s="6"/>
      <c r="L117" s="5"/>
      <c r="M117" s="64">
        <f t="shared" si="44"/>
        <v>0</v>
      </c>
      <c r="N117" s="75">
        <f t="shared" si="36"/>
        <v>-3.75</v>
      </c>
      <c r="O117" s="80">
        <v>3.75</v>
      </c>
      <c r="P117" s="64">
        <f t="shared" si="52"/>
        <v>9</v>
      </c>
      <c r="Q117" s="103">
        <v>5</v>
      </c>
      <c r="R117" s="78">
        <v>4</v>
      </c>
      <c r="S117" s="85"/>
    </row>
    <row r="118" spans="1:29" ht="15" thickBot="1" x14ac:dyDescent="0.35">
      <c r="A118">
        <f t="shared" ca="1" si="35"/>
        <v>1</v>
      </c>
      <c r="B118">
        <f t="shared" ca="1" si="39"/>
        <v>0</v>
      </c>
      <c r="D118" s="32">
        <f t="shared" si="53"/>
        <v>42483</v>
      </c>
      <c r="E118" s="7" t="str">
        <f t="shared" si="46"/>
        <v/>
      </c>
      <c r="F118" s="8" t="str">
        <f t="shared" si="47"/>
        <v/>
      </c>
      <c r="G118" s="33" t="str">
        <f t="shared" si="48"/>
        <v/>
      </c>
      <c r="H118" s="34" t="str">
        <f t="shared" si="49"/>
        <v/>
      </c>
      <c r="I118" s="48" t="str">
        <f t="shared" si="50"/>
        <v/>
      </c>
      <c r="J118" s="7"/>
      <c r="K118" s="9"/>
      <c r="L118" s="8"/>
      <c r="M118" s="65">
        <f t="shared" si="44"/>
        <v>0</v>
      </c>
      <c r="N118" s="87">
        <f t="shared" si="36"/>
        <v>0</v>
      </c>
      <c r="O118" s="69"/>
      <c r="P118" s="65">
        <f t="shared" si="52"/>
        <v>8</v>
      </c>
      <c r="Q118" s="103">
        <v>8</v>
      </c>
      <c r="R118" s="88"/>
      <c r="S118" s="85"/>
      <c r="AA118">
        <v>6</v>
      </c>
      <c r="AB118">
        <v>8</v>
      </c>
      <c r="AC118">
        <v>2</v>
      </c>
    </row>
    <row r="119" spans="1:29" x14ac:dyDescent="0.3">
      <c r="A119">
        <v>0</v>
      </c>
      <c r="B119">
        <v>0</v>
      </c>
      <c r="C119" t="str">
        <f>"Week "&amp;RIGHT(C125,LEN(C125)-5)+1</f>
        <v>Week 1</v>
      </c>
      <c r="D119" s="26">
        <f>D118+2</f>
        <v>42485</v>
      </c>
      <c r="E119" s="1">
        <f t="shared" ref="E119:E130" si="54">IF(SUMIF(RDB.Day,D119,RDB.Points)=0,"",SUMIF(RDB.Day,D119,RDB.Points))</f>
        <v>20.25</v>
      </c>
      <c r="F119" s="2">
        <f t="shared" ref="F119:F130" si="55">IF(SUMIF(RDB.Day,D119,RDB.Correct)=0,"",SUMIF(RDB.Day,D119,RDB.Correct))</f>
        <v>8.75</v>
      </c>
      <c r="G119" s="27">
        <f t="shared" ref="G119:G130" si="56">IF(SUMIF(RDB.Day,D119,RDB.ElapsedTime)=0,"",SUMIF(RDB.Day,D119,RDB.ElapsedTime))</f>
        <v>103.41666665975936</v>
      </c>
      <c r="H119" s="28">
        <f t="shared" ref="H119:H130" si="57">IF(OR(E119="",E119=0),"",F119/E119)</f>
        <v>0.43209876543209874</v>
      </c>
      <c r="I119" s="49">
        <f t="shared" ref="I119:I130" si="58">IF(OR(E119="",E119=0),"",G119/E119)</f>
        <v>5.1069958844325605</v>
      </c>
      <c r="J119" s="1"/>
      <c r="K119" s="3"/>
      <c r="L119" s="2"/>
      <c r="M119" s="63">
        <f t="shared" si="44"/>
        <v>0</v>
      </c>
      <c r="N119" s="74">
        <f t="shared" si="36"/>
        <v>-3.75</v>
      </c>
      <c r="O119" s="68">
        <v>3.75</v>
      </c>
      <c r="P119" s="63">
        <f t="shared" ref="P119:P130" si="59">IF(Q119&lt;&gt;"",Q119+R119,"")</f>
        <v>9</v>
      </c>
      <c r="Q119" s="95">
        <v>5</v>
      </c>
      <c r="R119" s="86">
        <v>4</v>
      </c>
      <c r="S119" s="85"/>
      <c r="T119" s="17">
        <f>SUM(Q119:R124)</f>
        <v>53</v>
      </c>
      <c r="U119" s="17">
        <f>SUM(M119:M124)-SUM(P119:P124)</f>
        <v>-53</v>
      </c>
      <c r="V119" s="17">
        <f>IF(A119=0,0,SUM($M$5:M118)-SUM($S$5:S118))</f>
        <v>0</v>
      </c>
      <c r="W119" s="17">
        <f ca="1">$P$4-ReadingIndex!$K$2+(130-$R$4)</f>
        <v>-407.25</v>
      </c>
    </row>
    <row r="120" spans="1:29" x14ac:dyDescent="0.3">
      <c r="A120">
        <v>0</v>
      </c>
      <c r="B120">
        <v>0</v>
      </c>
      <c r="C120">
        <f>SUM(E119:E124)</f>
        <v>149</v>
      </c>
      <c r="D120" s="29">
        <f>D119+1</f>
        <v>42486</v>
      </c>
      <c r="E120" s="4">
        <f t="shared" si="54"/>
        <v>54.25</v>
      </c>
      <c r="F120" s="5">
        <f t="shared" si="55"/>
        <v>32.5</v>
      </c>
      <c r="G120" s="30">
        <f t="shared" si="56"/>
        <v>245.59999999590218</v>
      </c>
      <c r="H120" s="31">
        <f t="shared" si="57"/>
        <v>0.59907834101382484</v>
      </c>
      <c r="I120" s="47">
        <f t="shared" si="58"/>
        <v>4.5271889400166296</v>
      </c>
      <c r="J120" s="4"/>
      <c r="K120" s="6"/>
      <c r="L120" s="5"/>
      <c r="M120" s="64">
        <f t="shared" si="44"/>
        <v>0</v>
      </c>
      <c r="N120" s="75">
        <f t="shared" si="36"/>
        <v>-3.75</v>
      </c>
      <c r="O120" s="80">
        <v>3.75</v>
      </c>
      <c r="P120" s="64">
        <f t="shared" si="59"/>
        <v>9</v>
      </c>
      <c r="Q120" s="103">
        <v>5</v>
      </c>
      <c r="R120" s="78">
        <v>4</v>
      </c>
      <c r="S120" s="85"/>
    </row>
    <row r="121" spans="1:29" x14ac:dyDescent="0.3">
      <c r="A121">
        <v>0</v>
      </c>
      <c r="B121">
        <v>0</v>
      </c>
      <c r="D121" s="29">
        <f t="shared" ref="D121:D124" si="60">D120+1</f>
        <v>42487</v>
      </c>
      <c r="E121" s="4">
        <f t="shared" si="54"/>
        <v>54</v>
      </c>
      <c r="F121" s="5">
        <f t="shared" si="55"/>
        <v>36.5</v>
      </c>
      <c r="G121" s="30">
        <f t="shared" si="56"/>
        <v>188.88333334587514</v>
      </c>
      <c r="H121" s="31">
        <f t="shared" si="57"/>
        <v>0.67592592592592593</v>
      </c>
      <c r="I121" s="47">
        <f t="shared" si="58"/>
        <v>3.4978395064050951</v>
      </c>
      <c r="J121" s="4"/>
      <c r="K121" s="6"/>
      <c r="L121" s="5"/>
      <c r="M121" s="64">
        <f t="shared" si="44"/>
        <v>0</v>
      </c>
      <c r="N121" s="75">
        <f t="shared" si="36"/>
        <v>-3.75</v>
      </c>
      <c r="O121" s="80">
        <v>3.75</v>
      </c>
      <c r="P121" s="64">
        <f t="shared" si="59"/>
        <v>9</v>
      </c>
      <c r="Q121" s="103">
        <v>5</v>
      </c>
      <c r="R121" s="78">
        <v>4</v>
      </c>
      <c r="S121" s="85"/>
    </row>
    <row r="122" spans="1:29" x14ac:dyDescent="0.3">
      <c r="A122">
        <v>0</v>
      </c>
      <c r="B122">
        <v>0</v>
      </c>
      <c r="D122" s="29">
        <f t="shared" si="60"/>
        <v>42488</v>
      </c>
      <c r="E122" s="4">
        <f t="shared" si="54"/>
        <v>20.5</v>
      </c>
      <c r="F122" s="5">
        <f t="shared" si="55"/>
        <v>11.5</v>
      </c>
      <c r="G122" s="30">
        <f t="shared" si="56"/>
        <v>44.383333335863426</v>
      </c>
      <c r="H122" s="31">
        <f t="shared" si="57"/>
        <v>0.56097560975609762</v>
      </c>
      <c r="I122" s="47">
        <f t="shared" si="58"/>
        <v>2.1650406505299231</v>
      </c>
      <c r="J122" s="4"/>
      <c r="K122" s="6"/>
      <c r="L122" s="5"/>
      <c r="M122" s="64">
        <f t="shared" si="44"/>
        <v>0</v>
      </c>
      <c r="N122" s="75">
        <f t="shared" si="36"/>
        <v>-3.75</v>
      </c>
      <c r="O122" s="80">
        <v>3.75</v>
      </c>
      <c r="P122" s="64">
        <f t="shared" si="59"/>
        <v>9</v>
      </c>
      <c r="Q122" s="103">
        <v>5</v>
      </c>
      <c r="R122" s="78">
        <v>4</v>
      </c>
      <c r="S122" s="85"/>
    </row>
    <row r="123" spans="1:29" x14ac:dyDescent="0.3">
      <c r="A123">
        <v>0</v>
      </c>
      <c r="B123">
        <v>0</v>
      </c>
      <c r="D123" s="29">
        <f t="shared" si="60"/>
        <v>42489</v>
      </c>
      <c r="E123" s="4" t="str">
        <f t="shared" si="54"/>
        <v/>
      </c>
      <c r="F123" s="5" t="str">
        <f t="shared" si="55"/>
        <v/>
      </c>
      <c r="G123" s="30" t="str">
        <f t="shared" si="56"/>
        <v/>
      </c>
      <c r="H123" s="31" t="str">
        <f t="shared" si="57"/>
        <v/>
      </c>
      <c r="I123" s="47" t="str">
        <f t="shared" si="58"/>
        <v/>
      </c>
      <c r="J123" s="4"/>
      <c r="K123" s="6"/>
      <c r="L123" s="5"/>
      <c r="M123" s="64">
        <f t="shared" si="44"/>
        <v>0</v>
      </c>
      <c r="N123" s="75">
        <f t="shared" si="36"/>
        <v>-7.5</v>
      </c>
      <c r="O123" s="80">
        <v>7.5</v>
      </c>
      <c r="P123" s="64">
        <f t="shared" si="59"/>
        <v>9</v>
      </c>
      <c r="Q123" s="103">
        <v>5</v>
      </c>
      <c r="R123" s="78">
        <v>4</v>
      </c>
      <c r="S123" s="85"/>
    </row>
    <row r="124" spans="1:29" ht="15" thickBot="1" x14ac:dyDescent="0.35">
      <c r="A124">
        <v>0</v>
      </c>
      <c r="B124">
        <v>0</v>
      </c>
      <c r="D124" s="32">
        <f t="shared" si="60"/>
        <v>42490</v>
      </c>
      <c r="E124" s="7" t="str">
        <f t="shared" si="54"/>
        <v/>
      </c>
      <c r="F124" s="8" t="str">
        <f t="shared" si="55"/>
        <v/>
      </c>
      <c r="G124" s="33" t="str">
        <f t="shared" si="56"/>
        <v/>
      </c>
      <c r="H124" s="34" t="str">
        <f t="shared" si="57"/>
        <v/>
      </c>
      <c r="I124" s="48" t="str">
        <f t="shared" si="58"/>
        <v/>
      </c>
      <c r="J124" s="7"/>
      <c r="K124" s="9"/>
      <c r="L124" s="8"/>
      <c r="M124" s="65">
        <f t="shared" si="44"/>
        <v>0</v>
      </c>
      <c r="N124" s="87">
        <f t="shared" si="36"/>
        <v>0</v>
      </c>
      <c r="O124" s="69"/>
      <c r="P124" s="65">
        <f t="shared" si="59"/>
        <v>8</v>
      </c>
      <c r="Q124" s="103">
        <v>8</v>
      </c>
      <c r="R124" s="88"/>
      <c r="S124" s="85"/>
    </row>
    <row r="125" spans="1:29" x14ac:dyDescent="0.3">
      <c r="A125">
        <v>0</v>
      </c>
      <c r="B125">
        <v>0</v>
      </c>
      <c r="C125" t="s">
        <v>804</v>
      </c>
      <c r="D125" s="26">
        <f>D124+2</f>
        <v>42492</v>
      </c>
      <c r="E125" s="1">
        <f t="shared" si="54"/>
        <v>20.5</v>
      </c>
      <c r="F125" s="2">
        <f t="shared" si="55"/>
        <v>14.5</v>
      </c>
      <c r="G125" s="27">
        <f t="shared" si="56"/>
        <v>130.71666666073725</v>
      </c>
      <c r="H125" s="28">
        <f t="shared" si="57"/>
        <v>0.70731707317073167</v>
      </c>
      <c r="I125" s="49">
        <f t="shared" si="58"/>
        <v>6.3764227639384021</v>
      </c>
      <c r="J125" s="1"/>
      <c r="K125" s="3"/>
      <c r="L125" s="2"/>
      <c r="M125" s="63">
        <f t="shared" si="44"/>
        <v>0</v>
      </c>
      <c r="N125" s="74">
        <f t="shared" si="36"/>
        <v>-7.5</v>
      </c>
      <c r="O125" s="68">
        <v>7.5</v>
      </c>
      <c r="P125" s="63">
        <f t="shared" si="59"/>
        <v>10</v>
      </c>
      <c r="Q125" s="74">
        <v>6</v>
      </c>
      <c r="R125" s="86">
        <v>4</v>
      </c>
      <c r="S125" s="85"/>
      <c r="T125" s="17">
        <f>SUM(Q125:R130)</f>
        <v>20</v>
      </c>
      <c r="U125" s="17">
        <f>SUM(M125:M130)-SUM(P125:P130)</f>
        <v>-20</v>
      </c>
      <c r="V125" s="17">
        <f>IF(A125=0,0,SUM($M$5:M124)-SUM($S$5:S124))</f>
        <v>0</v>
      </c>
      <c r="W125" s="17">
        <f ca="1">$P$4-ReadingIndex!$K$2+(130-$R$4)</f>
        <v>-407.25</v>
      </c>
    </row>
    <row r="126" spans="1:29" x14ac:dyDescent="0.3">
      <c r="A126">
        <v>0</v>
      </c>
      <c r="B126">
        <v>0</v>
      </c>
      <c r="D126" s="29">
        <f>D125+1</f>
        <v>42493</v>
      </c>
      <c r="E126" s="4">
        <f t="shared" si="54"/>
        <v>107.5</v>
      </c>
      <c r="F126" s="5">
        <f t="shared" si="55"/>
        <v>86.25</v>
      </c>
      <c r="G126" s="30">
        <f t="shared" si="56"/>
        <v>262.86666665459052</v>
      </c>
      <c r="H126" s="31">
        <f t="shared" si="57"/>
        <v>0.80232558139534882</v>
      </c>
      <c r="I126" s="47">
        <f t="shared" si="58"/>
        <v>2.445271317717121</v>
      </c>
      <c r="J126" s="4"/>
      <c r="K126" s="6"/>
      <c r="L126" s="5"/>
      <c r="M126" s="64">
        <f t="shared" si="44"/>
        <v>0</v>
      </c>
      <c r="N126" s="75">
        <f t="shared" si="36"/>
        <v>-7.5</v>
      </c>
      <c r="O126" s="80">
        <v>7.5</v>
      </c>
      <c r="P126" s="64">
        <f t="shared" si="59"/>
        <v>10</v>
      </c>
      <c r="Q126" s="75">
        <v>6</v>
      </c>
      <c r="R126" s="78">
        <v>4</v>
      </c>
      <c r="S126" s="85"/>
    </row>
    <row r="127" spans="1:29" x14ac:dyDescent="0.3">
      <c r="A127">
        <v>0</v>
      </c>
      <c r="B127">
        <v>0</v>
      </c>
      <c r="D127" s="106">
        <f t="shared" ref="D127:D130" si="61">D126+1</f>
        <v>42494</v>
      </c>
      <c r="E127" s="107" t="str">
        <f t="shared" si="54"/>
        <v/>
      </c>
      <c r="F127" s="108" t="str">
        <f t="shared" si="55"/>
        <v/>
      </c>
      <c r="G127" s="109" t="str">
        <f t="shared" si="56"/>
        <v/>
      </c>
      <c r="H127" s="110" t="str">
        <f t="shared" si="57"/>
        <v/>
      </c>
      <c r="I127" s="111" t="str">
        <f t="shared" si="58"/>
        <v/>
      </c>
      <c r="J127" s="107"/>
      <c r="K127" s="112"/>
      <c r="L127" s="108"/>
      <c r="M127" s="113">
        <f t="shared" si="44"/>
        <v>0</v>
      </c>
      <c r="N127" s="114">
        <f t="shared" si="36"/>
        <v>0</v>
      </c>
      <c r="O127" s="115"/>
      <c r="P127" s="113">
        <f t="shared" si="59"/>
        <v>0</v>
      </c>
      <c r="Q127" s="114">
        <v>0</v>
      </c>
      <c r="R127" s="116"/>
      <c r="S127" s="144"/>
      <c r="T127" s="145"/>
      <c r="U127" s="145"/>
      <c r="V127" s="145"/>
      <c r="W127" s="145"/>
    </row>
    <row r="128" spans="1:29" x14ac:dyDescent="0.3">
      <c r="A128">
        <v>0</v>
      </c>
      <c r="B128">
        <v>0</v>
      </c>
      <c r="D128" s="29">
        <f t="shared" si="61"/>
        <v>42495</v>
      </c>
      <c r="E128" s="4" t="str">
        <f t="shared" si="54"/>
        <v/>
      </c>
      <c r="F128" s="5" t="str">
        <f t="shared" si="55"/>
        <v/>
      </c>
      <c r="G128" s="30" t="str">
        <f t="shared" si="56"/>
        <v/>
      </c>
      <c r="H128" s="31" t="str">
        <f t="shared" si="57"/>
        <v/>
      </c>
      <c r="I128" s="47" t="str">
        <f t="shared" si="58"/>
        <v/>
      </c>
      <c r="J128" s="4"/>
      <c r="K128" s="6"/>
      <c r="L128" s="5"/>
      <c r="M128" s="64">
        <f t="shared" si="44"/>
        <v>0</v>
      </c>
      <c r="N128" s="75">
        <f t="shared" si="36"/>
        <v>0</v>
      </c>
      <c r="O128" s="80"/>
      <c r="P128" s="64">
        <f t="shared" si="59"/>
        <v>0</v>
      </c>
      <c r="Q128" s="75">
        <v>0</v>
      </c>
      <c r="R128" s="78"/>
      <c r="S128" s="85"/>
    </row>
    <row r="129" spans="1:19" x14ac:dyDescent="0.3">
      <c r="A129">
        <v>0</v>
      </c>
      <c r="B129">
        <v>0</v>
      </c>
      <c r="D129" s="29">
        <f t="shared" si="61"/>
        <v>42496</v>
      </c>
      <c r="E129" s="4" t="str">
        <f t="shared" si="54"/>
        <v/>
      </c>
      <c r="F129" s="5" t="str">
        <f t="shared" si="55"/>
        <v/>
      </c>
      <c r="G129" s="30" t="str">
        <f t="shared" si="56"/>
        <v/>
      </c>
      <c r="H129" s="31" t="str">
        <f t="shared" si="57"/>
        <v/>
      </c>
      <c r="I129" s="47" t="str">
        <f t="shared" si="58"/>
        <v/>
      </c>
      <c r="J129" s="4"/>
      <c r="K129" s="6"/>
      <c r="L129" s="5"/>
      <c r="M129" s="64">
        <f t="shared" si="44"/>
        <v>0</v>
      </c>
      <c r="N129" s="75">
        <f t="shared" si="36"/>
        <v>0</v>
      </c>
      <c r="O129" s="80"/>
      <c r="P129" s="64">
        <f t="shared" si="59"/>
        <v>0</v>
      </c>
      <c r="Q129" s="75">
        <v>0</v>
      </c>
      <c r="R129" s="78"/>
      <c r="S129" s="85"/>
    </row>
    <row r="130" spans="1:19" ht="15" thickBot="1" x14ac:dyDescent="0.35">
      <c r="A130">
        <v>0</v>
      </c>
      <c r="B130">
        <v>0</v>
      </c>
      <c r="D130" s="32">
        <f t="shared" si="61"/>
        <v>42497</v>
      </c>
      <c r="E130" s="7" t="str">
        <f t="shared" si="54"/>
        <v/>
      </c>
      <c r="F130" s="8" t="str">
        <f t="shared" si="55"/>
        <v/>
      </c>
      <c r="G130" s="33" t="str">
        <f t="shared" si="56"/>
        <v/>
      </c>
      <c r="H130" s="34" t="str">
        <f t="shared" si="57"/>
        <v/>
      </c>
      <c r="I130" s="48" t="str">
        <f t="shared" si="58"/>
        <v/>
      </c>
      <c r="J130" s="7"/>
      <c r="K130" s="9"/>
      <c r="L130" s="8"/>
      <c r="M130" s="65">
        <f t="shared" si="44"/>
        <v>0</v>
      </c>
      <c r="N130" s="87">
        <f t="shared" si="36"/>
        <v>0</v>
      </c>
      <c r="O130" s="69"/>
      <c r="P130" s="65">
        <f t="shared" si="59"/>
        <v>0</v>
      </c>
      <c r="Q130" s="87">
        <v>0</v>
      </c>
      <c r="R130" s="88"/>
      <c r="S130" s="85"/>
    </row>
    <row r="133" spans="1:19" x14ac:dyDescent="0.3">
      <c r="N133" s="56" t="s">
        <v>1113</v>
      </c>
      <c r="O133" s="56">
        <f>15*7.5</f>
        <v>112.5</v>
      </c>
    </row>
    <row r="134" spans="1:19" x14ac:dyDescent="0.3">
      <c r="N134" s="56" t="s">
        <v>1114</v>
      </c>
      <c r="O134" s="56">
        <f>SUM(O23:O130)</f>
        <v>123.75</v>
      </c>
    </row>
    <row r="135" spans="1:19" x14ac:dyDescent="0.3">
      <c r="N135" s="56" t="s">
        <v>56</v>
      </c>
      <c r="O135" s="56">
        <f>O133-O134</f>
        <v>-11.25</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15"/>
  <sheetViews>
    <sheetView workbookViewId="0">
      <selection activeCell="E20" sqref="E20"/>
    </sheetView>
  </sheetViews>
  <sheetFormatPr defaultRowHeight="14.4" x14ac:dyDescent="0.3"/>
  <cols>
    <col min="1" max="1" width="16.88671875" customWidth="1"/>
    <col min="2" max="2" width="17" customWidth="1"/>
    <col min="3" max="3" width="10.33203125" style="17" bestFit="1" customWidth="1"/>
    <col min="4" max="4" width="10.5546875" bestFit="1" customWidth="1"/>
    <col min="7" max="7" width="14.88671875" bestFit="1" customWidth="1"/>
  </cols>
  <sheetData>
    <row r="1" spans="1:5" x14ac:dyDescent="0.3">
      <c r="A1" s="57" t="s">
        <v>77</v>
      </c>
      <c r="B1" s="12" t="s">
        <v>78</v>
      </c>
      <c r="C1" s="16" t="s">
        <v>79</v>
      </c>
      <c r="D1" s="58" t="s">
        <v>58</v>
      </c>
      <c r="E1" s="12" t="s">
        <v>854</v>
      </c>
    </row>
    <row r="2" spans="1:5" x14ac:dyDescent="0.3">
      <c r="A2" s="15"/>
      <c r="B2" s="15">
        <v>42783.632685185185</v>
      </c>
      <c r="C2" s="17">
        <v>61608431.06666667</v>
      </c>
      <c r="D2" s="39">
        <v>42783</v>
      </c>
    </row>
    <row r="3" spans="1:5" x14ac:dyDescent="0.3">
      <c r="A3" s="15"/>
      <c r="B3" s="15"/>
      <c r="D3" s="39"/>
    </row>
    <row r="4" spans="1:5" x14ac:dyDescent="0.3">
      <c r="A4" s="15"/>
      <c r="B4" s="15"/>
      <c r="D4" s="39"/>
    </row>
    <row r="5" spans="1:5" x14ac:dyDescent="0.3">
      <c r="A5" s="15"/>
      <c r="B5" s="15"/>
      <c r="D5" s="39"/>
    </row>
    <row r="6" spans="1:5" x14ac:dyDescent="0.3">
      <c r="A6" s="15"/>
      <c r="B6" s="15"/>
      <c r="D6" s="39"/>
    </row>
    <row r="7" spans="1:5" x14ac:dyDescent="0.3">
      <c r="A7" s="15"/>
      <c r="B7" s="15"/>
      <c r="D7" s="39"/>
    </row>
    <row r="8" spans="1:5" x14ac:dyDescent="0.3">
      <c r="A8" s="15"/>
      <c r="B8" s="15"/>
      <c r="D8" s="39"/>
    </row>
    <row r="9" spans="1:5" x14ac:dyDescent="0.3">
      <c r="A9" s="15"/>
      <c r="B9" s="15"/>
      <c r="D9" s="39"/>
    </row>
    <row r="10" spans="1:5" x14ac:dyDescent="0.3">
      <c r="A10" s="15"/>
      <c r="B10" s="15"/>
      <c r="D10" s="39"/>
    </row>
    <row r="11" spans="1:5" x14ac:dyDescent="0.3">
      <c r="A11" s="15"/>
      <c r="B11" s="15"/>
      <c r="D11" s="39"/>
    </row>
    <row r="12" spans="1:5" x14ac:dyDescent="0.3">
      <c r="A12" s="15"/>
      <c r="B12" s="15"/>
      <c r="D12" s="39"/>
    </row>
    <row r="13" spans="1:5" x14ac:dyDescent="0.3">
      <c r="A13" s="15"/>
      <c r="B13" s="15"/>
      <c r="D13" s="39"/>
    </row>
    <row r="14" spans="1:5" x14ac:dyDescent="0.3">
      <c r="A14" s="15"/>
      <c r="B14" s="15"/>
      <c r="D14" s="39"/>
    </row>
    <row r="15" spans="1:5" x14ac:dyDescent="0.3">
      <c r="A15" s="15"/>
      <c r="B15" s="15"/>
      <c r="D15" s="39"/>
    </row>
    <row r="16" spans="1:5" x14ac:dyDescent="0.3">
      <c r="A16" s="15"/>
      <c r="B16" s="15"/>
      <c r="D16" s="39"/>
    </row>
    <row r="17" spans="1:4" x14ac:dyDescent="0.3">
      <c r="A17" s="15"/>
      <c r="B17" s="15"/>
      <c r="D17" s="39"/>
    </row>
    <row r="18" spans="1:4" x14ac:dyDescent="0.3">
      <c r="A18" s="15"/>
      <c r="B18" s="15"/>
      <c r="D18" s="39"/>
    </row>
    <row r="19" spans="1:4" x14ac:dyDescent="0.3">
      <c r="A19" s="15"/>
      <c r="B19" s="15"/>
      <c r="D19" s="39"/>
    </row>
    <row r="20" spans="1:4" x14ac:dyDescent="0.3">
      <c r="A20" s="15"/>
      <c r="B20" s="15"/>
      <c r="D20" s="39"/>
    </row>
    <row r="21" spans="1:4" x14ac:dyDescent="0.3">
      <c r="A21" s="15"/>
      <c r="B21" s="15"/>
      <c r="D21" s="39"/>
    </row>
    <row r="22" spans="1:4" x14ac:dyDescent="0.3">
      <c r="A22" s="15"/>
      <c r="B22" s="15"/>
      <c r="D22" s="39"/>
    </row>
    <row r="23" spans="1:4" x14ac:dyDescent="0.3">
      <c r="A23" s="15"/>
      <c r="B23" s="15"/>
      <c r="D23" s="39"/>
    </row>
    <row r="24" spans="1:4" x14ac:dyDescent="0.3">
      <c r="A24" s="15"/>
      <c r="B24" s="15"/>
      <c r="D24" s="39"/>
    </row>
    <row r="25" spans="1:4" x14ac:dyDescent="0.3">
      <c r="A25" s="15"/>
      <c r="B25" s="15"/>
      <c r="D25" s="39"/>
    </row>
    <row r="26" spans="1:4" x14ac:dyDescent="0.3">
      <c r="A26" s="15"/>
      <c r="B26" s="15"/>
      <c r="D26" s="39"/>
    </row>
    <row r="27" spans="1:4" x14ac:dyDescent="0.3">
      <c r="A27" s="15"/>
      <c r="B27" s="15"/>
      <c r="D27" s="39"/>
    </row>
    <row r="28" spans="1:4" x14ac:dyDescent="0.3">
      <c r="A28" s="15"/>
      <c r="B28" s="15"/>
      <c r="D28" s="39"/>
    </row>
    <row r="29" spans="1:4" x14ac:dyDescent="0.3">
      <c r="A29" s="15"/>
      <c r="B29" s="15"/>
      <c r="D29" s="39"/>
    </row>
    <row r="30" spans="1:4" x14ac:dyDescent="0.3">
      <c r="A30" s="15"/>
      <c r="B30" s="15"/>
      <c r="D30" s="39"/>
    </row>
    <row r="31" spans="1:4" x14ac:dyDescent="0.3">
      <c r="A31" s="15"/>
      <c r="B31" s="15"/>
      <c r="D31" s="39"/>
    </row>
    <row r="32" spans="1:4" x14ac:dyDescent="0.3">
      <c r="A32" s="15"/>
      <c r="B32" s="15"/>
      <c r="D32" s="39"/>
    </row>
    <row r="33" spans="1:5" x14ac:dyDescent="0.3">
      <c r="A33" s="15"/>
      <c r="B33" s="15"/>
      <c r="D33" s="39"/>
    </row>
    <row r="34" spans="1:5" x14ac:dyDescent="0.3">
      <c r="A34" s="15"/>
      <c r="B34" s="15"/>
      <c r="D34" s="39"/>
    </row>
    <row r="35" spans="1:5" x14ac:dyDescent="0.3">
      <c r="A35" s="15"/>
      <c r="B35" s="15"/>
      <c r="D35" s="39"/>
    </row>
    <row r="36" spans="1:5" x14ac:dyDescent="0.3">
      <c r="A36" s="15"/>
      <c r="B36" s="15"/>
      <c r="D36" s="39"/>
    </row>
    <row r="37" spans="1:5" x14ac:dyDescent="0.3">
      <c r="A37" s="15"/>
      <c r="B37" s="15"/>
      <c r="D37" s="39"/>
    </row>
    <row r="38" spans="1:5" x14ac:dyDescent="0.3">
      <c r="A38" s="15"/>
      <c r="B38" s="15"/>
      <c r="D38" s="39"/>
    </row>
    <row r="39" spans="1:5" x14ac:dyDescent="0.3">
      <c r="A39" s="15"/>
      <c r="B39" s="15"/>
      <c r="D39" s="39"/>
    </row>
    <row r="40" spans="1:5" x14ac:dyDescent="0.3">
      <c r="A40" s="15"/>
      <c r="B40" s="15"/>
      <c r="D40" s="39"/>
    </row>
    <row r="41" spans="1:5" x14ac:dyDescent="0.3">
      <c r="A41" s="15"/>
      <c r="B41" s="15"/>
      <c r="D41" s="39"/>
    </row>
    <row r="42" spans="1:5" x14ac:dyDescent="0.3">
      <c r="A42" s="15"/>
      <c r="B42" s="15"/>
      <c r="D42" s="39"/>
    </row>
    <row r="43" spans="1:5" x14ac:dyDescent="0.3">
      <c r="A43" s="15"/>
      <c r="B43" s="15"/>
      <c r="D43" s="39"/>
    </row>
    <row r="44" spans="1:5" x14ac:dyDescent="0.3">
      <c r="A44" s="15"/>
      <c r="B44" s="15"/>
      <c r="D44" s="39"/>
    </row>
    <row r="45" spans="1:5" x14ac:dyDescent="0.3">
      <c r="A45" s="15"/>
      <c r="B45" s="15"/>
      <c r="D45" s="39"/>
    </row>
    <row r="46" spans="1:5" x14ac:dyDescent="0.3">
      <c r="A46" s="15"/>
      <c r="B46" s="15"/>
      <c r="D46" s="39"/>
      <c r="E46" s="67"/>
    </row>
    <row r="47" spans="1:5" x14ac:dyDescent="0.3">
      <c r="A47" s="15"/>
      <c r="B47" s="15"/>
      <c r="D47" s="39"/>
    </row>
    <row r="48" spans="1:5" x14ac:dyDescent="0.3">
      <c r="A48" s="15"/>
      <c r="B48" s="15"/>
      <c r="D48" s="39"/>
    </row>
    <row r="49" spans="1:4" x14ac:dyDescent="0.3">
      <c r="A49" s="15"/>
      <c r="B49" s="15"/>
      <c r="D49" s="39"/>
    </row>
    <row r="50" spans="1:4" x14ac:dyDescent="0.3">
      <c r="A50" s="15"/>
      <c r="B50" s="15"/>
      <c r="D50" s="39"/>
    </row>
    <row r="51" spans="1:4" x14ac:dyDescent="0.3">
      <c r="A51" s="15"/>
      <c r="B51" s="15"/>
      <c r="D51" s="39"/>
    </row>
    <row r="52" spans="1:4" x14ac:dyDescent="0.3">
      <c r="A52" s="15"/>
      <c r="B52" s="15"/>
      <c r="D52" s="39"/>
    </row>
    <row r="53" spans="1:4" x14ac:dyDescent="0.3">
      <c r="A53" s="15"/>
      <c r="B53" s="15"/>
      <c r="D53" s="39"/>
    </row>
    <row r="54" spans="1:4" x14ac:dyDescent="0.3">
      <c r="A54" s="15"/>
      <c r="B54" s="15"/>
      <c r="D54" s="39"/>
    </row>
    <row r="55" spans="1:4" x14ac:dyDescent="0.3">
      <c r="A55" s="15"/>
      <c r="B55" s="15"/>
      <c r="D55" s="39"/>
    </row>
    <row r="56" spans="1:4" x14ac:dyDescent="0.3">
      <c r="A56" s="15"/>
      <c r="B56" s="15"/>
      <c r="D56" s="39"/>
    </row>
    <row r="57" spans="1:4" x14ac:dyDescent="0.3">
      <c r="A57" s="15"/>
      <c r="B57" s="15"/>
      <c r="D57" s="39"/>
    </row>
    <row r="58" spans="1:4" x14ac:dyDescent="0.3">
      <c r="A58" s="15"/>
      <c r="B58" s="15"/>
      <c r="D58" s="39"/>
    </row>
    <row r="59" spans="1:4" x14ac:dyDescent="0.3">
      <c r="A59" s="15"/>
      <c r="B59" s="15"/>
      <c r="D59" s="39"/>
    </row>
    <row r="60" spans="1:4" x14ac:dyDescent="0.3">
      <c r="A60" s="15"/>
      <c r="B60" s="15"/>
      <c r="D60" s="39"/>
    </row>
    <row r="61" spans="1:4" x14ac:dyDescent="0.3">
      <c r="A61" s="15"/>
      <c r="B61" s="15"/>
      <c r="D61" s="39"/>
    </row>
    <row r="62" spans="1:4" x14ac:dyDescent="0.3">
      <c r="A62" s="15"/>
      <c r="B62" s="15"/>
      <c r="D62" s="39"/>
    </row>
    <row r="63" spans="1:4" x14ac:dyDescent="0.3">
      <c r="A63" s="15"/>
      <c r="B63" s="15"/>
      <c r="D63" s="39"/>
    </row>
    <row r="64" spans="1:4" x14ac:dyDescent="0.3">
      <c r="A64" s="15"/>
      <c r="B64" s="15"/>
      <c r="D64" s="39"/>
    </row>
    <row r="65" spans="1:4" x14ac:dyDescent="0.3">
      <c r="A65" s="15"/>
      <c r="B65" s="15"/>
      <c r="D65" s="39"/>
    </row>
    <row r="66" spans="1:4" x14ac:dyDescent="0.3">
      <c r="A66" s="15"/>
      <c r="B66" s="15"/>
      <c r="D66" s="39"/>
    </row>
    <row r="67" spans="1:4" x14ac:dyDescent="0.3">
      <c r="A67" s="15"/>
      <c r="B67" s="15"/>
      <c r="D67" s="39"/>
    </row>
    <row r="68" spans="1:4" x14ac:dyDescent="0.3">
      <c r="A68" s="15"/>
      <c r="B68" s="15"/>
      <c r="D68" s="39"/>
    </row>
    <row r="69" spans="1:4" x14ac:dyDescent="0.3">
      <c r="A69" s="15"/>
      <c r="B69" s="15"/>
      <c r="D69" s="39"/>
    </row>
    <row r="70" spans="1:4" x14ac:dyDescent="0.3">
      <c r="A70" s="15"/>
      <c r="B70" s="15"/>
      <c r="D70" s="39"/>
    </row>
    <row r="71" spans="1:4" x14ac:dyDescent="0.3">
      <c r="A71" s="15"/>
      <c r="B71" s="15"/>
      <c r="D71" s="39"/>
    </row>
    <row r="72" spans="1:4" x14ac:dyDescent="0.3">
      <c r="A72" s="15"/>
      <c r="B72" s="15"/>
      <c r="D72" s="39"/>
    </row>
    <row r="73" spans="1:4" x14ac:dyDescent="0.3">
      <c r="A73" s="15"/>
      <c r="B73" s="15"/>
      <c r="D73" s="39"/>
    </row>
    <row r="74" spans="1:4" x14ac:dyDescent="0.3">
      <c r="A74" s="15"/>
      <c r="B74" s="15"/>
      <c r="D74" s="39"/>
    </row>
    <row r="75" spans="1:4" x14ac:dyDescent="0.3">
      <c r="A75" s="15"/>
      <c r="B75" s="15"/>
      <c r="D75" s="39"/>
    </row>
    <row r="76" spans="1:4" x14ac:dyDescent="0.3">
      <c r="A76" s="15"/>
      <c r="B76" s="15"/>
      <c r="D76" s="39"/>
    </row>
    <row r="77" spans="1:4" x14ac:dyDescent="0.3">
      <c r="A77" s="15"/>
      <c r="B77" s="15"/>
      <c r="D77" s="39"/>
    </row>
    <row r="78" spans="1:4" x14ac:dyDescent="0.3">
      <c r="A78" s="15"/>
      <c r="B78" s="15"/>
      <c r="D78" s="39"/>
    </row>
    <row r="79" spans="1:4" x14ac:dyDescent="0.3">
      <c r="A79" s="15"/>
      <c r="B79" s="15"/>
      <c r="D79" s="39"/>
    </row>
    <row r="80" spans="1:4" x14ac:dyDescent="0.3">
      <c r="A80" s="15"/>
      <c r="B80" s="15"/>
      <c r="D80" s="39"/>
    </row>
    <row r="81" spans="1:4" x14ac:dyDescent="0.3">
      <c r="A81" s="15"/>
      <c r="B81" s="15"/>
      <c r="D81" s="39"/>
    </row>
    <row r="82" spans="1:4" x14ac:dyDescent="0.3">
      <c r="A82" s="15"/>
      <c r="B82" s="15"/>
      <c r="D82" s="39"/>
    </row>
    <row r="83" spans="1:4" x14ac:dyDescent="0.3">
      <c r="A83" s="15"/>
      <c r="B83" s="15"/>
      <c r="D83" s="39"/>
    </row>
    <row r="84" spans="1:4" x14ac:dyDescent="0.3">
      <c r="A84" s="15"/>
      <c r="B84" s="15"/>
      <c r="D84" s="39"/>
    </row>
    <row r="85" spans="1:4" x14ac:dyDescent="0.3">
      <c r="A85" s="15"/>
      <c r="B85" s="15"/>
      <c r="D85" s="39"/>
    </row>
    <row r="86" spans="1:4" x14ac:dyDescent="0.3">
      <c r="A86" s="15"/>
      <c r="B86" s="15"/>
      <c r="D86" s="39"/>
    </row>
    <row r="87" spans="1:4" x14ac:dyDescent="0.3">
      <c r="A87" s="15"/>
      <c r="B87" s="15"/>
      <c r="D87" s="39"/>
    </row>
    <row r="88" spans="1:4" x14ac:dyDescent="0.3">
      <c r="A88" s="15"/>
      <c r="B88" s="15"/>
      <c r="D88" s="39"/>
    </row>
    <row r="89" spans="1:4" x14ac:dyDescent="0.3">
      <c r="A89" s="15"/>
      <c r="B89" s="15"/>
      <c r="D89" s="39"/>
    </row>
    <row r="90" spans="1:4" x14ac:dyDescent="0.3">
      <c r="A90" s="15"/>
      <c r="B90" s="15"/>
      <c r="D90" s="39"/>
    </row>
    <row r="91" spans="1:4" x14ac:dyDescent="0.3">
      <c r="A91" s="15"/>
      <c r="B91" s="15"/>
      <c r="D91" s="39"/>
    </row>
    <row r="92" spans="1:4" x14ac:dyDescent="0.3">
      <c r="A92" s="15"/>
      <c r="B92" s="15"/>
      <c r="D92" s="39"/>
    </row>
    <row r="93" spans="1:4" x14ac:dyDescent="0.3">
      <c r="A93" s="15"/>
      <c r="B93" s="15"/>
      <c r="D93" s="39"/>
    </row>
    <row r="94" spans="1:4" x14ac:dyDescent="0.3">
      <c r="A94" s="15"/>
      <c r="B94" s="15"/>
      <c r="D94" s="39"/>
    </row>
    <row r="95" spans="1:4" x14ac:dyDescent="0.3">
      <c r="A95" s="15"/>
      <c r="B95" s="15"/>
      <c r="D95" s="39"/>
    </row>
    <row r="96" spans="1:4" x14ac:dyDescent="0.3">
      <c r="A96" s="15"/>
      <c r="B96" s="15"/>
      <c r="D96" s="39"/>
    </row>
    <row r="97" spans="1:4" x14ac:dyDescent="0.3">
      <c r="A97" s="15"/>
      <c r="B97" s="15"/>
      <c r="D97" s="39"/>
    </row>
    <row r="98" spans="1:4" x14ac:dyDescent="0.3">
      <c r="A98" s="15"/>
      <c r="B98" s="15"/>
      <c r="D98" s="39"/>
    </row>
    <row r="99" spans="1:4" x14ac:dyDescent="0.3">
      <c r="A99" s="15"/>
      <c r="B99" s="15"/>
      <c r="D99" s="39"/>
    </row>
    <row r="100" spans="1:4" x14ac:dyDescent="0.3">
      <c r="A100" s="15"/>
      <c r="B100" s="15"/>
      <c r="D100" s="39"/>
    </row>
    <row r="101" spans="1:4" x14ac:dyDescent="0.3">
      <c r="A101" s="15"/>
      <c r="B101" s="15"/>
      <c r="D101" s="39"/>
    </row>
    <row r="102" spans="1:4" x14ac:dyDescent="0.3">
      <c r="A102" s="15"/>
      <c r="B102" s="15"/>
      <c r="D102" s="39"/>
    </row>
    <row r="103" spans="1:4" x14ac:dyDescent="0.3">
      <c r="A103" s="15"/>
      <c r="B103" s="15"/>
      <c r="D103" s="39"/>
    </row>
    <row r="104" spans="1:4" x14ac:dyDescent="0.3">
      <c r="A104" s="15"/>
      <c r="B104" s="15"/>
      <c r="D104" s="39"/>
    </row>
    <row r="105" spans="1:4" x14ac:dyDescent="0.3">
      <c r="A105" s="15"/>
      <c r="B105" s="15"/>
      <c r="D105" s="39"/>
    </row>
    <row r="106" spans="1:4" x14ac:dyDescent="0.3">
      <c r="A106" s="15"/>
      <c r="B106" s="15"/>
      <c r="D106" s="39"/>
    </row>
    <row r="107" spans="1:4" x14ac:dyDescent="0.3">
      <c r="A107" s="15"/>
      <c r="B107" s="15"/>
      <c r="D107" s="39"/>
    </row>
    <row r="108" spans="1:4" x14ac:dyDescent="0.3">
      <c r="A108" s="15"/>
      <c r="B108" s="15"/>
      <c r="D108" s="39"/>
    </row>
    <row r="109" spans="1:4" x14ac:dyDescent="0.3">
      <c r="A109" s="15"/>
      <c r="B109" s="15"/>
      <c r="D109" s="39"/>
    </row>
    <row r="110" spans="1:4" x14ac:dyDescent="0.3">
      <c r="A110" s="15"/>
      <c r="B110" s="15"/>
      <c r="D110" s="39"/>
    </row>
    <row r="111" spans="1:4" x14ac:dyDescent="0.3">
      <c r="A111" s="15"/>
      <c r="B111" s="15"/>
      <c r="D111" s="39"/>
    </row>
    <row r="112" spans="1:4" x14ac:dyDescent="0.3">
      <c r="A112" s="15"/>
      <c r="B112" s="15"/>
      <c r="D112" s="39"/>
    </row>
    <row r="113" spans="1:4" x14ac:dyDescent="0.3">
      <c r="A113" s="15"/>
      <c r="B113" s="15"/>
      <c r="D113" s="39"/>
    </row>
    <row r="114" spans="1:4" x14ac:dyDescent="0.3">
      <c r="A114" s="15"/>
      <c r="B114" s="15"/>
      <c r="D114" s="39"/>
    </row>
    <row r="115" spans="1:4" x14ac:dyDescent="0.3">
      <c r="A115" s="15"/>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filterMode="1"/>
  <dimension ref="A1:Q456"/>
  <sheetViews>
    <sheetView workbookViewId="0">
      <pane ySplit="1" topLeftCell="A407" activePane="bottomLeft" state="frozen"/>
      <selection activeCell="B616" sqref="B616:E722"/>
      <selection pane="bottomLeft" activeCell="B409" sqref="B409"/>
    </sheetView>
  </sheetViews>
  <sheetFormatPr defaultRowHeight="14.4" x14ac:dyDescent="0.3"/>
  <cols>
    <col min="1" max="1" width="27.109375" customWidth="1"/>
    <col min="2" max="2" width="16.5546875" bestFit="1" customWidth="1"/>
    <col min="3" max="3" width="19.6640625" bestFit="1" customWidth="1"/>
    <col min="4" max="4" width="12.44140625" customWidth="1"/>
    <col min="5" max="5" width="14" bestFit="1" customWidth="1"/>
    <col min="6" max="6" width="11" customWidth="1"/>
    <col min="7" max="7" width="7.33203125" customWidth="1"/>
    <col min="8" max="8" width="7" customWidth="1"/>
    <col min="9" max="9" width="10.109375" bestFit="1" customWidth="1"/>
    <col min="10" max="10" width="14.33203125" customWidth="1"/>
    <col min="11" max="11" width="14.44140625" customWidth="1"/>
    <col min="12" max="12" width="5.5546875" customWidth="1"/>
    <col min="13" max="13" width="7.88671875" customWidth="1"/>
    <col min="14" max="14" width="39.6640625" customWidth="1"/>
    <col min="15" max="15" width="13.5546875" style="17" customWidth="1"/>
    <col min="16" max="16" width="12.6640625" bestFit="1" customWidth="1"/>
    <col min="17" max="17" width="10.6640625" customWidth="1"/>
  </cols>
  <sheetData>
    <row r="1" spans="1:17" x14ac:dyDescent="0.3">
      <c r="A1" s="12" t="s">
        <v>2</v>
      </c>
      <c r="B1" s="12" t="s">
        <v>0</v>
      </c>
      <c r="C1" s="12" t="s">
        <v>1</v>
      </c>
      <c r="D1" s="12" t="s">
        <v>3</v>
      </c>
      <c r="E1" s="12" t="s">
        <v>4</v>
      </c>
      <c r="F1" s="12" t="s">
        <v>5</v>
      </c>
      <c r="G1" s="12" t="s">
        <v>6</v>
      </c>
      <c r="H1" s="12" t="s">
        <v>7</v>
      </c>
      <c r="I1" s="12" t="s">
        <v>8</v>
      </c>
      <c r="J1" s="12" t="s">
        <v>9</v>
      </c>
      <c r="K1" s="12" t="s">
        <v>26</v>
      </c>
      <c r="L1" s="12" t="s">
        <v>14</v>
      </c>
      <c r="M1" s="12" t="s">
        <v>11</v>
      </c>
      <c r="N1" s="12" t="s">
        <v>12</v>
      </c>
      <c r="O1" s="16" t="s">
        <v>10</v>
      </c>
      <c r="P1" s="12" t="s">
        <v>13</v>
      </c>
      <c r="Q1" s="12" t="s">
        <v>58</v>
      </c>
    </row>
    <row r="2" spans="1:17" hidden="1" x14ac:dyDescent="0.3">
      <c r="A2" t="str">
        <f t="shared" ref="A2:A7" si="0">(B2&amp;D2&amp;E2&amp;F2&amp;G2&amp;H2)</f>
        <v>SectionA_SampleQTIA9226</v>
      </c>
      <c r="B2" t="s">
        <v>865</v>
      </c>
      <c r="C2" t="s">
        <v>817</v>
      </c>
      <c r="D2" t="s">
        <v>196</v>
      </c>
      <c r="E2">
        <v>9</v>
      </c>
      <c r="F2">
        <v>2</v>
      </c>
      <c r="G2">
        <v>2</v>
      </c>
      <c r="H2">
        <v>6</v>
      </c>
      <c r="I2">
        <v>1</v>
      </c>
      <c r="J2" s="15">
        <v>42389.385578703703</v>
      </c>
      <c r="K2" s="15">
        <v>42389.388020833336</v>
      </c>
      <c r="M2">
        <v>1</v>
      </c>
      <c r="N2" t="s">
        <v>1019</v>
      </c>
      <c r="O2" s="17">
        <f t="shared" ref="O2:O7" si="1">(K2-J2)*60*24</f>
        <v>3.516666671494022</v>
      </c>
      <c r="P2">
        <f>COUNTIF(A2:A2,A2)</f>
        <v>1</v>
      </c>
      <c r="Q2" s="39">
        <f t="shared" ref="Q2:Q7" si="2">DATE(YEAR(J2),MONTH(J2),DAY(J2))</f>
        <v>42389</v>
      </c>
    </row>
    <row r="3" spans="1:17" hidden="1" x14ac:dyDescent="0.3">
      <c r="A3" t="str">
        <f t="shared" si="0"/>
        <v>SectionA_SampleQTIA4214</v>
      </c>
      <c r="B3" t="s">
        <v>865</v>
      </c>
      <c r="C3" t="s">
        <v>817</v>
      </c>
      <c r="D3" t="s">
        <v>196</v>
      </c>
      <c r="E3">
        <v>4</v>
      </c>
      <c r="F3">
        <v>2</v>
      </c>
      <c r="G3">
        <v>1</v>
      </c>
      <c r="H3">
        <v>4</v>
      </c>
      <c r="I3">
        <v>1.5</v>
      </c>
      <c r="J3" s="15">
        <v>42389.388020833336</v>
      </c>
      <c r="K3" s="15">
        <v>42389.390231481484</v>
      </c>
      <c r="M3">
        <v>1</v>
      </c>
      <c r="N3" t="s">
        <v>1020</v>
      </c>
      <c r="O3" s="17">
        <f t="shared" si="1"/>
        <v>3.183333333581686</v>
      </c>
      <c r="P3">
        <f>COUNTIF(A2:A3,A3)</f>
        <v>1</v>
      </c>
      <c r="Q3" s="39">
        <f t="shared" si="2"/>
        <v>42389</v>
      </c>
    </row>
    <row r="4" spans="1:17" hidden="1" x14ac:dyDescent="0.3">
      <c r="A4" t="str">
        <f t="shared" si="0"/>
        <v>SectionA_Exam200711.5310</v>
      </c>
      <c r="B4" t="s">
        <v>863</v>
      </c>
      <c r="C4" t="s">
        <v>817</v>
      </c>
      <c r="D4">
        <v>2007</v>
      </c>
      <c r="E4">
        <v>1</v>
      </c>
      <c r="F4">
        <v>1.5</v>
      </c>
      <c r="G4">
        <v>3</v>
      </c>
      <c r="H4">
        <v>10</v>
      </c>
      <c r="I4">
        <v>1.5</v>
      </c>
      <c r="J4" s="15">
        <v>42389.390231481484</v>
      </c>
      <c r="K4" s="15">
        <v>42389.392395833333</v>
      </c>
      <c r="O4" s="17">
        <f t="shared" si="1"/>
        <v>3.1166666618082672</v>
      </c>
      <c r="P4">
        <f>COUNTIF(A2:A4,A4)</f>
        <v>1</v>
      </c>
      <c r="Q4" s="39">
        <f t="shared" si="2"/>
        <v>42389</v>
      </c>
    </row>
    <row r="5" spans="1:17" hidden="1" x14ac:dyDescent="0.3">
      <c r="A5" t="str">
        <f t="shared" si="0"/>
        <v>SectionA_Exam200331.517</v>
      </c>
      <c r="B5" t="s">
        <v>863</v>
      </c>
      <c r="C5" t="s">
        <v>817</v>
      </c>
      <c r="D5">
        <v>2003</v>
      </c>
      <c r="E5">
        <v>3</v>
      </c>
      <c r="F5">
        <v>1.5</v>
      </c>
      <c r="G5">
        <v>1</v>
      </c>
      <c r="H5">
        <v>7</v>
      </c>
      <c r="I5">
        <v>1.25</v>
      </c>
      <c r="J5" s="15">
        <v>42389.392395833333</v>
      </c>
      <c r="K5" s="15">
        <v>42389.392743055556</v>
      </c>
      <c r="N5" t="s">
        <v>1021</v>
      </c>
      <c r="O5" s="17">
        <f t="shared" si="1"/>
        <v>0.50000000162981451</v>
      </c>
      <c r="P5">
        <f>COUNTIF(A2:A5,A5)</f>
        <v>1</v>
      </c>
      <c r="Q5" s="39">
        <f t="shared" si="2"/>
        <v>42389</v>
      </c>
    </row>
    <row r="6" spans="1:17" hidden="1" x14ac:dyDescent="0.3">
      <c r="A6" t="str">
        <f t="shared" si="0"/>
        <v>SectionA_Exam20034118</v>
      </c>
      <c r="B6" t="s">
        <v>863</v>
      </c>
      <c r="C6" t="s">
        <v>817</v>
      </c>
      <c r="D6">
        <v>2003</v>
      </c>
      <c r="E6">
        <v>4</v>
      </c>
      <c r="F6">
        <v>1</v>
      </c>
      <c r="G6">
        <v>1</v>
      </c>
      <c r="H6">
        <v>8</v>
      </c>
      <c r="I6">
        <v>0.5</v>
      </c>
      <c r="J6" s="15">
        <v>42389.392743055556</v>
      </c>
      <c r="K6" s="15">
        <v>42389.394745370373</v>
      </c>
      <c r="N6" t="s">
        <v>1022</v>
      </c>
      <c r="O6" s="17">
        <f t="shared" si="1"/>
        <v>2.8833333367947489</v>
      </c>
      <c r="P6">
        <f>COUNTIF(A2:A6,A6)</f>
        <v>1</v>
      </c>
      <c r="Q6" s="39">
        <f t="shared" si="2"/>
        <v>42389</v>
      </c>
    </row>
    <row r="7" spans="1:17" hidden="1" x14ac:dyDescent="0.3">
      <c r="A7" t="str">
        <f t="shared" si="0"/>
        <v>SectionA_SampleQTIA5215</v>
      </c>
      <c r="B7" t="s">
        <v>865</v>
      </c>
      <c r="C7" t="s">
        <v>817</v>
      </c>
      <c r="D7" t="s">
        <v>196</v>
      </c>
      <c r="E7">
        <v>5</v>
      </c>
      <c r="F7">
        <v>2</v>
      </c>
      <c r="G7">
        <v>1</v>
      </c>
      <c r="H7">
        <v>5</v>
      </c>
      <c r="I7">
        <v>2</v>
      </c>
      <c r="J7" s="15">
        <v>42389.394745370373</v>
      </c>
      <c r="K7" s="15">
        <v>42389.397210648145</v>
      </c>
      <c r="O7" s="17">
        <f t="shared" si="1"/>
        <v>3.549999991664663</v>
      </c>
      <c r="P7">
        <f>COUNTIF(A2:A7,A7)</f>
        <v>1</v>
      </c>
      <c r="Q7" s="39">
        <f t="shared" si="2"/>
        <v>42389</v>
      </c>
    </row>
    <row r="8" spans="1:17" hidden="1" x14ac:dyDescent="0.3">
      <c r="A8" t="str">
        <f t="shared" ref="A8:A15" si="3">(B8&amp;D8&amp;E8&amp;F8&amp;G8&amp;H8)</f>
        <v>SectionA_SampleQTIA422022</v>
      </c>
      <c r="B8" t="s">
        <v>865</v>
      </c>
      <c r="C8" t="s">
        <v>820</v>
      </c>
      <c r="D8" t="s">
        <v>196</v>
      </c>
      <c r="E8">
        <v>4</v>
      </c>
      <c r="F8">
        <v>2</v>
      </c>
      <c r="G8">
        <v>20</v>
      </c>
      <c r="H8">
        <v>22</v>
      </c>
      <c r="I8">
        <v>0</v>
      </c>
      <c r="J8" s="15">
        <v>42418.713090277779</v>
      </c>
      <c r="K8" s="15">
        <v>42418.716377314813</v>
      </c>
      <c r="M8">
        <v>1</v>
      </c>
      <c r="O8" s="17">
        <f t="shared" ref="O8:O15" si="4">(K8-J8)*60*24</f>
        <v>4.7333333292044699</v>
      </c>
      <c r="P8">
        <f>COUNTIF(A2:A8,A8)</f>
        <v>1</v>
      </c>
      <c r="Q8" s="39">
        <f t="shared" ref="Q8:Q15" si="5">DATE(YEAR(J8),MONTH(J8),DAY(J8))</f>
        <v>42418</v>
      </c>
    </row>
    <row r="9" spans="1:17" hidden="1" x14ac:dyDescent="0.3">
      <c r="A9" t="str">
        <f t="shared" si="3"/>
        <v>SectionA_SampleQTIA42711</v>
      </c>
      <c r="B9" t="s">
        <v>865</v>
      </c>
      <c r="C9" t="s">
        <v>819</v>
      </c>
      <c r="D9" t="s">
        <v>196</v>
      </c>
      <c r="E9">
        <v>4</v>
      </c>
      <c r="F9">
        <v>2</v>
      </c>
      <c r="G9">
        <v>7</v>
      </c>
      <c r="H9">
        <v>11</v>
      </c>
      <c r="I9">
        <v>2</v>
      </c>
      <c r="J9" s="15">
        <v>42418.716377314813</v>
      </c>
      <c r="K9" s="15">
        <v>42418.717557870368</v>
      </c>
      <c r="O9" s="17">
        <f t="shared" si="4"/>
        <v>1.6999999992549419</v>
      </c>
      <c r="P9">
        <f>COUNTIF(A2:A9,A9)</f>
        <v>1</v>
      </c>
      <c r="Q9" s="39">
        <f t="shared" si="5"/>
        <v>42418</v>
      </c>
    </row>
    <row r="10" spans="1:17" hidden="1" x14ac:dyDescent="0.3">
      <c r="A10" t="str">
        <f t="shared" si="3"/>
        <v>SectionA_Exam200911.75311</v>
      </c>
      <c r="B10" t="s">
        <v>863</v>
      </c>
      <c r="C10" t="s">
        <v>817</v>
      </c>
      <c r="D10">
        <v>2009</v>
      </c>
      <c r="E10">
        <v>1</v>
      </c>
      <c r="F10">
        <v>1.75</v>
      </c>
      <c r="G10">
        <v>3</v>
      </c>
      <c r="H10">
        <v>11</v>
      </c>
      <c r="I10">
        <v>1.75</v>
      </c>
      <c r="J10" s="15">
        <v>42418.717557870368</v>
      </c>
      <c r="K10" s="15">
        <v>42418.726076388892</v>
      </c>
      <c r="M10">
        <v>1</v>
      </c>
      <c r="N10" t="s">
        <v>1400</v>
      </c>
      <c r="O10" s="17">
        <f t="shared" si="4"/>
        <v>12.266666673822328</v>
      </c>
      <c r="P10">
        <f>COUNTIF(A2:A10,A10)</f>
        <v>1</v>
      </c>
      <c r="Q10" s="39">
        <f t="shared" si="5"/>
        <v>42418</v>
      </c>
    </row>
    <row r="11" spans="1:17" hidden="1" x14ac:dyDescent="0.3">
      <c r="A11" t="str">
        <f t="shared" si="3"/>
        <v>SectionA_SampleQTIA321922</v>
      </c>
      <c r="B11" t="s">
        <v>865</v>
      </c>
      <c r="C11" t="s">
        <v>820</v>
      </c>
      <c r="D11" t="s">
        <v>196</v>
      </c>
      <c r="E11">
        <v>3</v>
      </c>
      <c r="F11">
        <v>2</v>
      </c>
      <c r="G11">
        <v>19</v>
      </c>
      <c r="H11">
        <v>22</v>
      </c>
      <c r="I11">
        <v>0</v>
      </c>
      <c r="J11" s="15">
        <v>42418.726076388892</v>
      </c>
      <c r="K11" s="15">
        <v>42418.728495370371</v>
      </c>
      <c r="M11">
        <v>1</v>
      </c>
      <c r="N11" t="s">
        <v>1031</v>
      </c>
      <c r="O11" s="17">
        <f t="shared" si="4"/>
        <v>3.4833333303686231</v>
      </c>
      <c r="P11">
        <f>COUNTIF(A2:A11,A11)</f>
        <v>1</v>
      </c>
      <c r="Q11" s="39">
        <f t="shared" si="5"/>
        <v>42418</v>
      </c>
    </row>
    <row r="12" spans="1:17" hidden="1" x14ac:dyDescent="0.3">
      <c r="A12" t="str">
        <f t="shared" si="3"/>
        <v>SectionA_Exam2005532029</v>
      </c>
      <c r="B12" t="s">
        <v>863</v>
      </c>
      <c r="C12" t="s">
        <v>819</v>
      </c>
      <c r="D12">
        <v>2005</v>
      </c>
      <c r="E12">
        <v>5</v>
      </c>
      <c r="F12">
        <v>3</v>
      </c>
      <c r="G12">
        <v>20</v>
      </c>
      <c r="H12">
        <v>29</v>
      </c>
      <c r="I12">
        <v>1</v>
      </c>
      <c r="J12" s="15">
        <v>42418.728495370371</v>
      </c>
      <c r="K12" s="15">
        <v>42418.746944444443</v>
      </c>
      <c r="M12">
        <v>1</v>
      </c>
      <c r="N12" t="s">
        <v>1032</v>
      </c>
      <c r="O12" s="17">
        <f t="shared" si="4"/>
        <v>26.566666663857177</v>
      </c>
      <c r="P12">
        <f>COUNTIF(A2:A12,A12)</f>
        <v>1</v>
      </c>
      <c r="Q12" s="39">
        <f t="shared" si="5"/>
        <v>42418</v>
      </c>
    </row>
    <row r="13" spans="1:17" hidden="1" x14ac:dyDescent="0.3">
      <c r="A13" t="str">
        <f t="shared" si="3"/>
        <v>SectionA_SampleQTIA6225</v>
      </c>
      <c r="B13" t="s">
        <v>865</v>
      </c>
      <c r="C13" t="s">
        <v>817</v>
      </c>
      <c r="D13" t="s">
        <v>196</v>
      </c>
      <c r="E13">
        <v>6</v>
      </c>
      <c r="F13">
        <v>2</v>
      </c>
      <c r="G13">
        <v>2</v>
      </c>
      <c r="H13">
        <v>5</v>
      </c>
      <c r="I13">
        <v>1</v>
      </c>
      <c r="J13" s="15">
        <v>42418.746944444443</v>
      </c>
      <c r="K13" s="15">
        <v>42418.748449074075</v>
      </c>
      <c r="N13" t="s">
        <v>1033</v>
      </c>
      <c r="O13" s="17">
        <f t="shared" si="4"/>
        <v>2.1666666702367365</v>
      </c>
      <c r="P13">
        <f>COUNTIF(A2:A13,A13)</f>
        <v>1</v>
      </c>
      <c r="Q13" s="39">
        <f t="shared" si="5"/>
        <v>42418</v>
      </c>
    </row>
    <row r="14" spans="1:17" hidden="1" x14ac:dyDescent="0.3">
      <c r="A14" t="str">
        <f t="shared" si="3"/>
        <v>SectionA_SampleQTIA8226</v>
      </c>
      <c r="B14" t="s">
        <v>865</v>
      </c>
      <c r="C14" t="s">
        <v>817</v>
      </c>
      <c r="D14" t="s">
        <v>196</v>
      </c>
      <c r="E14">
        <v>8</v>
      </c>
      <c r="F14">
        <v>2</v>
      </c>
      <c r="G14">
        <v>2</v>
      </c>
      <c r="H14">
        <v>6</v>
      </c>
      <c r="I14">
        <v>2</v>
      </c>
      <c r="J14" s="15">
        <v>42418.748449074075</v>
      </c>
      <c r="K14" s="15">
        <v>42418.749756944446</v>
      </c>
      <c r="O14" s="17">
        <f t="shared" si="4"/>
        <v>1.8833333335351199</v>
      </c>
      <c r="P14">
        <f>COUNTIF(A2:A14,A14)</f>
        <v>1</v>
      </c>
      <c r="Q14" s="39">
        <f t="shared" si="5"/>
        <v>42418</v>
      </c>
    </row>
    <row r="15" spans="1:17" hidden="1" x14ac:dyDescent="0.3">
      <c r="A15" t="str">
        <f t="shared" si="3"/>
        <v>SectionA_SampleQTIA522023</v>
      </c>
      <c r="B15" t="s">
        <v>865</v>
      </c>
      <c r="C15" t="s">
        <v>820</v>
      </c>
      <c r="D15" t="s">
        <v>196</v>
      </c>
      <c r="E15">
        <v>5</v>
      </c>
      <c r="F15">
        <v>2</v>
      </c>
      <c r="G15">
        <v>20</v>
      </c>
      <c r="H15">
        <v>23</v>
      </c>
      <c r="I15">
        <v>1.5</v>
      </c>
      <c r="J15" s="15">
        <v>42418.749756944446</v>
      </c>
      <c r="K15" s="15">
        <v>42418.753125000003</v>
      </c>
      <c r="M15">
        <v>1</v>
      </c>
      <c r="O15" s="17">
        <f t="shared" si="4"/>
        <v>4.8500000021886081</v>
      </c>
      <c r="P15">
        <f>COUNTIF(A2:A15,A15)</f>
        <v>1</v>
      </c>
      <c r="Q15" s="39">
        <f t="shared" si="5"/>
        <v>42418</v>
      </c>
    </row>
    <row r="16" spans="1:17" hidden="1" x14ac:dyDescent="0.3">
      <c r="A16" t="str">
        <f t="shared" ref="A16:A47" si="6">(B16&amp;D16&amp;E16&amp;F16&amp;G16&amp;H16)</f>
        <v>SectionA_Exam20001326872</v>
      </c>
      <c r="B16" t="s">
        <v>863</v>
      </c>
      <c r="C16" t="s">
        <v>814</v>
      </c>
      <c r="D16">
        <v>2000</v>
      </c>
      <c r="E16">
        <v>13</v>
      </c>
      <c r="F16">
        <v>2</v>
      </c>
      <c r="G16">
        <v>68</v>
      </c>
      <c r="H16">
        <v>72</v>
      </c>
      <c r="I16">
        <v>1</v>
      </c>
      <c r="J16" s="15">
        <v>42450.770532407405</v>
      </c>
      <c r="K16" s="15">
        <v>42450.776226851849</v>
      </c>
      <c r="O16" s="17">
        <f t="shared" ref="O16:O47" si="7">(K16-J16)*60*24</f>
        <v>8.1999999994877726</v>
      </c>
      <c r="P16">
        <f>COUNTIF(A1:A16,A16)</f>
        <v>1</v>
      </c>
      <c r="Q16" s="39">
        <f t="shared" ref="Q16:Q47" si="8">DATE(YEAR(J16),MONTH(J16),DAY(J16))</f>
        <v>42450</v>
      </c>
    </row>
    <row r="17" spans="1:17" hidden="1" x14ac:dyDescent="0.3">
      <c r="A17" t="str">
        <f t="shared" si="6"/>
        <v>SectionA_Exam20031014653</v>
      </c>
      <c r="B17" t="s">
        <v>863</v>
      </c>
      <c r="C17" t="s">
        <v>820</v>
      </c>
      <c r="D17">
        <v>2003</v>
      </c>
      <c r="E17">
        <v>10</v>
      </c>
      <c r="F17">
        <v>1</v>
      </c>
      <c r="G17">
        <v>46</v>
      </c>
      <c r="H17">
        <v>53</v>
      </c>
      <c r="I17">
        <v>0.75</v>
      </c>
      <c r="J17" s="15">
        <v>42426.339953703704</v>
      </c>
      <c r="K17" s="15">
        <v>42426.342268518521</v>
      </c>
      <c r="M17">
        <v>1</v>
      </c>
      <c r="N17" t="s">
        <v>1035</v>
      </c>
      <c r="O17" s="17">
        <f t="shared" si="7"/>
        <v>3.3333333372138441</v>
      </c>
      <c r="P17">
        <f>COUNTIF(A2:A17,A17)</f>
        <v>1</v>
      </c>
      <c r="Q17" s="39">
        <f t="shared" si="8"/>
        <v>42426</v>
      </c>
    </row>
    <row r="18" spans="1:17" hidden="1" x14ac:dyDescent="0.3">
      <c r="A18" t="str">
        <f t="shared" si="6"/>
        <v>SectionA_Exam2003131.56973</v>
      </c>
      <c r="B18" t="s">
        <v>863</v>
      </c>
      <c r="C18" t="s">
        <v>814</v>
      </c>
      <c r="D18">
        <v>2003</v>
      </c>
      <c r="E18">
        <v>13</v>
      </c>
      <c r="F18">
        <v>1.5</v>
      </c>
      <c r="G18">
        <v>69</v>
      </c>
      <c r="H18">
        <v>73</v>
      </c>
      <c r="I18">
        <v>1.25</v>
      </c>
      <c r="J18" s="15">
        <v>42450.904687499999</v>
      </c>
      <c r="K18" s="15">
        <v>42450.908402777779</v>
      </c>
      <c r="O18" s="17">
        <f t="shared" si="7"/>
        <v>5.3500000038184226</v>
      </c>
      <c r="P18">
        <f>COUNTIF(A1:A18,A18)</f>
        <v>1</v>
      </c>
      <c r="Q18" s="39">
        <f t="shared" si="8"/>
        <v>42450</v>
      </c>
    </row>
    <row r="19" spans="1:17" hidden="1" x14ac:dyDescent="0.3">
      <c r="A19" t="str">
        <f t="shared" si="6"/>
        <v>SectionB_SampleQTIA1279</v>
      </c>
      <c r="B19" t="s">
        <v>866</v>
      </c>
      <c r="C19" t="s">
        <v>826</v>
      </c>
      <c r="D19" t="s">
        <v>196</v>
      </c>
      <c r="E19">
        <v>1</v>
      </c>
      <c r="F19">
        <v>2</v>
      </c>
      <c r="G19">
        <v>7</v>
      </c>
      <c r="H19">
        <v>9</v>
      </c>
      <c r="I19">
        <v>1</v>
      </c>
      <c r="J19" s="15">
        <v>42426.343506944446</v>
      </c>
      <c r="K19" s="15">
        <v>42426.411585648151</v>
      </c>
      <c r="N19" t="s">
        <v>1037</v>
      </c>
      <c r="O19" s="17">
        <f t="shared" si="7"/>
        <v>98.033333335770294</v>
      </c>
      <c r="P19">
        <f>COUNTIF(A2:A19,A19)</f>
        <v>1</v>
      </c>
      <c r="Q19" s="39">
        <f t="shared" si="8"/>
        <v>42426</v>
      </c>
    </row>
    <row r="20" spans="1:17" hidden="1" x14ac:dyDescent="0.3">
      <c r="A20" t="str">
        <f t="shared" si="6"/>
        <v>SectionA_Exam2007312232</v>
      </c>
      <c r="B20" t="s">
        <v>863</v>
      </c>
      <c r="C20" t="s">
        <v>819</v>
      </c>
      <c r="D20">
        <v>2007</v>
      </c>
      <c r="E20">
        <v>3</v>
      </c>
      <c r="F20">
        <v>1</v>
      </c>
      <c r="G20">
        <v>22</v>
      </c>
      <c r="H20">
        <v>32</v>
      </c>
      <c r="I20">
        <v>0</v>
      </c>
      <c r="J20" s="15">
        <v>42426.411585648151</v>
      </c>
      <c r="K20" s="15">
        <v>42426.542569444442</v>
      </c>
      <c r="M20">
        <v>1</v>
      </c>
      <c r="N20" t="s">
        <v>1396</v>
      </c>
      <c r="O20" s="17">
        <f t="shared" si="7"/>
        <v>188.61666665878147</v>
      </c>
      <c r="P20">
        <f>COUNTIF(A2:A20,A20)</f>
        <v>1</v>
      </c>
      <c r="Q20" s="39">
        <f t="shared" si="8"/>
        <v>42426</v>
      </c>
    </row>
    <row r="21" spans="1:17" hidden="1" x14ac:dyDescent="0.3">
      <c r="A21" t="str">
        <f t="shared" si="6"/>
        <v>SectionA_SampleQTIA522528</v>
      </c>
      <c r="B21" t="s">
        <v>865</v>
      </c>
      <c r="C21" t="s">
        <v>814</v>
      </c>
      <c r="D21" t="s">
        <v>196</v>
      </c>
      <c r="E21">
        <v>5</v>
      </c>
      <c r="F21">
        <v>2</v>
      </c>
      <c r="G21">
        <v>25</v>
      </c>
      <c r="H21">
        <v>28</v>
      </c>
      <c r="I21">
        <v>1.5</v>
      </c>
      <c r="J21" s="15">
        <v>42450.910069444442</v>
      </c>
      <c r="K21" s="15">
        <v>42450.911921296298</v>
      </c>
      <c r="O21" s="17">
        <f t="shared" si="7"/>
        <v>2.666666671866551</v>
      </c>
      <c r="P21">
        <f>COUNTIF(A1:A21,A21)</f>
        <v>1</v>
      </c>
      <c r="Q21" s="39">
        <f t="shared" si="8"/>
        <v>42450</v>
      </c>
    </row>
    <row r="22" spans="1:17" hidden="1" x14ac:dyDescent="0.3">
      <c r="A22" t="str">
        <f t="shared" si="6"/>
        <v>SectionA_SampleQTIA422427</v>
      </c>
      <c r="B22" t="s">
        <v>865</v>
      </c>
      <c r="C22" t="s">
        <v>814</v>
      </c>
      <c r="D22" t="s">
        <v>196</v>
      </c>
      <c r="E22">
        <v>4</v>
      </c>
      <c r="F22">
        <v>2</v>
      </c>
      <c r="G22">
        <v>24</v>
      </c>
      <c r="H22">
        <v>27</v>
      </c>
      <c r="I22">
        <v>0</v>
      </c>
      <c r="J22" s="15">
        <v>42450.912638888891</v>
      </c>
      <c r="K22" s="15">
        <v>42450.915497685186</v>
      </c>
      <c r="M22">
        <v>1</v>
      </c>
      <c r="O22" s="17">
        <f t="shared" si="7"/>
        <v>4.1166666650678962</v>
      </c>
      <c r="P22">
        <f>COUNTIF(A1:A22,A22)</f>
        <v>1</v>
      </c>
      <c r="Q22" s="39">
        <f t="shared" si="8"/>
        <v>42450</v>
      </c>
    </row>
    <row r="23" spans="1:17" hidden="1" x14ac:dyDescent="0.3">
      <c r="A23" t="str">
        <f t="shared" si="6"/>
        <v>SectionB_Exam2003274.5314</v>
      </c>
      <c r="B23" t="s">
        <v>869</v>
      </c>
      <c r="C23" t="s">
        <v>828</v>
      </c>
      <c r="D23">
        <v>2003</v>
      </c>
      <c r="E23">
        <v>27</v>
      </c>
      <c r="F23">
        <v>4.5</v>
      </c>
      <c r="G23">
        <v>3</v>
      </c>
      <c r="H23">
        <v>14</v>
      </c>
      <c r="I23">
        <v>4.5</v>
      </c>
      <c r="J23" s="15">
        <v>42426.546793981484</v>
      </c>
      <c r="K23" s="15">
        <v>42426.553310185183</v>
      </c>
      <c r="O23" s="17">
        <f t="shared" si="7"/>
        <v>9.3833333265502006</v>
      </c>
      <c r="P23">
        <f>COUNTIF(A2:A23,A23)</f>
        <v>1</v>
      </c>
      <c r="Q23" s="39">
        <f t="shared" si="8"/>
        <v>42426</v>
      </c>
    </row>
    <row r="24" spans="1:17" hidden="1" x14ac:dyDescent="0.3">
      <c r="A24" t="str">
        <f t="shared" si="6"/>
        <v>SectionB_Exam2001272112</v>
      </c>
      <c r="B24" t="s">
        <v>869</v>
      </c>
      <c r="C24" t="s">
        <v>828</v>
      </c>
      <c r="D24">
        <v>2001</v>
      </c>
      <c r="E24">
        <v>27</v>
      </c>
      <c r="F24">
        <v>2</v>
      </c>
      <c r="G24">
        <v>1</v>
      </c>
      <c r="H24">
        <v>12</v>
      </c>
      <c r="I24">
        <v>1.5</v>
      </c>
      <c r="J24" s="15">
        <v>42426.553310185183</v>
      </c>
      <c r="K24" s="15">
        <v>42426.558472222219</v>
      </c>
      <c r="N24" t="s">
        <v>1038</v>
      </c>
      <c r="O24" s="17">
        <f t="shared" si="7"/>
        <v>7.4333333317190409</v>
      </c>
      <c r="P24">
        <f>COUNTIF(A2:A24,A24)</f>
        <v>1</v>
      </c>
      <c r="Q24" s="39">
        <f t="shared" si="8"/>
        <v>42426</v>
      </c>
    </row>
    <row r="25" spans="1:17" hidden="1" x14ac:dyDescent="0.3">
      <c r="A25" t="str">
        <f t="shared" si="6"/>
        <v>SectionB_Exam200961.25619</v>
      </c>
      <c r="B25" t="s">
        <v>869</v>
      </c>
      <c r="C25" t="s">
        <v>828</v>
      </c>
      <c r="D25">
        <v>2009</v>
      </c>
      <c r="E25">
        <v>6</v>
      </c>
      <c r="F25">
        <v>1.25</v>
      </c>
      <c r="G25">
        <v>6</v>
      </c>
      <c r="H25">
        <v>19</v>
      </c>
      <c r="I25">
        <v>0.25</v>
      </c>
      <c r="J25" s="15">
        <v>42429.394259259258</v>
      </c>
      <c r="K25" s="15">
        <v>42429.396620370368</v>
      </c>
      <c r="O25" s="17">
        <f t="shared" si="7"/>
        <v>3.3999999985098839</v>
      </c>
      <c r="P25">
        <f>COUNTIF(A2:A25,A25)</f>
        <v>1</v>
      </c>
      <c r="Q25" s="39">
        <f t="shared" si="8"/>
        <v>42429</v>
      </c>
    </row>
    <row r="26" spans="1:17" hidden="1" x14ac:dyDescent="0.3">
      <c r="A26" t="str">
        <f t="shared" si="6"/>
        <v>SectionB_SampleQTIA32711</v>
      </c>
      <c r="B26" t="s">
        <v>866</v>
      </c>
      <c r="C26" t="s">
        <v>826</v>
      </c>
      <c r="D26" t="s">
        <v>196</v>
      </c>
      <c r="E26">
        <v>3</v>
      </c>
      <c r="F26">
        <v>2</v>
      </c>
      <c r="G26">
        <v>7</v>
      </c>
      <c r="H26">
        <v>11</v>
      </c>
      <c r="I26">
        <v>1.5</v>
      </c>
      <c r="J26" s="15">
        <v>42429.396620370368</v>
      </c>
      <c r="K26" s="15">
        <v>42429.402488425927</v>
      </c>
      <c r="M26">
        <v>1</v>
      </c>
      <c r="N26" t="s">
        <v>1039</v>
      </c>
      <c r="O26" s="17">
        <f t="shared" si="7"/>
        <v>8.4500000055413693</v>
      </c>
      <c r="P26">
        <f>COUNTIF(A2:A26,A26)</f>
        <v>1</v>
      </c>
      <c r="Q26" s="39">
        <f t="shared" si="8"/>
        <v>42429</v>
      </c>
    </row>
    <row r="27" spans="1:17" hidden="1" x14ac:dyDescent="0.3">
      <c r="A27" t="str">
        <f t="shared" si="6"/>
        <v>SectionB_Exam2001162111</v>
      </c>
      <c r="B27" t="s">
        <v>869</v>
      </c>
      <c r="C27" t="s">
        <v>828</v>
      </c>
      <c r="D27">
        <v>2001</v>
      </c>
      <c r="E27">
        <v>16</v>
      </c>
      <c r="F27">
        <v>2</v>
      </c>
      <c r="G27">
        <v>1</v>
      </c>
      <c r="H27">
        <v>11</v>
      </c>
      <c r="I27">
        <v>0</v>
      </c>
      <c r="J27" s="15">
        <v>42429.837488425925</v>
      </c>
      <c r="K27" s="15">
        <v>42429.841979166667</v>
      </c>
      <c r="N27" t="s">
        <v>1040</v>
      </c>
      <c r="O27" s="17">
        <f t="shared" si="7"/>
        <v>6.4666666695848107</v>
      </c>
      <c r="P27">
        <f>COUNTIF(A2:A27,A27)</f>
        <v>1</v>
      </c>
      <c r="Q27" s="39">
        <f t="shared" si="8"/>
        <v>42429</v>
      </c>
    </row>
    <row r="28" spans="1:17" hidden="1" x14ac:dyDescent="0.3">
      <c r="A28" t="str">
        <f t="shared" si="6"/>
        <v>SectionB_Exam2007181.53248</v>
      </c>
      <c r="B28" t="s">
        <v>869</v>
      </c>
      <c r="C28" t="s">
        <v>826</v>
      </c>
      <c r="D28">
        <v>2007</v>
      </c>
      <c r="E28">
        <v>18</v>
      </c>
      <c r="F28">
        <v>1.5</v>
      </c>
      <c r="G28">
        <v>32</v>
      </c>
      <c r="H28">
        <v>48</v>
      </c>
      <c r="I28">
        <v>0</v>
      </c>
      <c r="J28" s="15">
        <v>42429.841979166667</v>
      </c>
      <c r="K28" s="15">
        <v>42429.849722222221</v>
      </c>
      <c r="M28">
        <v>1</v>
      </c>
      <c r="N28" t="s">
        <v>1041</v>
      </c>
      <c r="O28" s="17">
        <f t="shared" si="7"/>
        <v>11.149999997578561</v>
      </c>
      <c r="P28">
        <f>COUNTIF(A2:A28,A28)</f>
        <v>1</v>
      </c>
      <c r="Q28" s="39">
        <f t="shared" si="8"/>
        <v>42429</v>
      </c>
    </row>
    <row r="29" spans="1:17" hidden="1" x14ac:dyDescent="0.3">
      <c r="A29" t="str">
        <f t="shared" si="6"/>
        <v>SectionB_SampleQTIA221820</v>
      </c>
      <c r="B29" t="s">
        <v>866</v>
      </c>
      <c r="C29" t="s">
        <v>775</v>
      </c>
      <c r="D29" t="s">
        <v>196</v>
      </c>
      <c r="E29">
        <v>2</v>
      </c>
      <c r="F29">
        <v>2</v>
      </c>
      <c r="G29">
        <v>18</v>
      </c>
      <c r="H29">
        <v>20</v>
      </c>
      <c r="I29">
        <v>2</v>
      </c>
      <c r="J29" s="15">
        <v>42429.849722222221</v>
      </c>
      <c r="K29" s="15">
        <v>42429.855856481481</v>
      </c>
      <c r="M29">
        <v>1</v>
      </c>
      <c r="O29" s="17">
        <f t="shared" si="7"/>
        <v>8.8333333341870457</v>
      </c>
      <c r="P29">
        <f>COUNTIF(A2:A29,A29)</f>
        <v>1</v>
      </c>
      <c r="Q29" s="39">
        <f t="shared" si="8"/>
        <v>42429</v>
      </c>
    </row>
    <row r="30" spans="1:17" hidden="1" x14ac:dyDescent="0.3">
      <c r="A30" t="str">
        <f t="shared" si="6"/>
        <v>SectionB_Exam200992.25620</v>
      </c>
      <c r="B30" t="s">
        <v>869</v>
      </c>
      <c r="C30" t="s">
        <v>828</v>
      </c>
      <c r="D30">
        <v>2009</v>
      </c>
      <c r="E30">
        <v>9</v>
      </c>
      <c r="F30">
        <v>2.25</v>
      </c>
      <c r="G30">
        <v>6</v>
      </c>
      <c r="H30">
        <v>20</v>
      </c>
      <c r="I30">
        <v>0</v>
      </c>
      <c r="J30" s="15">
        <v>42429.855856481481</v>
      </c>
      <c r="K30" s="15">
        <v>42429.85597222222</v>
      </c>
      <c r="M30">
        <v>1</v>
      </c>
      <c r="O30" s="17">
        <f t="shared" si="7"/>
        <v>0.16666666371747851</v>
      </c>
      <c r="P30">
        <f>COUNTIF(A2:A30,A30)</f>
        <v>1</v>
      </c>
      <c r="Q30" s="39">
        <f t="shared" si="8"/>
        <v>42429</v>
      </c>
    </row>
    <row r="31" spans="1:17" hidden="1" x14ac:dyDescent="0.3">
      <c r="A31" t="str">
        <f t="shared" si="6"/>
        <v>SectionB_SampleQTIA1213</v>
      </c>
      <c r="B31" t="s">
        <v>866</v>
      </c>
      <c r="C31" t="s">
        <v>828</v>
      </c>
      <c r="D31" t="s">
        <v>196</v>
      </c>
      <c r="E31">
        <v>1</v>
      </c>
      <c r="F31">
        <v>2</v>
      </c>
      <c r="G31">
        <v>1</v>
      </c>
      <c r="H31">
        <v>3</v>
      </c>
      <c r="I31">
        <v>2</v>
      </c>
      <c r="J31" s="15">
        <v>42429.85597222222</v>
      </c>
      <c r="K31" s="15">
        <v>42429.856145833335</v>
      </c>
      <c r="O31" s="17">
        <f t="shared" si="7"/>
        <v>0.25000000605359674</v>
      </c>
      <c r="P31">
        <f>COUNTIF(A2:A31,A31)</f>
        <v>1</v>
      </c>
      <c r="Q31" s="39">
        <f t="shared" si="8"/>
        <v>42429</v>
      </c>
    </row>
    <row r="32" spans="1:17" hidden="1" x14ac:dyDescent="0.3">
      <c r="A32" t="str">
        <f t="shared" si="6"/>
        <v>SectionB_SampleQTIA4214</v>
      </c>
      <c r="B32" t="s">
        <v>866</v>
      </c>
      <c r="C32" t="s">
        <v>828</v>
      </c>
      <c r="D32" t="s">
        <v>196</v>
      </c>
      <c r="E32">
        <v>4</v>
      </c>
      <c r="F32">
        <v>2</v>
      </c>
      <c r="G32">
        <v>1</v>
      </c>
      <c r="H32">
        <v>4</v>
      </c>
      <c r="I32">
        <v>1</v>
      </c>
      <c r="J32" s="15">
        <v>42443.381562499999</v>
      </c>
      <c r="K32" s="15">
        <v>42443.389039351852</v>
      </c>
      <c r="M32">
        <v>1</v>
      </c>
      <c r="N32" t="s">
        <v>1043</v>
      </c>
      <c r="O32" s="17">
        <f t="shared" si="7"/>
        <v>10.766666668932885</v>
      </c>
      <c r="P32">
        <f>COUNTIF(A2:A32,A32)</f>
        <v>1</v>
      </c>
      <c r="Q32" s="39">
        <f t="shared" si="8"/>
        <v>42443</v>
      </c>
    </row>
    <row r="33" spans="1:17" hidden="1" x14ac:dyDescent="0.3">
      <c r="A33" t="str">
        <f t="shared" si="6"/>
        <v>SectionB_SampleQTIA5225</v>
      </c>
      <c r="B33" t="s">
        <v>866</v>
      </c>
      <c r="C33" t="s">
        <v>828</v>
      </c>
      <c r="D33" t="s">
        <v>196</v>
      </c>
      <c r="E33">
        <v>5</v>
      </c>
      <c r="F33">
        <v>2</v>
      </c>
      <c r="G33">
        <v>2</v>
      </c>
      <c r="H33">
        <v>5</v>
      </c>
      <c r="I33">
        <v>2</v>
      </c>
      <c r="J33" s="15">
        <v>42443.389039351852</v>
      </c>
      <c r="K33" s="15">
        <v>42443.394259259258</v>
      </c>
      <c r="O33" s="17">
        <f t="shared" si="7"/>
        <v>7.5166666635777801</v>
      </c>
      <c r="P33">
        <f>COUNTIF(A2:A33,A33)</f>
        <v>1</v>
      </c>
      <c r="Q33" s="39">
        <f t="shared" si="8"/>
        <v>42443</v>
      </c>
    </row>
    <row r="34" spans="1:17" hidden="1" x14ac:dyDescent="0.3">
      <c r="A34" t="str">
        <f t="shared" si="6"/>
        <v>SectionB_SampleQTIA3214</v>
      </c>
      <c r="B34" t="s">
        <v>866</v>
      </c>
      <c r="C34" t="s">
        <v>828</v>
      </c>
      <c r="D34" t="s">
        <v>196</v>
      </c>
      <c r="E34">
        <v>3</v>
      </c>
      <c r="F34">
        <v>2</v>
      </c>
      <c r="G34">
        <v>1</v>
      </c>
      <c r="H34">
        <v>4</v>
      </c>
      <c r="I34">
        <v>2</v>
      </c>
      <c r="J34" s="15">
        <v>42443.394259259258</v>
      </c>
      <c r="K34" s="15">
        <v>42443.395196759258</v>
      </c>
      <c r="O34" s="17">
        <f t="shared" si="7"/>
        <v>1.3500000012572855</v>
      </c>
      <c r="P34">
        <f>COUNTIF(A2:A34,A34)</f>
        <v>1</v>
      </c>
      <c r="Q34" s="39">
        <f t="shared" si="8"/>
        <v>42443</v>
      </c>
    </row>
    <row r="35" spans="1:17" hidden="1" x14ac:dyDescent="0.3">
      <c r="A35" t="str">
        <f t="shared" si="6"/>
        <v>SectionB_SampleQTIA7226</v>
      </c>
      <c r="B35" t="s">
        <v>866</v>
      </c>
      <c r="C35" t="s">
        <v>828</v>
      </c>
      <c r="D35" t="s">
        <v>196</v>
      </c>
      <c r="E35">
        <v>7</v>
      </c>
      <c r="F35">
        <v>2</v>
      </c>
      <c r="G35">
        <v>2</v>
      </c>
      <c r="H35">
        <v>6</v>
      </c>
      <c r="I35">
        <v>1</v>
      </c>
      <c r="J35" s="15">
        <v>42443.395196759258</v>
      </c>
      <c r="K35" s="15">
        <v>42443.399363425924</v>
      </c>
      <c r="M35">
        <v>1</v>
      </c>
      <c r="N35" t="s">
        <v>1044</v>
      </c>
      <c r="O35" s="17">
        <f t="shared" si="7"/>
        <v>5.9999999986030161</v>
      </c>
      <c r="P35">
        <f>COUNTIF(A2:A35,A35)</f>
        <v>1</v>
      </c>
      <c r="Q35" s="39">
        <f t="shared" si="8"/>
        <v>42443</v>
      </c>
    </row>
    <row r="36" spans="1:17" hidden="1" x14ac:dyDescent="0.3">
      <c r="A36" t="str">
        <f t="shared" si="6"/>
        <v>SectionB_SampleQTIA6225</v>
      </c>
      <c r="B36" t="s">
        <v>866</v>
      </c>
      <c r="C36" t="s">
        <v>828</v>
      </c>
      <c r="D36" t="s">
        <v>196</v>
      </c>
      <c r="E36">
        <v>6</v>
      </c>
      <c r="F36">
        <v>2</v>
      </c>
      <c r="G36">
        <v>2</v>
      </c>
      <c r="H36">
        <v>5</v>
      </c>
      <c r="I36">
        <v>2</v>
      </c>
      <c r="J36" s="15">
        <v>42443.399363425924</v>
      </c>
      <c r="K36" s="15">
        <v>42443.402766203704</v>
      </c>
      <c r="O36" s="17">
        <f t="shared" si="7"/>
        <v>4.9000000033993274</v>
      </c>
      <c r="P36">
        <f>COUNTIF(A2:A36,A36)</f>
        <v>1</v>
      </c>
      <c r="Q36" s="39">
        <f t="shared" si="8"/>
        <v>42443</v>
      </c>
    </row>
    <row r="37" spans="1:17" hidden="1" x14ac:dyDescent="0.3">
      <c r="A37" t="str">
        <f t="shared" si="6"/>
        <v>SectionB_SampleQTIA62813</v>
      </c>
      <c r="B37" t="s">
        <v>866</v>
      </c>
      <c r="C37" t="s">
        <v>826</v>
      </c>
      <c r="D37" t="s">
        <v>196</v>
      </c>
      <c r="E37">
        <v>6</v>
      </c>
      <c r="F37">
        <v>2</v>
      </c>
      <c r="G37">
        <v>8</v>
      </c>
      <c r="H37">
        <v>13</v>
      </c>
      <c r="I37">
        <v>0.5</v>
      </c>
      <c r="J37" s="15">
        <v>42444.387002314812</v>
      </c>
      <c r="K37" s="15">
        <v>42444.397233796299</v>
      </c>
      <c r="M37">
        <v>1</v>
      </c>
      <c r="O37" s="17">
        <f t="shared" si="7"/>
        <v>14.733333340846002</v>
      </c>
      <c r="P37">
        <f>COUNTIF(A2:A37,A37)</f>
        <v>1</v>
      </c>
      <c r="Q37" s="39">
        <f t="shared" si="8"/>
        <v>42444</v>
      </c>
    </row>
    <row r="38" spans="1:17" hidden="1" x14ac:dyDescent="0.3">
      <c r="A38" t="str">
        <f t="shared" si="6"/>
        <v>SectionB_SampleQTIA52812</v>
      </c>
      <c r="B38" t="s">
        <v>866</v>
      </c>
      <c r="C38" t="s">
        <v>826</v>
      </c>
      <c r="D38" t="s">
        <v>196</v>
      </c>
      <c r="E38">
        <v>5</v>
      </c>
      <c r="F38">
        <v>2</v>
      </c>
      <c r="G38">
        <v>8</v>
      </c>
      <c r="H38">
        <v>12</v>
      </c>
      <c r="I38">
        <v>1</v>
      </c>
      <c r="J38" s="15">
        <v>42444.397233796299</v>
      </c>
      <c r="K38" s="15">
        <v>42444.398159722223</v>
      </c>
      <c r="M38">
        <v>1</v>
      </c>
      <c r="O38" s="17">
        <f t="shared" si="7"/>
        <v>1.333333330694586</v>
      </c>
      <c r="P38">
        <f>COUNTIF(A2:A38,A38)</f>
        <v>1</v>
      </c>
      <c r="Q38" s="39">
        <f t="shared" si="8"/>
        <v>42444</v>
      </c>
    </row>
    <row r="39" spans="1:17" hidden="1" x14ac:dyDescent="0.3">
      <c r="A39" t="str">
        <f t="shared" si="6"/>
        <v>SectionB_SampleQTIA42812</v>
      </c>
      <c r="B39" t="s">
        <v>866</v>
      </c>
      <c r="C39" t="s">
        <v>826</v>
      </c>
      <c r="D39" t="s">
        <v>196</v>
      </c>
      <c r="E39">
        <v>4</v>
      </c>
      <c r="F39">
        <v>2</v>
      </c>
      <c r="G39">
        <v>8</v>
      </c>
      <c r="H39">
        <v>12</v>
      </c>
      <c r="I39">
        <v>1.5</v>
      </c>
      <c r="J39" s="15">
        <v>42446.388622685183</v>
      </c>
      <c r="K39" s="15">
        <v>42446.39266203704</v>
      </c>
      <c r="M39">
        <v>1</v>
      </c>
      <c r="N39" t="s">
        <v>1045</v>
      </c>
      <c r="O39" s="17">
        <f t="shared" si="7"/>
        <v>5.8166666748002172</v>
      </c>
      <c r="P39">
        <f>COUNTIF(A2:A39,A39)</f>
        <v>1</v>
      </c>
      <c r="Q39" s="39">
        <f t="shared" si="8"/>
        <v>42446</v>
      </c>
    </row>
    <row r="40" spans="1:17" hidden="1" x14ac:dyDescent="0.3">
      <c r="A40" t="str">
        <f t="shared" si="6"/>
        <v>SectionB_SampleQTIA122122</v>
      </c>
      <c r="B40" t="s">
        <v>866</v>
      </c>
      <c r="C40" t="s">
        <v>776</v>
      </c>
      <c r="D40" t="s">
        <v>196</v>
      </c>
      <c r="E40">
        <v>1</v>
      </c>
      <c r="F40">
        <v>2</v>
      </c>
      <c r="G40">
        <v>21</v>
      </c>
      <c r="H40">
        <v>22</v>
      </c>
      <c r="I40">
        <v>1</v>
      </c>
      <c r="J40" s="15">
        <v>42446.39266203704</v>
      </c>
      <c r="K40" s="15">
        <v>42446.417048611111</v>
      </c>
      <c r="M40">
        <v>1</v>
      </c>
      <c r="O40" s="17">
        <f t="shared" si="7"/>
        <v>35.116666661342606</v>
      </c>
      <c r="P40">
        <f>COUNTIF(A2:A40,A40)</f>
        <v>1</v>
      </c>
      <c r="Q40" s="39">
        <f t="shared" si="8"/>
        <v>42446</v>
      </c>
    </row>
    <row r="41" spans="1:17" hidden="1" x14ac:dyDescent="0.3">
      <c r="A41" t="str">
        <f t="shared" si="6"/>
        <v>SectionB_SampleQTIA2279</v>
      </c>
      <c r="B41" t="s">
        <v>866</v>
      </c>
      <c r="C41" t="s">
        <v>826</v>
      </c>
      <c r="D41" t="s">
        <v>196</v>
      </c>
      <c r="E41">
        <v>2</v>
      </c>
      <c r="F41">
        <v>2</v>
      </c>
      <c r="G41">
        <v>7</v>
      </c>
      <c r="H41">
        <v>9</v>
      </c>
      <c r="I41">
        <v>1.5</v>
      </c>
      <c r="J41" s="15">
        <v>42446.417048611111</v>
      </c>
      <c r="K41" s="15">
        <v>42446.417361111111</v>
      </c>
      <c r="N41" t="s">
        <v>1046</v>
      </c>
      <c r="O41" s="17">
        <f t="shared" si="7"/>
        <v>0.45000000041909516</v>
      </c>
      <c r="P41">
        <f>COUNTIF(A2:A41,A41)</f>
        <v>1</v>
      </c>
      <c r="Q41" s="39">
        <f t="shared" si="8"/>
        <v>42446</v>
      </c>
    </row>
    <row r="42" spans="1:17" hidden="1" x14ac:dyDescent="0.3">
      <c r="A42" t="str">
        <f t="shared" si="6"/>
        <v>SectionB_SampleQTIA121819</v>
      </c>
      <c r="B42" t="s">
        <v>866</v>
      </c>
      <c r="C42" t="s">
        <v>775</v>
      </c>
      <c r="D42" t="s">
        <v>196</v>
      </c>
      <c r="E42">
        <v>1</v>
      </c>
      <c r="F42">
        <v>2</v>
      </c>
      <c r="G42">
        <v>18</v>
      </c>
      <c r="H42">
        <v>19</v>
      </c>
      <c r="I42">
        <v>1</v>
      </c>
      <c r="J42" s="15">
        <v>42446.417361111111</v>
      </c>
      <c r="K42" s="15">
        <v>42446.417546296296</v>
      </c>
      <c r="O42" s="17">
        <f t="shared" si="7"/>
        <v>0.26666666613891721</v>
      </c>
      <c r="P42">
        <f>COUNTIF(A2:A42,A42)</f>
        <v>1</v>
      </c>
      <c r="Q42" s="39">
        <f t="shared" si="8"/>
        <v>42446</v>
      </c>
    </row>
    <row r="43" spans="1:17" hidden="1" x14ac:dyDescent="0.3">
      <c r="A43" t="str">
        <f t="shared" si="6"/>
        <v>SectionB_Exam20003936168</v>
      </c>
      <c r="B43" t="s">
        <v>869</v>
      </c>
      <c r="C43" t="s">
        <v>767</v>
      </c>
      <c r="D43">
        <v>2000</v>
      </c>
      <c r="E43">
        <v>39</v>
      </c>
      <c r="F43">
        <v>3</v>
      </c>
      <c r="G43">
        <v>61</v>
      </c>
      <c r="H43">
        <v>68</v>
      </c>
      <c r="I43">
        <v>2</v>
      </c>
      <c r="J43" s="15">
        <v>42452.464259259257</v>
      </c>
      <c r="K43" s="15">
        <v>42452.46979166667</v>
      </c>
      <c r="O43" s="17">
        <f t="shared" si="7"/>
        <v>7.9666666744742543</v>
      </c>
      <c r="P43">
        <f>COUNTIF(A1:A43,A43)</f>
        <v>1</v>
      </c>
      <c r="Q43" s="39">
        <f t="shared" si="8"/>
        <v>42452</v>
      </c>
    </row>
    <row r="44" spans="1:17" hidden="1" x14ac:dyDescent="0.3">
      <c r="A44" t="str">
        <f t="shared" si="6"/>
        <v>SectionC_Exam200517219</v>
      </c>
      <c r="B44" t="s">
        <v>870</v>
      </c>
      <c r="C44" t="s">
        <v>818</v>
      </c>
      <c r="D44">
        <v>2005</v>
      </c>
      <c r="E44">
        <v>17</v>
      </c>
      <c r="F44">
        <v>2</v>
      </c>
      <c r="G44">
        <v>1</v>
      </c>
      <c r="H44">
        <v>9</v>
      </c>
      <c r="I44">
        <v>0</v>
      </c>
      <c r="J44" s="15">
        <v>42447.361261574071</v>
      </c>
      <c r="K44" s="15">
        <v>42447.385787037034</v>
      </c>
      <c r="M44">
        <v>1</v>
      </c>
      <c r="O44" s="17">
        <f t="shared" si="7"/>
        <v>35.316666666185483</v>
      </c>
      <c r="P44">
        <f>COUNTIF(A2:A44,A44)</f>
        <v>1</v>
      </c>
      <c r="Q44" s="39">
        <f t="shared" si="8"/>
        <v>42447</v>
      </c>
    </row>
    <row r="45" spans="1:17" hidden="1" x14ac:dyDescent="0.3">
      <c r="A45" t="str">
        <f t="shared" si="6"/>
        <v>SectionB_Exam200591517</v>
      </c>
      <c r="B45" t="s">
        <v>869</v>
      </c>
      <c r="C45" t="s">
        <v>828</v>
      </c>
      <c r="D45">
        <v>2005</v>
      </c>
      <c r="E45">
        <v>9</v>
      </c>
      <c r="F45">
        <v>1</v>
      </c>
      <c r="G45">
        <v>5</v>
      </c>
      <c r="H45">
        <v>17</v>
      </c>
      <c r="I45">
        <v>1</v>
      </c>
      <c r="J45" s="15">
        <v>42447.385787037034</v>
      </c>
      <c r="K45" s="15">
        <v>42447.38784722222</v>
      </c>
      <c r="O45" s="17">
        <f t="shared" si="7"/>
        <v>2.9666666686534882</v>
      </c>
      <c r="P45">
        <f>COUNTIF(A2:A45,A45)</f>
        <v>1</v>
      </c>
      <c r="Q45" s="39">
        <f t="shared" si="8"/>
        <v>42447</v>
      </c>
    </row>
    <row r="46" spans="1:17" hidden="1" x14ac:dyDescent="0.3">
      <c r="A46" t="str">
        <f t="shared" si="6"/>
        <v>SectionB_Exam20071923249</v>
      </c>
      <c r="B46" t="s">
        <v>869</v>
      </c>
      <c r="C46" t="s">
        <v>826</v>
      </c>
      <c r="D46">
        <v>2007</v>
      </c>
      <c r="E46">
        <v>19</v>
      </c>
      <c r="F46">
        <v>2</v>
      </c>
      <c r="G46">
        <v>32</v>
      </c>
      <c r="H46">
        <v>49</v>
      </c>
      <c r="I46">
        <v>1.5</v>
      </c>
      <c r="J46" s="15">
        <v>42447.38784722222</v>
      </c>
      <c r="K46" s="15">
        <v>42447.402708333335</v>
      </c>
      <c r="M46">
        <v>1</v>
      </c>
      <c r="N46" t="s">
        <v>1106</v>
      </c>
      <c r="O46" s="17">
        <f t="shared" si="7"/>
        <v>21.400000004796311</v>
      </c>
      <c r="P46">
        <f>COUNTIF(A2:A46,A46)</f>
        <v>1</v>
      </c>
      <c r="Q46" s="39">
        <f t="shared" si="8"/>
        <v>42447</v>
      </c>
    </row>
    <row r="47" spans="1:17" hidden="1" x14ac:dyDescent="0.3">
      <c r="A47" t="str">
        <f t="shared" si="6"/>
        <v>SectionC_Exam200519219</v>
      </c>
      <c r="B47" t="s">
        <v>870</v>
      </c>
      <c r="C47" t="s">
        <v>818</v>
      </c>
      <c r="D47">
        <v>2005</v>
      </c>
      <c r="E47">
        <v>19</v>
      </c>
      <c r="F47">
        <v>2</v>
      </c>
      <c r="G47">
        <v>1</v>
      </c>
      <c r="H47">
        <v>9</v>
      </c>
      <c r="I47">
        <v>1</v>
      </c>
      <c r="J47" s="15">
        <v>42479.424710648149</v>
      </c>
      <c r="K47" s="15">
        <v>42479.426446759258</v>
      </c>
      <c r="M47">
        <v>1</v>
      </c>
      <c r="N47" t="s">
        <v>1482</v>
      </c>
      <c r="O47" s="17">
        <f t="shared" si="7"/>
        <v>2.4999999976716936</v>
      </c>
      <c r="P47">
        <f>COUNTIF(A1:A47,A47)</f>
        <v>1</v>
      </c>
      <c r="Q47" s="39">
        <f t="shared" si="8"/>
        <v>42479</v>
      </c>
    </row>
    <row r="48" spans="1:17" hidden="1" x14ac:dyDescent="0.3">
      <c r="A48" t="str">
        <f t="shared" ref="A48:A74" si="9">(B48&amp;D48&amp;E48&amp;F48&amp;G48&amp;H48)</f>
        <v>SectionB_Exam20092528994</v>
      </c>
      <c r="B48" t="s">
        <v>869</v>
      </c>
      <c r="C48" t="s">
        <v>776</v>
      </c>
      <c r="D48">
        <v>2009</v>
      </c>
      <c r="E48">
        <v>25</v>
      </c>
      <c r="F48">
        <v>2</v>
      </c>
      <c r="G48">
        <v>89</v>
      </c>
      <c r="H48">
        <v>94</v>
      </c>
      <c r="I48">
        <v>0</v>
      </c>
      <c r="J48" s="15">
        <v>42448.40121527778</v>
      </c>
      <c r="K48" s="15">
        <v>42448.40965277778</v>
      </c>
      <c r="M48">
        <v>1</v>
      </c>
      <c r="N48" t="s">
        <v>1108</v>
      </c>
      <c r="O48" s="17">
        <f t="shared" ref="O48:O74" si="10">(K48-J48)*60*24</f>
        <v>12.15000000083819</v>
      </c>
      <c r="P48">
        <f>COUNTIF(A2:A48,A48)</f>
        <v>1</v>
      </c>
      <c r="Q48" s="39">
        <f t="shared" ref="Q48:Q74" si="11">DATE(YEAR(J48),MONTH(J48),DAY(J48))</f>
        <v>42448</v>
      </c>
    </row>
    <row r="49" spans="1:17" hidden="1" x14ac:dyDescent="0.3">
      <c r="A49" t="str">
        <f t="shared" si="9"/>
        <v>SectionB_Exam2007272.58185</v>
      </c>
      <c r="B49" t="s">
        <v>869</v>
      </c>
      <c r="C49" t="s">
        <v>775</v>
      </c>
      <c r="D49">
        <v>2007</v>
      </c>
      <c r="E49">
        <v>27</v>
      </c>
      <c r="F49">
        <v>2.5</v>
      </c>
      <c r="G49">
        <v>81</v>
      </c>
      <c r="H49">
        <v>85</v>
      </c>
      <c r="I49">
        <v>1.75</v>
      </c>
      <c r="J49" s="15">
        <v>42448.40965277778</v>
      </c>
      <c r="K49" s="15">
        <v>42448.413935185185</v>
      </c>
      <c r="O49" s="17">
        <f t="shared" si="10"/>
        <v>6.1666666623204947</v>
      </c>
      <c r="P49">
        <f>COUNTIF(A2:A49,A49)</f>
        <v>1</v>
      </c>
      <c r="Q49" s="39">
        <f t="shared" si="11"/>
        <v>42448</v>
      </c>
    </row>
    <row r="50" spans="1:17" hidden="1" x14ac:dyDescent="0.3">
      <c r="A50" t="str">
        <f t="shared" si="9"/>
        <v>SectionB_Exam2009102720</v>
      </c>
      <c r="B50" t="s">
        <v>869</v>
      </c>
      <c r="C50" t="s">
        <v>828</v>
      </c>
      <c r="D50">
        <v>2009</v>
      </c>
      <c r="E50">
        <v>10</v>
      </c>
      <c r="F50">
        <v>2</v>
      </c>
      <c r="G50">
        <v>7</v>
      </c>
      <c r="H50">
        <v>20</v>
      </c>
      <c r="I50">
        <v>2</v>
      </c>
      <c r="J50" s="15">
        <v>42448.413935185185</v>
      </c>
      <c r="K50" s="15">
        <v>42448.425752314812</v>
      </c>
      <c r="O50" s="17">
        <f t="shared" si="10"/>
        <v>17.016666663112119</v>
      </c>
      <c r="P50">
        <f>COUNTIF(A2:A50,A50)</f>
        <v>1</v>
      </c>
      <c r="Q50" s="39">
        <f t="shared" si="11"/>
        <v>42448</v>
      </c>
    </row>
    <row r="51" spans="1:17" hidden="1" x14ac:dyDescent="0.3">
      <c r="A51" t="str">
        <f t="shared" si="9"/>
        <v>SectionB_Exam20033432943</v>
      </c>
      <c r="B51" t="s">
        <v>869</v>
      </c>
      <c r="C51" t="s">
        <v>826</v>
      </c>
      <c r="D51">
        <v>2003</v>
      </c>
      <c r="E51">
        <v>34</v>
      </c>
      <c r="F51">
        <v>3</v>
      </c>
      <c r="G51">
        <v>29</v>
      </c>
      <c r="H51">
        <v>43</v>
      </c>
      <c r="I51">
        <v>2.75</v>
      </c>
      <c r="J51" s="15">
        <v>42448.425752314812</v>
      </c>
      <c r="K51" s="15">
        <v>42448.43246527778</v>
      </c>
      <c r="O51" s="17">
        <f t="shared" si="10"/>
        <v>9.6666666737291962</v>
      </c>
      <c r="P51">
        <f>COUNTIF(A2:A51,A51)</f>
        <v>1</v>
      </c>
      <c r="Q51" s="39">
        <f t="shared" si="11"/>
        <v>42448</v>
      </c>
    </row>
    <row r="52" spans="1:17" hidden="1" x14ac:dyDescent="0.3">
      <c r="A52" t="str">
        <f t="shared" si="9"/>
        <v>SectionB_Exam20052523045</v>
      </c>
      <c r="B52" t="s">
        <v>869</v>
      </c>
      <c r="C52" t="s">
        <v>826</v>
      </c>
      <c r="D52">
        <v>2005</v>
      </c>
      <c r="E52">
        <v>25</v>
      </c>
      <c r="F52">
        <v>2</v>
      </c>
      <c r="G52">
        <v>30</v>
      </c>
      <c r="H52">
        <v>45</v>
      </c>
      <c r="I52">
        <v>1.5</v>
      </c>
      <c r="J52" s="15">
        <v>42448.476712962962</v>
      </c>
      <c r="K52" s="15">
        <v>42448.48777777778</v>
      </c>
      <c r="M52">
        <v>1</v>
      </c>
      <c r="N52" t="s">
        <v>1109</v>
      </c>
      <c r="O52" s="17">
        <f t="shared" si="10"/>
        <v>15.93333333847113</v>
      </c>
      <c r="P52">
        <f>COUNTIF(A2:A52,A52)</f>
        <v>1</v>
      </c>
      <c r="Q52" s="39">
        <f t="shared" si="11"/>
        <v>42448</v>
      </c>
    </row>
    <row r="53" spans="1:17" hidden="1" x14ac:dyDescent="0.3">
      <c r="A53" t="str">
        <f t="shared" si="9"/>
        <v>SectionB_Exam200392.52942</v>
      </c>
      <c r="B53" t="s">
        <v>869</v>
      </c>
      <c r="C53" t="s">
        <v>826</v>
      </c>
      <c r="D53">
        <v>2003</v>
      </c>
      <c r="E53">
        <v>9</v>
      </c>
      <c r="F53">
        <v>2.5</v>
      </c>
      <c r="G53">
        <v>29</v>
      </c>
      <c r="H53">
        <v>42</v>
      </c>
      <c r="I53">
        <v>1.75</v>
      </c>
      <c r="J53" s="15">
        <v>42448.48777777778</v>
      </c>
      <c r="K53" s="15">
        <v>42448.489444444444</v>
      </c>
      <c r="N53" t="s">
        <v>1110</v>
      </c>
      <c r="O53" s="17">
        <f t="shared" si="10"/>
        <v>2.3999999952502549</v>
      </c>
      <c r="P53">
        <f>COUNTIF(A2:A53,A53)</f>
        <v>1</v>
      </c>
      <c r="Q53" s="39">
        <f t="shared" si="11"/>
        <v>42448</v>
      </c>
    </row>
    <row r="54" spans="1:17" hidden="1" x14ac:dyDescent="0.3">
      <c r="A54" t="str">
        <f t="shared" si="9"/>
        <v>SectionB_Exam20014236168</v>
      </c>
      <c r="B54" t="s">
        <v>869</v>
      </c>
      <c r="C54" t="s">
        <v>767</v>
      </c>
      <c r="D54">
        <v>2001</v>
      </c>
      <c r="E54">
        <v>42</v>
      </c>
      <c r="F54">
        <v>3</v>
      </c>
      <c r="G54">
        <v>61</v>
      </c>
      <c r="H54">
        <v>68</v>
      </c>
      <c r="I54">
        <v>0.5</v>
      </c>
      <c r="J54" s="15">
        <v>42474.776122685187</v>
      </c>
      <c r="K54" s="15">
        <v>42474.778553240743</v>
      </c>
      <c r="M54">
        <v>1</v>
      </c>
      <c r="N54" t="s">
        <v>1453</v>
      </c>
      <c r="O54" s="17">
        <f t="shared" si="10"/>
        <v>3.5000000009313226</v>
      </c>
      <c r="P54">
        <f>COUNTIF(A1:A54,A54)</f>
        <v>1</v>
      </c>
      <c r="Q54" s="39">
        <f t="shared" si="11"/>
        <v>42474</v>
      </c>
    </row>
    <row r="55" spans="1:17" hidden="1" x14ac:dyDescent="0.3">
      <c r="A55" t="str">
        <f t="shared" si="9"/>
        <v>SectionC_Exam2006342110</v>
      </c>
      <c r="B55" t="s">
        <v>870</v>
      </c>
      <c r="C55" t="s">
        <v>818</v>
      </c>
      <c r="D55">
        <v>2006</v>
      </c>
      <c r="E55">
        <v>34</v>
      </c>
      <c r="F55">
        <v>2</v>
      </c>
      <c r="G55">
        <v>1</v>
      </c>
      <c r="H55">
        <v>10</v>
      </c>
      <c r="I55">
        <v>0</v>
      </c>
      <c r="J55" s="15">
        <v>42473.42527777778</v>
      </c>
      <c r="K55" s="15">
        <v>42473.425925925927</v>
      </c>
      <c r="M55">
        <v>1</v>
      </c>
      <c r="N55" t="s">
        <v>1440</v>
      </c>
      <c r="O55" s="17">
        <f t="shared" si="10"/>
        <v>0.93333333148621023</v>
      </c>
      <c r="P55">
        <f>COUNTIF(A1:A55,A55)</f>
        <v>1</v>
      </c>
      <c r="Q55" s="39">
        <f t="shared" si="11"/>
        <v>42473</v>
      </c>
    </row>
    <row r="56" spans="1:17" hidden="1" x14ac:dyDescent="0.3">
      <c r="A56" t="str">
        <f t="shared" si="9"/>
        <v>SectionB_Exam20101123552</v>
      </c>
      <c r="B56" t="s">
        <v>869</v>
      </c>
      <c r="C56" t="s">
        <v>826</v>
      </c>
      <c r="D56">
        <v>2010</v>
      </c>
      <c r="E56">
        <v>11</v>
      </c>
      <c r="F56">
        <v>2</v>
      </c>
      <c r="G56">
        <v>35</v>
      </c>
      <c r="H56">
        <v>52</v>
      </c>
      <c r="I56">
        <v>2</v>
      </c>
      <c r="J56" s="15">
        <v>42448.496990740743</v>
      </c>
      <c r="K56" s="15">
        <v>42448.505069444444</v>
      </c>
      <c r="O56" s="17">
        <f t="shared" si="10"/>
        <v>11.633333328645676</v>
      </c>
      <c r="P56">
        <f>COUNTIF(A2:A56,A56)</f>
        <v>1</v>
      </c>
      <c r="Q56" s="39">
        <f t="shared" si="11"/>
        <v>42448</v>
      </c>
    </row>
    <row r="57" spans="1:17" hidden="1" x14ac:dyDescent="0.3">
      <c r="A57" t="str">
        <f t="shared" si="9"/>
        <v>SectionB_Exam20072938993</v>
      </c>
      <c r="B57" t="s">
        <v>869</v>
      </c>
      <c r="C57" t="s">
        <v>776</v>
      </c>
      <c r="D57">
        <v>2007</v>
      </c>
      <c r="E57">
        <v>29</v>
      </c>
      <c r="F57">
        <v>3</v>
      </c>
      <c r="G57">
        <v>89</v>
      </c>
      <c r="H57">
        <v>93</v>
      </c>
      <c r="I57">
        <v>0</v>
      </c>
      <c r="J57" s="15">
        <v>42448.86546296296</v>
      </c>
      <c r="K57" s="15">
        <v>42448.878379629627</v>
      </c>
      <c r="M57">
        <v>1</v>
      </c>
      <c r="N57" t="s">
        <v>1115</v>
      </c>
      <c r="O57" s="17">
        <f t="shared" si="10"/>
        <v>18.599999999860302</v>
      </c>
      <c r="P57">
        <f>COUNTIF(A2:A57,A57)</f>
        <v>1</v>
      </c>
      <c r="Q57" s="39">
        <f t="shared" si="11"/>
        <v>42448</v>
      </c>
    </row>
    <row r="58" spans="1:17" hidden="1" x14ac:dyDescent="0.3">
      <c r="A58" t="str">
        <f t="shared" si="9"/>
        <v>SectionB_Exam20091823451</v>
      </c>
      <c r="B58" t="s">
        <v>869</v>
      </c>
      <c r="C58" t="s">
        <v>826</v>
      </c>
      <c r="D58">
        <v>2009</v>
      </c>
      <c r="E58">
        <v>18</v>
      </c>
      <c r="F58">
        <v>2</v>
      </c>
      <c r="G58">
        <v>34</v>
      </c>
      <c r="H58">
        <v>51</v>
      </c>
      <c r="I58">
        <v>2</v>
      </c>
      <c r="J58" s="15">
        <v>42448.878379629627</v>
      </c>
      <c r="K58" s="15">
        <v>42448.88349537037</v>
      </c>
      <c r="O58" s="17">
        <f t="shared" si="10"/>
        <v>7.3666666704230011</v>
      </c>
      <c r="P58">
        <f>COUNTIF(A2:A58,A58)</f>
        <v>1</v>
      </c>
      <c r="Q58" s="39">
        <f t="shared" si="11"/>
        <v>42448</v>
      </c>
    </row>
    <row r="59" spans="1:17" hidden="1" x14ac:dyDescent="0.3">
      <c r="A59" t="str">
        <f t="shared" si="9"/>
        <v>SectionA_Exam2007312232</v>
      </c>
      <c r="B59" t="s">
        <v>863</v>
      </c>
      <c r="C59" t="s">
        <v>819</v>
      </c>
      <c r="D59">
        <v>2007</v>
      </c>
      <c r="E59">
        <v>3</v>
      </c>
      <c r="F59">
        <v>1</v>
      </c>
      <c r="G59">
        <v>22</v>
      </c>
      <c r="H59">
        <v>32</v>
      </c>
      <c r="I59">
        <v>0.5</v>
      </c>
      <c r="J59" s="15">
        <v>42449.706041666665</v>
      </c>
      <c r="K59" s="15">
        <v>42449.734756944446</v>
      </c>
      <c r="O59" s="17">
        <f t="shared" si="10"/>
        <v>41.350000005913898</v>
      </c>
      <c r="P59">
        <f>COUNTIF(A2:A59,A59)</f>
        <v>2</v>
      </c>
      <c r="Q59" s="39">
        <f t="shared" si="11"/>
        <v>42449</v>
      </c>
    </row>
    <row r="60" spans="1:17" hidden="1" x14ac:dyDescent="0.3">
      <c r="A60" t="str">
        <f t="shared" si="9"/>
        <v>SectionA_Exam2003121.53841</v>
      </c>
      <c r="B60" t="s">
        <v>863</v>
      </c>
      <c r="C60" t="s">
        <v>813</v>
      </c>
      <c r="D60">
        <v>2003</v>
      </c>
      <c r="E60">
        <v>12</v>
      </c>
      <c r="F60">
        <v>1.5</v>
      </c>
      <c r="G60">
        <v>38</v>
      </c>
      <c r="H60">
        <v>41</v>
      </c>
      <c r="I60">
        <v>1.25</v>
      </c>
      <c r="J60" s="15">
        <v>42449.734756944446</v>
      </c>
      <c r="K60" s="15">
        <v>42449.736817129633</v>
      </c>
      <c r="N60" t="s">
        <v>1150</v>
      </c>
      <c r="O60" s="17">
        <f t="shared" si="10"/>
        <v>2.9666666686534882</v>
      </c>
      <c r="P60">
        <f>COUNTIF(A2:A60,A60)</f>
        <v>1</v>
      </c>
      <c r="Q60" s="39">
        <f t="shared" si="11"/>
        <v>42449</v>
      </c>
    </row>
    <row r="61" spans="1:17" hidden="1" x14ac:dyDescent="0.3">
      <c r="A61" t="str">
        <f t="shared" si="9"/>
        <v>SectionA_SampleQTIA1279</v>
      </c>
      <c r="B61" t="s">
        <v>865</v>
      </c>
      <c r="C61" t="s">
        <v>819</v>
      </c>
      <c r="D61" t="s">
        <v>196</v>
      </c>
      <c r="E61">
        <v>1</v>
      </c>
      <c r="F61">
        <v>2</v>
      </c>
      <c r="G61">
        <v>7</v>
      </c>
      <c r="H61">
        <v>9</v>
      </c>
      <c r="I61">
        <v>1.5</v>
      </c>
      <c r="J61" s="15">
        <v>42449.736817129633</v>
      </c>
      <c r="K61" s="15">
        <v>42449.746736111112</v>
      </c>
      <c r="O61" s="17">
        <f t="shared" si="10"/>
        <v>14.283333329949528</v>
      </c>
      <c r="P61">
        <f>COUNTIF(A2:A61,A61)</f>
        <v>1</v>
      </c>
      <c r="Q61" s="39">
        <f t="shared" si="11"/>
        <v>42449</v>
      </c>
    </row>
    <row r="62" spans="1:17" hidden="1" x14ac:dyDescent="0.3">
      <c r="A62" t="str">
        <f t="shared" si="9"/>
        <v>SectionA_SampleQTIA322427</v>
      </c>
      <c r="B62" t="s">
        <v>865</v>
      </c>
      <c r="C62" t="s">
        <v>814</v>
      </c>
      <c r="D62" t="s">
        <v>196</v>
      </c>
      <c r="E62">
        <v>3</v>
      </c>
      <c r="F62">
        <v>2</v>
      </c>
      <c r="G62">
        <v>24</v>
      </c>
      <c r="H62">
        <v>27</v>
      </c>
      <c r="I62">
        <v>1</v>
      </c>
      <c r="J62" s="15">
        <v>42450.915497685186</v>
      </c>
      <c r="K62" s="15">
        <v>42450.91679398148</v>
      </c>
      <c r="M62">
        <v>1</v>
      </c>
      <c r="O62" s="17">
        <f t="shared" si="10"/>
        <v>1.8666666629724205</v>
      </c>
      <c r="P62">
        <f>COUNTIF(A1:A62,A62)</f>
        <v>1</v>
      </c>
      <c r="Q62" s="39">
        <f t="shared" si="11"/>
        <v>42450</v>
      </c>
    </row>
    <row r="63" spans="1:17" hidden="1" x14ac:dyDescent="0.3">
      <c r="A63" t="str">
        <f t="shared" si="9"/>
        <v>SectionA_Exam2009417076</v>
      </c>
      <c r="B63" t="s">
        <v>863</v>
      </c>
      <c r="C63" t="s">
        <v>814</v>
      </c>
      <c r="D63">
        <v>2009</v>
      </c>
      <c r="E63">
        <v>4</v>
      </c>
      <c r="F63">
        <v>1</v>
      </c>
      <c r="G63">
        <v>70</v>
      </c>
      <c r="H63">
        <v>76</v>
      </c>
      <c r="I63">
        <v>1</v>
      </c>
      <c r="J63" s="15">
        <v>42452.530949074076</v>
      </c>
      <c r="K63" s="15">
        <v>42452.533541666664</v>
      </c>
      <c r="O63" s="17">
        <f t="shared" si="10"/>
        <v>3.7333333259448409</v>
      </c>
      <c r="P63">
        <f>COUNTIF(A1:A63,A63)</f>
        <v>1</v>
      </c>
      <c r="Q63" s="39">
        <f t="shared" si="11"/>
        <v>42452</v>
      </c>
    </row>
    <row r="64" spans="1:17" hidden="1" x14ac:dyDescent="0.3">
      <c r="A64" t="str">
        <f t="shared" si="9"/>
        <v>SectionA_SampleQTIA122426</v>
      </c>
      <c r="B64" t="s">
        <v>865</v>
      </c>
      <c r="C64" t="s">
        <v>814</v>
      </c>
      <c r="D64" t="s">
        <v>196</v>
      </c>
      <c r="E64">
        <v>1</v>
      </c>
      <c r="F64">
        <v>2</v>
      </c>
      <c r="G64">
        <v>24</v>
      </c>
      <c r="H64">
        <v>26</v>
      </c>
      <c r="I64">
        <v>1.75</v>
      </c>
      <c r="J64" s="15">
        <v>42454.399409722224</v>
      </c>
      <c r="K64" s="15">
        <v>42454.400856481479</v>
      </c>
      <c r="O64" s="17">
        <f t="shared" si="10"/>
        <v>2.0833333279006183</v>
      </c>
      <c r="P64">
        <f>COUNTIF(A1:A64,A64)</f>
        <v>1</v>
      </c>
      <c r="Q64" s="39">
        <f t="shared" si="11"/>
        <v>42454</v>
      </c>
    </row>
    <row r="65" spans="1:17" hidden="1" x14ac:dyDescent="0.3">
      <c r="A65" t="str">
        <f t="shared" si="9"/>
        <v>SectionA_SampleQTIA121516</v>
      </c>
      <c r="B65" t="s">
        <v>865</v>
      </c>
      <c r="C65" t="s">
        <v>813</v>
      </c>
      <c r="D65" t="s">
        <v>196</v>
      </c>
      <c r="E65">
        <v>1</v>
      </c>
      <c r="F65">
        <v>2</v>
      </c>
      <c r="G65">
        <v>15</v>
      </c>
      <c r="H65">
        <v>16</v>
      </c>
      <c r="I65">
        <v>2</v>
      </c>
      <c r="J65" s="15">
        <v>42450.762685185182</v>
      </c>
      <c r="K65" s="15">
        <v>42450.767106481479</v>
      </c>
      <c r="O65" s="17">
        <f t="shared" si="10"/>
        <v>6.366666667163372</v>
      </c>
      <c r="P65">
        <f>COUNTIF(A2:A65,A65)</f>
        <v>1</v>
      </c>
      <c r="Q65" s="39">
        <f t="shared" si="11"/>
        <v>42450</v>
      </c>
    </row>
    <row r="66" spans="1:17" hidden="1" x14ac:dyDescent="0.3">
      <c r="A66" t="str">
        <f t="shared" si="9"/>
        <v>SectionA_Exam200492.56974</v>
      </c>
      <c r="B66" t="s">
        <v>863</v>
      </c>
      <c r="C66" t="s">
        <v>814</v>
      </c>
      <c r="D66">
        <v>2004</v>
      </c>
      <c r="E66">
        <v>9</v>
      </c>
      <c r="F66">
        <v>2.5</v>
      </c>
      <c r="G66">
        <v>69</v>
      </c>
      <c r="H66">
        <v>74</v>
      </c>
      <c r="I66">
        <v>2</v>
      </c>
      <c r="J66" s="15">
        <v>42468.425243055557</v>
      </c>
      <c r="K66" s="15">
        <v>42468.430787037039</v>
      </c>
      <c r="M66">
        <v>1</v>
      </c>
      <c r="N66" t="s">
        <v>1401</v>
      </c>
      <c r="O66" s="17">
        <f t="shared" si="10"/>
        <v>7.9833333345595747</v>
      </c>
      <c r="P66">
        <f>COUNTIF(A1:A66,A66)</f>
        <v>1</v>
      </c>
      <c r="Q66" s="39">
        <f t="shared" si="11"/>
        <v>42468</v>
      </c>
    </row>
    <row r="67" spans="1:17" hidden="1" x14ac:dyDescent="0.3">
      <c r="A67" t="str">
        <f t="shared" si="9"/>
        <v>SectionA_SampleQTIA222426</v>
      </c>
      <c r="B67" t="s">
        <v>865</v>
      </c>
      <c r="C67" t="s">
        <v>814</v>
      </c>
      <c r="D67" t="s">
        <v>196</v>
      </c>
      <c r="E67">
        <v>2</v>
      </c>
      <c r="F67">
        <v>2</v>
      </c>
      <c r="G67">
        <v>24</v>
      </c>
      <c r="H67">
        <v>26</v>
      </c>
      <c r="I67">
        <v>2</v>
      </c>
      <c r="J67" s="15">
        <v>42468.430787037039</v>
      </c>
      <c r="K67" s="15">
        <v>42468.431250000001</v>
      </c>
      <c r="O67" s="17">
        <f t="shared" si="10"/>
        <v>0.66666666534729302</v>
      </c>
      <c r="P67">
        <f>COUNTIF(A1:A67,A67)</f>
        <v>1</v>
      </c>
      <c r="Q67" s="39">
        <f t="shared" si="11"/>
        <v>42468</v>
      </c>
    </row>
    <row r="68" spans="1:17" hidden="1" x14ac:dyDescent="0.3">
      <c r="A68" t="str">
        <f t="shared" si="9"/>
        <v>SectionA_Exam2006917075</v>
      </c>
      <c r="B68" t="s">
        <v>863</v>
      </c>
      <c r="C68" t="s">
        <v>814</v>
      </c>
      <c r="D68">
        <v>2006</v>
      </c>
      <c r="E68">
        <v>9</v>
      </c>
      <c r="F68">
        <v>1</v>
      </c>
      <c r="G68">
        <v>70</v>
      </c>
      <c r="H68">
        <v>75</v>
      </c>
      <c r="I68">
        <v>0</v>
      </c>
      <c r="J68" s="15">
        <v>42468.431250000001</v>
      </c>
      <c r="K68" s="15">
        <v>42468.433495370373</v>
      </c>
      <c r="M68">
        <v>1</v>
      </c>
      <c r="N68" t="s">
        <v>1402</v>
      </c>
      <c r="O68" s="17">
        <f t="shared" si="10"/>
        <v>3.2333333347924054</v>
      </c>
      <c r="P68">
        <f>COUNTIF(A1:A68,A68)</f>
        <v>1</v>
      </c>
      <c r="Q68" s="39">
        <f t="shared" si="11"/>
        <v>42468</v>
      </c>
    </row>
    <row r="69" spans="1:17" hidden="1" x14ac:dyDescent="0.3">
      <c r="A69" t="str">
        <f t="shared" si="9"/>
        <v>SectionA_Exam200841.57075</v>
      </c>
      <c r="B69" t="s">
        <v>863</v>
      </c>
      <c r="C69" t="s">
        <v>814</v>
      </c>
      <c r="D69">
        <v>2008</v>
      </c>
      <c r="E69">
        <v>4</v>
      </c>
      <c r="F69">
        <v>1.5</v>
      </c>
      <c r="G69">
        <v>70</v>
      </c>
      <c r="H69">
        <v>75</v>
      </c>
      <c r="I69">
        <v>1</v>
      </c>
      <c r="J69" s="15">
        <v>42468.676388888889</v>
      </c>
      <c r="K69" s="15">
        <v>42468.680995370371</v>
      </c>
      <c r="O69" s="17">
        <f t="shared" si="10"/>
        <v>6.6333333333022892</v>
      </c>
      <c r="P69">
        <f>COUNTIF(A1:A69,A69)</f>
        <v>1</v>
      </c>
      <c r="Q69" s="39">
        <f t="shared" si="11"/>
        <v>42468</v>
      </c>
    </row>
    <row r="70" spans="1:17" hidden="1" x14ac:dyDescent="0.3">
      <c r="A70" t="str">
        <f t="shared" si="9"/>
        <v>SectionA_Exam200711.5310</v>
      </c>
      <c r="B70" t="s">
        <v>863</v>
      </c>
      <c r="C70" t="s">
        <v>817</v>
      </c>
      <c r="D70">
        <v>2007</v>
      </c>
      <c r="E70">
        <v>1</v>
      </c>
      <c r="F70">
        <v>1.5</v>
      </c>
      <c r="G70">
        <v>3</v>
      </c>
      <c r="H70">
        <v>10</v>
      </c>
      <c r="I70">
        <v>1.5</v>
      </c>
      <c r="J70" s="15">
        <v>42450.898136574076</v>
      </c>
      <c r="K70" s="15">
        <v>42450.90420138889</v>
      </c>
      <c r="O70" s="17">
        <f t="shared" si="10"/>
        <v>8.733333331765607</v>
      </c>
      <c r="P70">
        <f>COUNTIF(A2:A70,A70)</f>
        <v>2</v>
      </c>
      <c r="Q70" s="39">
        <f t="shared" si="11"/>
        <v>42450</v>
      </c>
    </row>
    <row r="71" spans="1:17" hidden="1" x14ac:dyDescent="0.3">
      <c r="A71" t="str">
        <f t="shared" si="9"/>
        <v>SectionA_Exam200671.56974</v>
      </c>
      <c r="B71" t="s">
        <v>863</v>
      </c>
      <c r="C71" t="s">
        <v>814</v>
      </c>
      <c r="D71">
        <v>2006</v>
      </c>
      <c r="E71">
        <v>7</v>
      </c>
      <c r="F71">
        <v>1.5</v>
      </c>
      <c r="G71">
        <v>69</v>
      </c>
      <c r="H71">
        <v>74</v>
      </c>
      <c r="I71">
        <v>1.5</v>
      </c>
      <c r="J71" s="15">
        <v>42468.694120370368</v>
      </c>
      <c r="K71" s="15">
        <v>42468.700277777774</v>
      </c>
      <c r="O71" s="17">
        <f t="shared" si="10"/>
        <v>8.8666666648350656</v>
      </c>
      <c r="P71">
        <f>COUNTIF(A1:A71,A71)</f>
        <v>1</v>
      </c>
      <c r="Q71" s="39">
        <f t="shared" si="11"/>
        <v>42468</v>
      </c>
    </row>
    <row r="72" spans="1:17" hidden="1" x14ac:dyDescent="0.3">
      <c r="A72" t="str">
        <f t="shared" si="9"/>
        <v>SectionA_SampleQTIA52811</v>
      </c>
      <c r="B72" t="s">
        <v>865</v>
      </c>
      <c r="C72" t="s">
        <v>819</v>
      </c>
      <c r="D72" t="s">
        <v>196</v>
      </c>
      <c r="E72">
        <v>5</v>
      </c>
      <c r="F72">
        <v>2</v>
      </c>
      <c r="G72">
        <v>8</v>
      </c>
      <c r="H72">
        <v>11</v>
      </c>
      <c r="I72">
        <v>1.75</v>
      </c>
      <c r="J72" s="15">
        <v>42450.908402777779</v>
      </c>
      <c r="K72" s="15">
        <v>42450.910069444442</v>
      </c>
      <c r="O72" s="17">
        <f t="shared" si="10"/>
        <v>2.3999999952502549</v>
      </c>
      <c r="P72">
        <f>COUNTIF(A2:A72,A72)</f>
        <v>1</v>
      </c>
      <c r="Q72" s="39">
        <f t="shared" si="11"/>
        <v>42450</v>
      </c>
    </row>
    <row r="73" spans="1:17" hidden="1" x14ac:dyDescent="0.3">
      <c r="A73" t="str">
        <f t="shared" si="9"/>
        <v>SectionA_Exam20013236872</v>
      </c>
      <c r="B73" t="s">
        <v>863</v>
      </c>
      <c r="C73" t="s">
        <v>814</v>
      </c>
      <c r="D73">
        <v>2001</v>
      </c>
      <c r="E73">
        <v>32</v>
      </c>
      <c r="F73">
        <v>3</v>
      </c>
      <c r="G73">
        <v>68</v>
      </c>
      <c r="H73">
        <v>72</v>
      </c>
      <c r="I73">
        <v>3</v>
      </c>
      <c r="J73" s="15">
        <v>42468.768923611111</v>
      </c>
      <c r="K73" s="15">
        <v>42468.772638888891</v>
      </c>
      <c r="O73" s="17">
        <f t="shared" si="10"/>
        <v>5.3500000038184226</v>
      </c>
      <c r="P73">
        <f>COUNTIF(A1:A73,A73)</f>
        <v>1</v>
      </c>
      <c r="Q73" s="39">
        <f t="shared" si="11"/>
        <v>42468</v>
      </c>
    </row>
    <row r="74" spans="1:17" hidden="1" x14ac:dyDescent="0.3">
      <c r="A74" t="str">
        <f t="shared" si="9"/>
        <v>SectionA_Exam201121.57076</v>
      </c>
      <c r="B74" t="s">
        <v>863</v>
      </c>
      <c r="C74" t="s">
        <v>814</v>
      </c>
      <c r="D74">
        <v>2011</v>
      </c>
      <c r="E74">
        <v>2</v>
      </c>
      <c r="F74">
        <v>1.5</v>
      </c>
      <c r="G74">
        <v>70</v>
      </c>
      <c r="H74">
        <v>76</v>
      </c>
      <c r="I74">
        <v>0</v>
      </c>
      <c r="J74" s="15">
        <v>42468.772638888891</v>
      </c>
      <c r="K74" s="15">
        <v>42468.775810185187</v>
      </c>
      <c r="M74">
        <v>1</v>
      </c>
      <c r="O74" s="17">
        <f t="shared" si="10"/>
        <v>4.5666666654869914</v>
      </c>
      <c r="P74">
        <f>COUNTIF(A1:A74,A74)</f>
        <v>1</v>
      </c>
      <c r="Q74" s="39">
        <f t="shared" si="11"/>
        <v>42468</v>
      </c>
    </row>
    <row r="75" spans="1:17" hidden="1" x14ac:dyDescent="0.3">
      <c r="A75" t="s">
        <v>909</v>
      </c>
      <c r="B75" t="s">
        <v>865</v>
      </c>
      <c r="C75" t="s">
        <v>821</v>
      </c>
      <c r="D75" s="73" t="s">
        <v>196</v>
      </c>
      <c r="E75">
        <v>6</v>
      </c>
      <c r="F75">
        <v>2</v>
      </c>
      <c r="G75">
        <v>29</v>
      </c>
      <c r="H75">
        <v>31</v>
      </c>
      <c r="I75">
        <v>1</v>
      </c>
      <c r="J75" s="15">
        <v>42418.749756944446</v>
      </c>
      <c r="K75" s="15">
        <v>42418.753125000003</v>
      </c>
      <c r="M75">
        <v>1</v>
      </c>
      <c r="N75" t="s">
        <v>1034</v>
      </c>
      <c r="O75" s="17">
        <v>2</v>
      </c>
      <c r="P75">
        <v>1</v>
      </c>
      <c r="Q75" s="39">
        <v>42426</v>
      </c>
    </row>
    <row r="76" spans="1:17" hidden="1" x14ac:dyDescent="0.3">
      <c r="A76" t="str">
        <f t="shared" ref="A76:A139" si="12">(B76&amp;D76&amp;E76&amp;F76&amp;G76&amp;H76)</f>
        <v>SectionB_Exam20023746269</v>
      </c>
      <c r="B76" t="s">
        <v>869</v>
      </c>
      <c r="C76" t="s">
        <v>767</v>
      </c>
      <c r="D76">
        <v>2002</v>
      </c>
      <c r="E76">
        <v>37</v>
      </c>
      <c r="F76">
        <v>4</v>
      </c>
      <c r="G76">
        <v>62</v>
      </c>
      <c r="H76">
        <v>69</v>
      </c>
      <c r="I76">
        <v>2.5</v>
      </c>
      <c r="J76" s="15">
        <v>42474.780497685184</v>
      </c>
      <c r="K76" s="15">
        <v>42474.786435185182</v>
      </c>
      <c r="M76">
        <v>1</v>
      </c>
      <c r="N76" t="s">
        <v>1454</v>
      </c>
      <c r="O76" s="17">
        <f t="shared" ref="O76:O139" si="13">(K76-J76)*60*24</f>
        <v>8.549999997485429</v>
      </c>
      <c r="P76">
        <f>COUNTIF(A1:A76,A76)</f>
        <v>1</v>
      </c>
      <c r="Q76" s="39">
        <f t="shared" ref="Q76:Q139" si="14">DATE(YEAR(J76),MONTH(J76),DAY(J76))</f>
        <v>42474</v>
      </c>
    </row>
    <row r="77" spans="1:17" hidden="1" x14ac:dyDescent="0.3">
      <c r="A77" t="str">
        <f t="shared" si="12"/>
        <v>SectionB_Exam2000162111</v>
      </c>
      <c r="B77" t="s">
        <v>869</v>
      </c>
      <c r="C77" t="s">
        <v>828</v>
      </c>
      <c r="D77">
        <v>2000</v>
      </c>
      <c r="E77">
        <v>16</v>
      </c>
      <c r="F77">
        <v>2</v>
      </c>
      <c r="G77">
        <v>1</v>
      </c>
      <c r="H77">
        <v>11</v>
      </c>
      <c r="I77">
        <v>1</v>
      </c>
      <c r="J77" s="15">
        <v>42452.46979166667</v>
      </c>
      <c r="K77" s="15">
        <v>42452.483749999999</v>
      </c>
      <c r="M77">
        <v>1</v>
      </c>
      <c r="N77" t="s">
        <v>1156</v>
      </c>
      <c r="O77" s="17">
        <f t="shared" si="13"/>
        <v>20.099999994272366</v>
      </c>
      <c r="P77">
        <f>COUNTIF(A2:A77,A77)</f>
        <v>1</v>
      </c>
      <c r="Q77" s="39">
        <f t="shared" si="14"/>
        <v>42452</v>
      </c>
    </row>
    <row r="78" spans="1:17" hidden="1" x14ac:dyDescent="0.3">
      <c r="A78" t="str">
        <f t="shared" si="12"/>
        <v>SectionA_SampleQTIA422930</v>
      </c>
      <c r="B78" t="s">
        <v>865</v>
      </c>
      <c r="C78" t="s">
        <v>821</v>
      </c>
      <c r="D78" t="s">
        <v>196</v>
      </c>
      <c r="E78">
        <v>4</v>
      </c>
      <c r="F78">
        <v>2</v>
      </c>
      <c r="G78">
        <v>29</v>
      </c>
      <c r="H78">
        <v>30</v>
      </c>
      <c r="I78">
        <v>1.75</v>
      </c>
      <c r="J78" s="15">
        <v>42426.544050925928</v>
      </c>
      <c r="K78" s="15">
        <v>42426.546793981484</v>
      </c>
      <c r="N78" t="s">
        <v>1455</v>
      </c>
      <c r="O78" s="17">
        <f t="shared" si="13"/>
        <v>3.9500000013504177</v>
      </c>
      <c r="P78">
        <f>COUNTIF(A58:A78,A78)</f>
        <v>1</v>
      </c>
      <c r="Q78" s="39">
        <f t="shared" si="14"/>
        <v>42426</v>
      </c>
    </row>
    <row r="79" spans="1:17" hidden="1" x14ac:dyDescent="0.3">
      <c r="A79" t="str">
        <f t="shared" si="12"/>
        <v>SectionA_SampleQTIA122930</v>
      </c>
      <c r="B79" t="s">
        <v>865</v>
      </c>
      <c r="C79" t="s">
        <v>821</v>
      </c>
      <c r="D79" t="s">
        <v>196</v>
      </c>
      <c r="E79">
        <v>1</v>
      </c>
      <c r="F79">
        <v>2</v>
      </c>
      <c r="G79">
        <v>29</v>
      </c>
      <c r="H79">
        <v>30</v>
      </c>
      <c r="I79">
        <v>2</v>
      </c>
      <c r="J79" s="15">
        <v>42450.783275462964</v>
      </c>
      <c r="K79" s="15">
        <v>42450.78402777778</v>
      </c>
      <c r="O79" s="17">
        <f t="shared" si="13"/>
        <v>1.0833333351183683</v>
      </c>
      <c r="P79">
        <f>COUNTIF(A13:A79,A79)</f>
        <v>1</v>
      </c>
      <c r="Q79" s="39">
        <f t="shared" si="14"/>
        <v>42450</v>
      </c>
    </row>
    <row r="80" spans="1:17" hidden="1" x14ac:dyDescent="0.3">
      <c r="A80" t="str">
        <f t="shared" si="12"/>
        <v>SectionB_Exam201071.5721</v>
      </c>
      <c r="B80" t="s">
        <v>869</v>
      </c>
      <c r="C80" t="s">
        <v>828</v>
      </c>
      <c r="D80">
        <v>2010</v>
      </c>
      <c r="E80">
        <v>7</v>
      </c>
      <c r="F80">
        <v>1.5</v>
      </c>
      <c r="G80">
        <v>7</v>
      </c>
      <c r="H80">
        <v>21</v>
      </c>
      <c r="I80">
        <v>0.25</v>
      </c>
      <c r="J80" s="15">
        <v>42452.537152777775</v>
      </c>
      <c r="K80" s="15">
        <v>42452.550844907404</v>
      </c>
      <c r="M80">
        <v>1</v>
      </c>
      <c r="O80" s="17">
        <f t="shared" si="13"/>
        <v>19.71666666562669</v>
      </c>
      <c r="P80">
        <f>COUNTIF(A2:A80,A80)</f>
        <v>1</v>
      </c>
      <c r="Q80" s="39">
        <f t="shared" si="14"/>
        <v>42452</v>
      </c>
    </row>
    <row r="81" spans="1:17" hidden="1" x14ac:dyDescent="0.3">
      <c r="A81" t="str">
        <f t="shared" si="12"/>
        <v>SectionA_Exam2003151.57983</v>
      </c>
      <c r="B81" t="s">
        <v>863</v>
      </c>
      <c r="C81" t="s">
        <v>821</v>
      </c>
      <c r="D81">
        <v>2003</v>
      </c>
      <c r="E81">
        <v>15</v>
      </c>
      <c r="F81">
        <v>1.5</v>
      </c>
      <c r="G81">
        <v>79</v>
      </c>
      <c r="H81">
        <v>83</v>
      </c>
      <c r="I81">
        <v>1</v>
      </c>
      <c r="J81" s="15">
        <v>42452.550844907404</v>
      </c>
      <c r="K81" s="15">
        <v>42452.55196759259</v>
      </c>
      <c r="O81" s="17">
        <f t="shared" si="13"/>
        <v>1.6166666673962027</v>
      </c>
      <c r="P81">
        <f>COUNTIF(A2:A81,A81)</f>
        <v>1</v>
      </c>
      <c r="Q81" s="39">
        <f t="shared" si="14"/>
        <v>42452</v>
      </c>
    </row>
    <row r="82" spans="1:17" hidden="1" x14ac:dyDescent="0.3">
      <c r="A82" t="str">
        <f t="shared" si="12"/>
        <v>SectionB_Exam2007181.53248</v>
      </c>
      <c r="B82" t="s">
        <v>869</v>
      </c>
      <c r="C82" t="s">
        <v>826</v>
      </c>
      <c r="D82">
        <v>2007</v>
      </c>
      <c r="E82">
        <v>18</v>
      </c>
      <c r="F82">
        <v>1.5</v>
      </c>
      <c r="G82">
        <v>32</v>
      </c>
      <c r="H82">
        <v>48</v>
      </c>
      <c r="I82">
        <v>1.25</v>
      </c>
      <c r="J82" s="15">
        <v>42454.385069444441</v>
      </c>
      <c r="K82" s="15">
        <v>42454.393831018519</v>
      </c>
      <c r="O82" s="17">
        <f t="shared" si="13"/>
        <v>12.616666671819985</v>
      </c>
      <c r="P82">
        <f>COUNTIF(A2:A82,A82)</f>
        <v>2</v>
      </c>
      <c r="Q82" s="39">
        <f t="shared" si="14"/>
        <v>42454</v>
      </c>
    </row>
    <row r="83" spans="1:17" hidden="1" x14ac:dyDescent="0.3">
      <c r="A83" t="str">
        <f t="shared" si="12"/>
        <v>SectionB_Exam2003262314</v>
      </c>
      <c r="B83" t="s">
        <v>869</v>
      </c>
      <c r="C83" t="s">
        <v>828</v>
      </c>
      <c r="D83">
        <v>2003</v>
      </c>
      <c r="E83">
        <v>26</v>
      </c>
      <c r="F83">
        <v>2</v>
      </c>
      <c r="G83">
        <v>3</v>
      </c>
      <c r="H83">
        <v>14</v>
      </c>
      <c r="I83">
        <v>1.5</v>
      </c>
      <c r="J83" s="15">
        <v>42454.393831018519</v>
      </c>
      <c r="K83" s="15">
        <v>42454.399409722224</v>
      </c>
      <c r="M83">
        <v>1</v>
      </c>
      <c r="N83" t="s">
        <v>1157</v>
      </c>
      <c r="O83" s="17">
        <f t="shared" si="13"/>
        <v>8.0333333357702941</v>
      </c>
      <c r="P83">
        <f>COUNTIF(A2:A83,A83)</f>
        <v>1</v>
      </c>
      <c r="Q83" s="39">
        <f t="shared" si="14"/>
        <v>42454</v>
      </c>
    </row>
    <row r="84" spans="1:17" hidden="1" x14ac:dyDescent="0.3">
      <c r="A84" t="str">
        <f t="shared" si="12"/>
        <v>SectionA_SampleQTIA522931</v>
      </c>
      <c r="B84" t="s">
        <v>865</v>
      </c>
      <c r="C84" t="s">
        <v>821</v>
      </c>
      <c r="D84" t="s">
        <v>196</v>
      </c>
      <c r="E84">
        <v>5</v>
      </c>
      <c r="F84">
        <v>2</v>
      </c>
      <c r="G84">
        <v>29</v>
      </c>
      <c r="H84">
        <v>31</v>
      </c>
      <c r="I84">
        <v>0</v>
      </c>
      <c r="J84" s="15">
        <v>42469.795868055553</v>
      </c>
      <c r="K84" s="15">
        <v>42469.797083333331</v>
      </c>
      <c r="M84">
        <v>1</v>
      </c>
      <c r="N84" t="s">
        <v>1414</v>
      </c>
      <c r="O84" s="17">
        <f t="shared" si="13"/>
        <v>1.7500000004656613</v>
      </c>
      <c r="P84">
        <f>COUNTIF(A1:A84,A84)</f>
        <v>1</v>
      </c>
      <c r="Q84" s="39">
        <f t="shared" si="14"/>
        <v>42469</v>
      </c>
    </row>
    <row r="85" spans="1:17" hidden="1" x14ac:dyDescent="0.3">
      <c r="A85" t="str">
        <f t="shared" si="12"/>
        <v>SectionB_Exam20102459094</v>
      </c>
      <c r="B85" t="s">
        <v>869</v>
      </c>
      <c r="C85" t="s">
        <v>776</v>
      </c>
      <c r="D85">
        <v>2010</v>
      </c>
      <c r="E85">
        <v>24</v>
      </c>
      <c r="F85">
        <v>5</v>
      </c>
      <c r="G85">
        <v>90</v>
      </c>
      <c r="H85">
        <v>94</v>
      </c>
      <c r="I85">
        <v>4</v>
      </c>
      <c r="J85" s="15">
        <v>42454.400856481479</v>
      </c>
      <c r="K85" s="15">
        <v>42454.414675925924</v>
      </c>
      <c r="M85">
        <v>1</v>
      </c>
      <c r="O85" s="17">
        <f t="shared" si="13"/>
        <v>19.899999999906868</v>
      </c>
      <c r="P85">
        <f>COUNTIF(A2:A85,A85)</f>
        <v>1</v>
      </c>
      <c r="Q85" s="39">
        <f t="shared" si="14"/>
        <v>42454</v>
      </c>
    </row>
    <row r="86" spans="1:17" hidden="1" x14ac:dyDescent="0.3">
      <c r="A86" t="str">
        <f t="shared" si="12"/>
        <v>SectionC_Exam2003471.5116117</v>
      </c>
      <c r="B86" t="s">
        <v>870</v>
      </c>
      <c r="C86" t="s">
        <v>778</v>
      </c>
      <c r="D86">
        <v>2003</v>
      </c>
      <c r="E86">
        <v>47</v>
      </c>
      <c r="F86">
        <v>1.5</v>
      </c>
      <c r="G86">
        <v>116</v>
      </c>
      <c r="H86">
        <v>117</v>
      </c>
      <c r="I86">
        <v>0.5</v>
      </c>
      <c r="J86" s="15">
        <v>42454.872013888889</v>
      </c>
      <c r="K86" s="15">
        <v>42454.87394675926</v>
      </c>
      <c r="M86">
        <v>1</v>
      </c>
      <c r="O86" s="17">
        <f t="shared" si="13"/>
        <v>2.7833333343733102</v>
      </c>
      <c r="P86">
        <f>COUNTIF(A2:A86,A86)</f>
        <v>1</v>
      </c>
      <c r="Q86" s="39">
        <f t="shared" si="14"/>
        <v>42454</v>
      </c>
    </row>
    <row r="87" spans="1:17" hidden="1" x14ac:dyDescent="0.3">
      <c r="A87" t="str">
        <f t="shared" si="12"/>
        <v>SectionC_Exam2005391116117</v>
      </c>
      <c r="B87" t="s">
        <v>870</v>
      </c>
      <c r="C87" t="s">
        <v>778</v>
      </c>
      <c r="D87">
        <v>2005</v>
      </c>
      <c r="E87">
        <v>39</v>
      </c>
      <c r="F87">
        <v>1</v>
      </c>
      <c r="G87">
        <v>116</v>
      </c>
      <c r="H87">
        <v>117</v>
      </c>
      <c r="I87">
        <v>0.5</v>
      </c>
      <c r="J87" s="15">
        <v>42454.87394675926</v>
      </c>
      <c r="K87" s="15">
        <v>42454.899641203701</v>
      </c>
      <c r="M87">
        <v>1</v>
      </c>
      <c r="O87" s="17">
        <f t="shared" si="13"/>
        <v>36.999999994877726</v>
      </c>
      <c r="P87">
        <f>COUNTIF(A2:A87,A87)</f>
        <v>1</v>
      </c>
      <c r="Q87" s="39">
        <f t="shared" si="14"/>
        <v>42454</v>
      </c>
    </row>
    <row r="88" spans="1:17" hidden="1" x14ac:dyDescent="0.3">
      <c r="A88" t="str">
        <f t="shared" si="12"/>
        <v>SectionC_Exam2006151110</v>
      </c>
      <c r="B88" t="s">
        <v>870</v>
      </c>
      <c r="C88" t="s">
        <v>818</v>
      </c>
      <c r="D88">
        <v>2006</v>
      </c>
      <c r="E88">
        <v>15</v>
      </c>
      <c r="F88">
        <v>1</v>
      </c>
      <c r="G88">
        <v>1</v>
      </c>
      <c r="H88">
        <v>10</v>
      </c>
      <c r="I88">
        <v>0</v>
      </c>
      <c r="J88" s="15">
        <v>42476.473738425928</v>
      </c>
      <c r="K88" s="15">
        <v>42476.489085648151</v>
      </c>
      <c r="M88">
        <v>1</v>
      </c>
      <c r="N88" t="s">
        <v>1460</v>
      </c>
      <c r="O88" s="17">
        <f t="shared" si="13"/>
        <v>22.100000000791624</v>
      </c>
      <c r="P88">
        <f>COUNTIF(A1:A88,A88)</f>
        <v>1</v>
      </c>
      <c r="Q88" s="39">
        <f t="shared" si="14"/>
        <v>42476</v>
      </c>
    </row>
    <row r="89" spans="1:17" hidden="1" x14ac:dyDescent="0.3">
      <c r="A89" t="str">
        <f t="shared" si="12"/>
        <v>SectionB_Exam20033523044</v>
      </c>
      <c r="B89" t="s">
        <v>869</v>
      </c>
      <c r="C89" t="s">
        <v>826</v>
      </c>
      <c r="D89">
        <v>2003</v>
      </c>
      <c r="E89">
        <v>35</v>
      </c>
      <c r="F89">
        <v>2</v>
      </c>
      <c r="G89">
        <v>30</v>
      </c>
      <c r="H89">
        <v>44</v>
      </c>
      <c r="I89">
        <v>1.5</v>
      </c>
      <c r="J89" s="15">
        <v>42454.90834490741</v>
      </c>
      <c r="K89" s="15">
        <v>42454.918680555558</v>
      </c>
      <c r="M89">
        <v>1</v>
      </c>
      <c r="O89" s="17">
        <f t="shared" si="13"/>
        <v>14.883333334000781</v>
      </c>
      <c r="P89">
        <f>COUNTIF(A2:A89,A89)</f>
        <v>1</v>
      </c>
      <c r="Q89" s="39">
        <f t="shared" si="14"/>
        <v>42454</v>
      </c>
    </row>
    <row r="90" spans="1:17" hidden="1" x14ac:dyDescent="0.3">
      <c r="A90" t="str">
        <f t="shared" si="12"/>
        <v>SectionC_SampleQTIA522024</v>
      </c>
      <c r="B90" t="s">
        <v>867</v>
      </c>
      <c r="C90" t="s">
        <v>762</v>
      </c>
      <c r="D90" t="s">
        <v>196</v>
      </c>
      <c r="E90">
        <v>5</v>
      </c>
      <c r="F90">
        <v>2</v>
      </c>
      <c r="G90">
        <v>20</v>
      </c>
      <c r="H90">
        <v>24</v>
      </c>
      <c r="I90">
        <v>1.5</v>
      </c>
      <c r="J90" s="15">
        <v>42454.918680555558</v>
      </c>
      <c r="K90" s="15">
        <v>42454.921875</v>
      </c>
      <c r="N90" t="s">
        <v>1158</v>
      </c>
      <c r="O90" s="17">
        <f t="shared" si="13"/>
        <v>4.5999999961350113</v>
      </c>
      <c r="P90">
        <f>COUNTIF(A2:A90,A90)</f>
        <v>1</v>
      </c>
      <c r="Q90" s="39">
        <f t="shared" si="14"/>
        <v>42454</v>
      </c>
    </row>
    <row r="91" spans="1:17" hidden="1" x14ac:dyDescent="0.3">
      <c r="A91" t="str">
        <f t="shared" si="12"/>
        <v>SectionB_Exam2005342.53146</v>
      </c>
      <c r="B91" t="s">
        <v>869</v>
      </c>
      <c r="C91" t="s">
        <v>826</v>
      </c>
      <c r="D91">
        <v>2005</v>
      </c>
      <c r="E91">
        <v>34</v>
      </c>
      <c r="F91">
        <v>2.5</v>
      </c>
      <c r="G91">
        <v>31</v>
      </c>
      <c r="H91">
        <v>46</v>
      </c>
      <c r="I91">
        <v>1.5</v>
      </c>
      <c r="J91" s="15">
        <v>42455.494398148148</v>
      </c>
      <c r="K91" s="15">
        <v>42455.513252314813</v>
      </c>
      <c r="M91">
        <v>1</v>
      </c>
      <c r="N91" t="s">
        <v>1159</v>
      </c>
      <c r="O91" s="17">
        <f t="shared" si="13"/>
        <v>27.149999997345731</v>
      </c>
      <c r="P91">
        <f>COUNTIF(A2:A91,A91)</f>
        <v>1</v>
      </c>
      <c r="Q91" s="39">
        <f t="shared" si="14"/>
        <v>42455</v>
      </c>
    </row>
    <row r="92" spans="1:17" hidden="1" x14ac:dyDescent="0.3">
      <c r="A92" t="str">
        <f t="shared" si="12"/>
        <v>SectionB_Exam2003632841</v>
      </c>
      <c r="B92" t="s">
        <v>869</v>
      </c>
      <c r="C92" t="s">
        <v>826</v>
      </c>
      <c r="D92">
        <v>2003</v>
      </c>
      <c r="E92">
        <v>6</v>
      </c>
      <c r="F92">
        <v>3</v>
      </c>
      <c r="G92">
        <v>28</v>
      </c>
      <c r="H92">
        <v>41</v>
      </c>
      <c r="I92">
        <v>2.75</v>
      </c>
      <c r="J92" s="15">
        <v>42455.513252314813</v>
      </c>
      <c r="K92" s="15">
        <v>42455.519930555558</v>
      </c>
      <c r="N92" t="s">
        <v>1160</v>
      </c>
      <c r="O92" s="17">
        <f t="shared" si="13"/>
        <v>9.6166666725184768</v>
      </c>
      <c r="P92">
        <f>COUNTIF(A2:A92,A92)</f>
        <v>1</v>
      </c>
      <c r="Q92" s="39">
        <f t="shared" si="14"/>
        <v>42455</v>
      </c>
    </row>
    <row r="93" spans="1:17" hidden="1" x14ac:dyDescent="0.3">
      <c r="A93" t="str">
        <f t="shared" si="12"/>
        <v>SectionC_Exam2007131.5210</v>
      </c>
      <c r="B93" t="s">
        <v>870</v>
      </c>
      <c r="C93" t="s">
        <v>818</v>
      </c>
      <c r="D93">
        <v>2007</v>
      </c>
      <c r="E93">
        <v>13</v>
      </c>
      <c r="F93">
        <v>1.5</v>
      </c>
      <c r="G93">
        <v>2</v>
      </c>
      <c r="H93">
        <v>10</v>
      </c>
      <c r="I93">
        <v>1.25</v>
      </c>
      <c r="J93" s="15">
        <v>42448.494768518518</v>
      </c>
      <c r="K93" s="15">
        <v>42448.496990740743</v>
      </c>
      <c r="N93" t="s">
        <v>1112</v>
      </c>
      <c r="O93" s="17">
        <f t="shared" si="13"/>
        <v>3.2000000041443855</v>
      </c>
      <c r="P93">
        <f>COUNTIF(A40:A93,A93)</f>
        <v>1</v>
      </c>
      <c r="Q93" s="39">
        <f t="shared" si="14"/>
        <v>42448</v>
      </c>
    </row>
    <row r="94" spans="1:17" hidden="1" x14ac:dyDescent="0.3">
      <c r="A94" t="str">
        <f t="shared" si="12"/>
        <v>SectionA_Exam2004102.57983</v>
      </c>
      <c r="B94" t="s">
        <v>863</v>
      </c>
      <c r="C94" t="s">
        <v>821</v>
      </c>
      <c r="D94">
        <v>2004</v>
      </c>
      <c r="E94">
        <v>10</v>
      </c>
      <c r="F94">
        <v>2.5</v>
      </c>
      <c r="G94">
        <v>79</v>
      </c>
      <c r="H94">
        <v>83</v>
      </c>
      <c r="I94">
        <v>2</v>
      </c>
      <c r="J94" s="15">
        <v>42469.802731481483</v>
      </c>
      <c r="K94" s="15">
        <v>42469.805520833332</v>
      </c>
      <c r="M94">
        <v>1</v>
      </c>
      <c r="N94" t="s">
        <v>1417</v>
      </c>
      <c r="O94" s="17">
        <f t="shared" si="13"/>
        <v>4.0166666626464576</v>
      </c>
      <c r="P94">
        <f>COUNTIF(A1:A94,A94)</f>
        <v>1</v>
      </c>
      <c r="Q94" s="39">
        <f t="shared" si="14"/>
        <v>42469</v>
      </c>
    </row>
    <row r="95" spans="1:17" hidden="1" x14ac:dyDescent="0.3">
      <c r="A95" t="str">
        <f t="shared" si="12"/>
        <v>SectionB_Exam2003274.5314</v>
      </c>
      <c r="B95" t="s">
        <v>869</v>
      </c>
      <c r="C95" t="s">
        <v>828</v>
      </c>
      <c r="D95">
        <v>2003</v>
      </c>
      <c r="E95">
        <v>27</v>
      </c>
      <c r="F95">
        <v>4.5</v>
      </c>
      <c r="G95">
        <v>3</v>
      </c>
      <c r="H95">
        <v>14</v>
      </c>
      <c r="I95">
        <v>3.25</v>
      </c>
      <c r="J95" s="15">
        <v>42455.523541666669</v>
      </c>
      <c r="K95" s="15">
        <v>42455.533275462964</v>
      </c>
      <c r="M95">
        <v>1</v>
      </c>
      <c r="O95" s="17">
        <f t="shared" si="13"/>
        <v>14.016666663810611</v>
      </c>
      <c r="P95">
        <f>COUNTIF(A2:A95,A95)</f>
        <v>2</v>
      </c>
      <c r="Q95" s="39">
        <f t="shared" si="14"/>
        <v>42455</v>
      </c>
    </row>
    <row r="96" spans="1:17" hidden="1" x14ac:dyDescent="0.3">
      <c r="A96" t="str">
        <f t="shared" si="12"/>
        <v>SectionA_Exam2007527984</v>
      </c>
      <c r="B96" t="s">
        <v>863</v>
      </c>
      <c r="C96" t="s">
        <v>821</v>
      </c>
      <c r="D96">
        <v>2007</v>
      </c>
      <c r="E96">
        <v>5</v>
      </c>
      <c r="F96">
        <v>2</v>
      </c>
      <c r="G96">
        <v>79</v>
      </c>
      <c r="H96">
        <v>84</v>
      </c>
      <c r="I96">
        <v>0.5</v>
      </c>
      <c r="J96" s="15">
        <v>42469.818761574075</v>
      </c>
      <c r="K96" s="15">
        <v>42469.820416666669</v>
      </c>
      <c r="M96">
        <v>1</v>
      </c>
      <c r="N96" t="s">
        <v>1418</v>
      </c>
      <c r="O96" s="17">
        <f t="shared" si="13"/>
        <v>2.3833333351649344</v>
      </c>
      <c r="P96">
        <f>COUNTIF(A1:A96,A96)</f>
        <v>1</v>
      </c>
      <c r="Q96" s="39">
        <f t="shared" si="14"/>
        <v>42469</v>
      </c>
    </row>
    <row r="97" spans="1:17" hidden="1" x14ac:dyDescent="0.3">
      <c r="A97" t="str">
        <f t="shared" si="12"/>
        <v>SectionA_Exam201041.255060</v>
      </c>
      <c r="B97" t="s">
        <v>863</v>
      </c>
      <c r="C97" t="s">
        <v>820</v>
      </c>
      <c r="D97">
        <v>2010</v>
      </c>
      <c r="E97">
        <v>4</v>
      </c>
      <c r="F97">
        <v>1.25</v>
      </c>
      <c r="G97">
        <v>50</v>
      </c>
      <c r="H97">
        <v>60</v>
      </c>
      <c r="I97">
        <v>0.75</v>
      </c>
      <c r="J97" s="15">
        <v>42455.686481481483</v>
      </c>
      <c r="K97" s="15">
        <v>42455.688194444447</v>
      </c>
      <c r="M97">
        <v>1</v>
      </c>
      <c r="N97" t="s">
        <v>1161</v>
      </c>
      <c r="O97" s="17">
        <f t="shared" si="13"/>
        <v>2.4666666670236737</v>
      </c>
      <c r="P97">
        <f>COUNTIF(A2:A97,A97)</f>
        <v>1</v>
      </c>
      <c r="Q97" s="39">
        <f t="shared" si="14"/>
        <v>42455</v>
      </c>
    </row>
    <row r="98" spans="1:17" hidden="1" x14ac:dyDescent="0.3">
      <c r="A98" t="str">
        <f t="shared" si="12"/>
        <v>SectionA_Exam2006827984</v>
      </c>
      <c r="B98" t="s">
        <v>863</v>
      </c>
      <c r="C98" t="s">
        <v>821</v>
      </c>
      <c r="D98">
        <v>2006</v>
      </c>
      <c r="E98">
        <v>8</v>
      </c>
      <c r="F98">
        <v>2</v>
      </c>
      <c r="G98">
        <v>79</v>
      </c>
      <c r="H98">
        <v>84</v>
      </c>
      <c r="I98">
        <v>1</v>
      </c>
      <c r="J98" s="15">
        <v>42469.820416666669</v>
      </c>
      <c r="K98" s="15">
        <v>42469.821099537039</v>
      </c>
      <c r="O98" s="17">
        <f t="shared" si="13"/>
        <v>0.98333333269692957</v>
      </c>
      <c r="P98">
        <f>COUNTIF(A1:A98,A98)</f>
        <v>1</v>
      </c>
      <c r="Q98" s="39">
        <f t="shared" si="14"/>
        <v>42469</v>
      </c>
    </row>
    <row r="99" spans="1:17" hidden="1" x14ac:dyDescent="0.3">
      <c r="A99" t="str">
        <f t="shared" si="12"/>
        <v>SectionC_Exam2007321.5211</v>
      </c>
      <c r="B99" t="s">
        <v>870</v>
      </c>
      <c r="C99" t="s">
        <v>818</v>
      </c>
      <c r="D99">
        <v>2007</v>
      </c>
      <c r="E99">
        <v>32</v>
      </c>
      <c r="F99">
        <v>1.5</v>
      </c>
      <c r="G99">
        <v>2</v>
      </c>
      <c r="H99">
        <v>11</v>
      </c>
      <c r="I99">
        <v>0.5</v>
      </c>
      <c r="J99" s="15">
        <v>42479.741307870368</v>
      </c>
      <c r="K99" s="15">
        <v>42479.744756944441</v>
      </c>
      <c r="M99">
        <v>1</v>
      </c>
      <c r="N99" t="s">
        <v>1483</v>
      </c>
      <c r="O99" s="17">
        <f t="shared" si="13"/>
        <v>4.9666666646953672</v>
      </c>
      <c r="P99">
        <f>COUNTIF(A1:A99,A99)</f>
        <v>1</v>
      </c>
      <c r="Q99" s="39">
        <f t="shared" si="14"/>
        <v>42479</v>
      </c>
    </row>
    <row r="100" spans="1:17" hidden="1" x14ac:dyDescent="0.3">
      <c r="A100" t="str">
        <f t="shared" si="12"/>
        <v>SectionA_Exam20031124653</v>
      </c>
      <c r="B100" t="s">
        <v>863</v>
      </c>
      <c r="C100" t="s">
        <v>820</v>
      </c>
      <c r="D100">
        <v>2003</v>
      </c>
      <c r="E100">
        <v>11</v>
      </c>
      <c r="F100">
        <v>2</v>
      </c>
      <c r="G100">
        <v>46</v>
      </c>
      <c r="H100">
        <v>53</v>
      </c>
      <c r="I100">
        <v>2</v>
      </c>
      <c r="J100" s="15">
        <v>42455.692361111112</v>
      </c>
      <c r="K100" s="15">
        <v>42455.695069444446</v>
      </c>
      <c r="O100" s="17">
        <f t="shared" si="13"/>
        <v>3.9000000001396984</v>
      </c>
      <c r="P100">
        <f>COUNTIF(A2:A100,A100)</f>
        <v>1</v>
      </c>
      <c r="Q100" s="39">
        <f t="shared" si="14"/>
        <v>42455</v>
      </c>
    </row>
    <row r="101" spans="1:17" x14ac:dyDescent="0.3">
      <c r="A101" t="str">
        <f t="shared" si="12"/>
        <v>SectionD_SampleQTIA324145</v>
      </c>
      <c r="B101" t="s">
        <v>868</v>
      </c>
      <c r="C101" t="s">
        <v>773</v>
      </c>
      <c r="D101" t="s">
        <v>196</v>
      </c>
      <c r="E101">
        <v>3</v>
      </c>
      <c r="F101">
        <v>2</v>
      </c>
      <c r="G101">
        <v>41</v>
      </c>
      <c r="H101">
        <v>45</v>
      </c>
      <c r="I101">
        <v>2</v>
      </c>
      <c r="J101" s="15">
        <v>42457.88962962963</v>
      </c>
      <c r="K101" s="15">
        <v>42457.890347222223</v>
      </c>
      <c r="O101" s="17">
        <f t="shared" si="13"/>
        <v>1.0333333339076489</v>
      </c>
      <c r="P101">
        <f>COUNTIF(A2:A101,A101)</f>
        <v>1</v>
      </c>
      <c r="Q101" s="39">
        <f t="shared" si="14"/>
        <v>42457</v>
      </c>
    </row>
    <row r="102" spans="1:17" x14ac:dyDescent="0.3">
      <c r="A102" t="str">
        <f t="shared" si="12"/>
        <v>SectionD_SampleQTIA521820</v>
      </c>
      <c r="B102" t="s">
        <v>868</v>
      </c>
      <c r="C102" t="s">
        <v>777</v>
      </c>
      <c r="D102" t="s">
        <v>196</v>
      </c>
      <c r="E102">
        <v>5</v>
      </c>
      <c r="F102">
        <v>2</v>
      </c>
      <c r="G102">
        <v>18</v>
      </c>
      <c r="H102">
        <v>20</v>
      </c>
      <c r="I102">
        <v>2</v>
      </c>
      <c r="J102" s="15">
        <v>42457.890347222223</v>
      </c>
      <c r="K102" s="15">
        <v>42457.89135416667</v>
      </c>
      <c r="O102" s="17">
        <f t="shared" si="13"/>
        <v>1.4500000036787242</v>
      </c>
      <c r="P102">
        <f>COUNTIF(A2:A102,A102)</f>
        <v>1</v>
      </c>
      <c r="Q102" s="39">
        <f t="shared" si="14"/>
        <v>42457</v>
      </c>
    </row>
    <row r="103" spans="1:17" x14ac:dyDescent="0.3">
      <c r="A103" t="str">
        <f t="shared" si="12"/>
        <v>SectionD_SampleQTIA124144</v>
      </c>
      <c r="B103" t="s">
        <v>868</v>
      </c>
      <c r="C103" t="s">
        <v>773</v>
      </c>
      <c r="D103" t="s">
        <v>196</v>
      </c>
      <c r="E103">
        <v>1</v>
      </c>
      <c r="F103">
        <v>2</v>
      </c>
      <c r="G103">
        <v>41</v>
      </c>
      <c r="H103">
        <v>44</v>
      </c>
      <c r="I103">
        <v>2</v>
      </c>
      <c r="J103" s="15">
        <v>42457.89135416667</v>
      </c>
      <c r="K103" s="15">
        <v>42457.893206018518</v>
      </c>
      <c r="O103" s="17">
        <f t="shared" si="13"/>
        <v>2.6666666613891721</v>
      </c>
      <c r="P103">
        <f>COUNTIF(A2:A103,A103)</f>
        <v>1</v>
      </c>
      <c r="Q103" s="39">
        <f t="shared" si="14"/>
        <v>42457</v>
      </c>
    </row>
    <row r="104" spans="1:17" x14ac:dyDescent="0.3">
      <c r="A104" t="str">
        <f t="shared" si="12"/>
        <v>SectionD_SampleQTIA621820</v>
      </c>
      <c r="B104" t="s">
        <v>868</v>
      </c>
      <c r="C104" t="s">
        <v>777</v>
      </c>
      <c r="D104" t="s">
        <v>196</v>
      </c>
      <c r="E104">
        <v>6</v>
      </c>
      <c r="F104">
        <v>2</v>
      </c>
      <c r="G104">
        <v>18</v>
      </c>
      <c r="H104">
        <v>20</v>
      </c>
      <c r="I104">
        <v>2</v>
      </c>
      <c r="J104" s="15">
        <v>42457.893206018518</v>
      </c>
      <c r="K104" s="15">
        <v>42457.893726851849</v>
      </c>
      <c r="O104" s="17">
        <f t="shared" si="13"/>
        <v>0.74999999720603228</v>
      </c>
      <c r="P104">
        <f>COUNTIF(A2:A104,A104)</f>
        <v>1</v>
      </c>
      <c r="Q104" s="39">
        <f t="shared" si="14"/>
        <v>42457</v>
      </c>
    </row>
    <row r="105" spans="1:17" x14ac:dyDescent="0.3">
      <c r="A105" t="str">
        <f t="shared" si="12"/>
        <v>SectionD_SampleQTIA821821</v>
      </c>
      <c r="B105" t="s">
        <v>868</v>
      </c>
      <c r="C105" t="s">
        <v>777</v>
      </c>
      <c r="D105" t="s">
        <v>196</v>
      </c>
      <c r="E105">
        <v>8</v>
      </c>
      <c r="F105">
        <v>2</v>
      </c>
      <c r="G105">
        <v>18</v>
      </c>
      <c r="H105">
        <v>21</v>
      </c>
      <c r="I105">
        <v>2</v>
      </c>
      <c r="J105" s="15">
        <v>42457.893726851849</v>
      </c>
      <c r="K105" s="15">
        <v>42457.895428240743</v>
      </c>
      <c r="O105" s="17">
        <f t="shared" si="13"/>
        <v>2.4500000069383532</v>
      </c>
      <c r="P105">
        <f>COUNTIF(A2:A105,A105)</f>
        <v>1</v>
      </c>
      <c r="Q105" s="39">
        <f t="shared" si="14"/>
        <v>42457</v>
      </c>
    </row>
    <row r="106" spans="1:17" x14ac:dyDescent="0.3">
      <c r="A106" t="str">
        <f t="shared" si="12"/>
        <v>SectionD_Exam2009104.5193198</v>
      </c>
      <c r="B106" t="s">
        <v>871</v>
      </c>
      <c r="C106" t="s">
        <v>772</v>
      </c>
      <c r="D106">
        <v>2009</v>
      </c>
      <c r="E106">
        <v>10</v>
      </c>
      <c r="F106">
        <v>4.5</v>
      </c>
      <c r="G106">
        <v>193</v>
      </c>
      <c r="H106">
        <v>198</v>
      </c>
      <c r="I106">
        <v>1</v>
      </c>
      <c r="J106" s="15">
        <v>42457.898333333331</v>
      </c>
      <c r="K106" s="15">
        <v>42457.917824074073</v>
      </c>
      <c r="M106">
        <v>1</v>
      </c>
      <c r="O106" s="17">
        <f t="shared" si="13"/>
        <v>28.06666666874662</v>
      </c>
      <c r="P106">
        <f>COUNTIF(A2:A106,A106)</f>
        <v>1</v>
      </c>
      <c r="Q106" s="39">
        <f t="shared" si="14"/>
        <v>42457</v>
      </c>
    </row>
    <row r="107" spans="1:17" x14ac:dyDescent="0.3">
      <c r="A107" t="str">
        <f t="shared" si="12"/>
        <v>SectionD_Exam200411191100</v>
      </c>
      <c r="B107" t="s">
        <v>871</v>
      </c>
      <c r="C107" t="s">
        <v>777</v>
      </c>
      <c r="D107">
        <v>2004</v>
      </c>
      <c r="E107">
        <v>11</v>
      </c>
      <c r="F107">
        <v>1</v>
      </c>
      <c r="G107">
        <v>91</v>
      </c>
      <c r="H107">
        <v>100</v>
      </c>
      <c r="I107">
        <v>1</v>
      </c>
      <c r="J107" s="15">
        <v>42457.917824074073</v>
      </c>
      <c r="K107" s="15">
        <v>42457.918194444443</v>
      </c>
      <c r="O107" s="17">
        <f t="shared" si="13"/>
        <v>0.53333333227783442</v>
      </c>
      <c r="P107">
        <f>COUNTIF(A2:A107,A107)</f>
        <v>1</v>
      </c>
      <c r="Q107" s="39">
        <f t="shared" si="14"/>
        <v>42457</v>
      </c>
    </row>
    <row r="108" spans="1:17" x14ac:dyDescent="0.3">
      <c r="A108" t="str">
        <f t="shared" si="12"/>
        <v>SectionD_Exam20031919099</v>
      </c>
      <c r="B108" t="s">
        <v>871</v>
      </c>
      <c r="C108" t="s">
        <v>777</v>
      </c>
      <c r="D108">
        <v>2003</v>
      </c>
      <c r="E108">
        <v>19</v>
      </c>
      <c r="F108">
        <v>1</v>
      </c>
      <c r="G108">
        <v>90</v>
      </c>
      <c r="H108">
        <v>99</v>
      </c>
      <c r="I108">
        <v>0.5</v>
      </c>
      <c r="J108" s="15">
        <v>42457.918194444443</v>
      </c>
      <c r="K108" s="15">
        <v>42457.922650462962</v>
      </c>
      <c r="M108">
        <v>1</v>
      </c>
      <c r="O108" s="17">
        <f t="shared" si="13"/>
        <v>6.4166666683740914</v>
      </c>
      <c r="P108">
        <f>COUNTIF(A2:A108,A108)</f>
        <v>1</v>
      </c>
      <c r="Q108" s="39">
        <f t="shared" si="14"/>
        <v>42457</v>
      </c>
    </row>
    <row r="109" spans="1:17" x14ac:dyDescent="0.3">
      <c r="A109" t="str">
        <f t="shared" si="12"/>
        <v>SectionD_Exam2002253.58998</v>
      </c>
      <c r="B109" t="s">
        <v>871</v>
      </c>
      <c r="C109" t="s">
        <v>777</v>
      </c>
      <c r="D109">
        <v>2002</v>
      </c>
      <c r="E109">
        <v>25</v>
      </c>
      <c r="F109">
        <v>3.5</v>
      </c>
      <c r="G109">
        <v>89</v>
      </c>
      <c r="H109">
        <v>98</v>
      </c>
      <c r="I109">
        <v>1.5</v>
      </c>
      <c r="J109" s="15">
        <v>42457.926631944443</v>
      </c>
      <c r="K109" s="15">
        <v>42457.933611111112</v>
      </c>
      <c r="M109">
        <v>1</v>
      </c>
      <c r="O109" s="17">
        <f t="shared" si="13"/>
        <v>10.050000002374873</v>
      </c>
      <c r="P109">
        <f>COUNTIF(A2:A109,A109)</f>
        <v>1</v>
      </c>
      <c r="Q109" s="39">
        <f t="shared" si="14"/>
        <v>42457</v>
      </c>
    </row>
    <row r="110" spans="1:17" x14ac:dyDescent="0.3">
      <c r="A110" t="str">
        <f t="shared" si="12"/>
        <v>SectionD_SampleQTIA524348</v>
      </c>
      <c r="B110" t="s">
        <v>868</v>
      </c>
      <c r="C110" t="s">
        <v>773</v>
      </c>
      <c r="D110" t="s">
        <v>196</v>
      </c>
      <c r="E110">
        <v>5</v>
      </c>
      <c r="F110">
        <v>2</v>
      </c>
      <c r="G110">
        <v>43</v>
      </c>
      <c r="H110">
        <v>48</v>
      </c>
      <c r="I110">
        <v>1</v>
      </c>
      <c r="J110" s="15">
        <v>42457.933611111112</v>
      </c>
      <c r="K110" s="15">
        <v>42457.933854166666</v>
      </c>
      <c r="O110" s="17">
        <f t="shared" si="13"/>
        <v>0.34999999799765646</v>
      </c>
      <c r="P110">
        <f>COUNTIF(A2:A110,A110)</f>
        <v>1</v>
      </c>
      <c r="Q110" s="39">
        <f t="shared" si="14"/>
        <v>42457</v>
      </c>
    </row>
    <row r="111" spans="1:17" x14ac:dyDescent="0.3">
      <c r="A111" t="str">
        <f t="shared" si="12"/>
        <v>SectionD_Exam2010112.52646</v>
      </c>
      <c r="B111" t="s">
        <v>871</v>
      </c>
      <c r="C111" t="s">
        <v>768</v>
      </c>
      <c r="D111">
        <v>2010</v>
      </c>
      <c r="E111">
        <v>11</v>
      </c>
      <c r="F111">
        <v>2.5</v>
      </c>
      <c r="G111">
        <v>26</v>
      </c>
      <c r="H111">
        <v>46</v>
      </c>
      <c r="I111">
        <v>0</v>
      </c>
      <c r="J111" s="15">
        <v>42459.751562500001</v>
      </c>
      <c r="K111" s="15">
        <v>42459.764166666668</v>
      </c>
      <c r="M111">
        <v>1</v>
      </c>
      <c r="N111" t="s">
        <v>1272</v>
      </c>
      <c r="O111" s="17">
        <f t="shared" si="13"/>
        <v>18.149999999441206</v>
      </c>
      <c r="P111">
        <f>COUNTIF(A2:A111,A111)</f>
        <v>1</v>
      </c>
      <c r="Q111" s="39">
        <f t="shared" si="14"/>
        <v>42459</v>
      </c>
    </row>
    <row r="112" spans="1:17" x14ac:dyDescent="0.3">
      <c r="A112" t="str">
        <f t="shared" si="12"/>
        <v>SectionD_SampleQTIA82510</v>
      </c>
      <c r="B112" t="s">
        <v>868</v>
      </c>
      <c r="C112" t="s">
        <v>768</v>
      </c>
      <c r="D112" t="s">
        <v>196</v>
      </c>
      <c r="E112">
        <v>8</v>
      </c>
      <c r="F112">
        <v>2</v>
      </c>
      <c r="G112">
        <v>5</v>
      </c>
      <c r="H112">
        <v>10</v>
      </c>
      <c r="I112">
        <v>1</v>
      </c>
      <c r="J112" s="15">
        <v>42459.764166666668</v>
      </c>
      <c r="K112" s="15">
        <v>42459.777395833335</v>
      </c>
      <c r="O112" s="17">
        <f t="shared" si="13"/>
        <v>19.050000000279397</v>
      </c>
      <c r="P112">
        <f>COUNTIF(A2:A112,A112)</f>
        <v>1</v>
      </c>
      <c r="Q112" s="39">
        <f t="shared" si="14"/>
        <v>42459</v>
      </c>
    </row>
    <row r="113" spans="1:17" x14ac:dyDescent="0.3">
      <c r="A113" t="str">
        <f t="shared" si="12"/>
        <v>SectionD_SampleQTIA7259</v>
      </c>
      <c r="B113" t="s">
        <v>868</v>
      </c>
      <c r="C113" t="s">
        <v>768</v>
      </c>
      <c r="D113" t="s">
        <v>196</v>
      </c>
      <c r="E113">
        <v>7</v>
      </c>
      <c r="F113">
        <v>2</v>
      </c>
      <c r="G113">
        <v>5</v>
      </c>
      <c r="H113">
        <v>9</v>
      </c>
      <c r="I113">
        <v>2</v>
      </c>
      <c r="J113" s="15">
        <v>42459.777395833335</v>
      </c>
      <c r="K113" s="15">
        <v>42459.78334490741</v>
      </c>
      <c r="O113" s="17">
        <f t="shared" si="13"/>
        <v>8.5666666680481285</v>
      </c>
      <c r="P113">
        <f>COUNTIF(A2:A113,A113)</f>
        <v>1</v>
      </c>
      <c r="Q113" s="39">
        <f t="shared" si="14"/>
        <v>42459</v>
      </c>
    </row>
    <row r="114" spans="1:17" x14ac:dyDescent="0.3">
      <c r="A114" t="str">
        <f t="shared" si="12"/>
        <v>SectionD_Exam2004819099</v>
      </c>
      <c r="B114" t="s">
        <v>871</v>
      </c>
      <c r="C114" t="s">
        <v>777</v>
      </c>
      <c r="D114">
        <v>2004</v>
      </c>
      <c r="E114">
        <v>8</v>
      </c>
      <c r="F114">
        <v>1</v>
      </c>
      <c r="G114">
        <v>90</v>
      </c>
      <c r="H114">
        <v>99</v>
      </c>
      <c r="I114">
        <v>0.5</v>
      </c>
      <c r="J114" s="15">
        <v>42461.725046296298</v>
      </c>
      <c r="K114" s="15">
        <v>42461.730451388888</v>
      </c>
      <c r="O114" s="17">
        <f t="shared" si="13"/>
        <v>7.7833333297166973</v>
      </c>
      <c r="P114">
        <f>COUNTIF(A2:A114,A114)</f>
        <v>1</v>
      </c>
      <c r="Q114" s="39">
        <f t="shared" si="14"/>
        <v>42461</v>
      </c>
    </row>
    <row r="115" spans="1:17" x14ac:dyDescent="0.3">
      <c r="A115" t="str">
        <f t="shared" si="12"/>
        <v>SectionD_SampleQTIA122330</v>
      </c>
      <c r="B115" t="s">
        <v>868</v>
      </c>
      <c r="C115" t="s">
        <v>780</v>
      </c>
      <c r="D115" t="s">
        <v>196</v>
      </c>
      <c r="E115">
        <v>1</v>
      </c>
      <c r="F115">
        <v>2</v>
      </c>
      <c r="G115">
        <v>23</v>
      </c>
      <c r="H115">
        <v>30</v>
      </c>
      <c r="I115">
        <v>2</v>
      </c>
      <c r="J115" s="15">
        <v>42461.730451388888</v>
      </c>
      <c r="K115" s="15">
        <v>42461.73574074074</v>
      </c>
      <c r="O115" s="17">
        <f t="shared" si="13"/>
        <v>7.6166666659992188</v>
      </c>
      <c r="P115">
        <f>COUNTIF(A2:A115,A115)</f>
        <v>1</v>
      </c>
      <c r="Q115" s="39">
        <f t="shared" si="14"/>
        <v>42461</v>
      </c>
    </row>
    <row r="116" spans="1:17" x14ac:dyDescent="0.3">
      <c r="A116" t="str">
        <f t="shared" si="12"/>
        <v>SectionD_SampleQTIA425052</v>
      </c>
      <c r="B116" t="s">
        <v>868</v>
      </c>
      <c r="C116" t="s">
        <v>772</v>
      </c>
      <c r="D116" t="s">
        <v>196</v>
      </c>
      <c r="E116">
        <v>4</v>
      </c>
      <c r="F116">
        <v>2</v>
      </c>
      <c r="G116">
        <v>50</v>
      </c>
      <c r="H116">
        <v>52</v>
      </c>
      <c r="I116">
        <v>1.5</v>
      </c>
      <c r="J116" s="15">
        <v>42461.73574074074</v>
      </c>
      <c r="K116" s="15">
        <v>42461.736747685187</v>
      </c>
      <c r="O116" s="17">
        <f t="shared" si="13"/>
        <v>1.4500000036787242</v>
      </c>
      <c r="P116">
        <f>COUNTIF(A2:A116,A116)</f>
        <v>1</v>
      </c>
      <c r="Q116" s="39">
        <f t="shared" si="14"/>
        <v>42461</v>
      </c>
    </row>
    <row r="117" spans="1:17" x14ac:dyDescent="0.3">
      <c r="A117" t="str">
        <f t="shared" si="12"/>
        <v>SectionD_Exam2000263109130</v>
      </c>
      <c r="B117" t="s">
        <v>871</v>
      </c>
      <c r="C117" t="s">
        <v>780</v>
      </c>
      <c r="D117">
        <v>2000</v>
      </c>
      <c r="E117">
        <v>26</v>
      </c>
      <c r="F117">
        <v>3</v>
      </c>
      <c r="G117">
        <v>109</v>
      </c>
      <c r="H117">
        <v>130</v>
      </c>
      <c r="I117">
        <v>2</v>
      </c>
      <c r="J117" s="15">
        <v>42461.736747685187</v>
      </c>
      <c r="K117" s="15">
        <v>42461.760844907411</v>
      </c>
      <c r="M117">
        <v>1</v>
      </c>
      <c r="O117" s="17">
        <f t="shared" si="13"/>
        <v>34.70000000204891</v>
      </c>
      <c r="P117">
        <f>COUNTIF(A2:A117,A117)</f>
        <v>1</v>
      </c>
      <c r="Q117" s="39">
        <f t="shared" si="14"/>
        <v>42461</v>
      </c>
    </row>
    <row r="118" spans="1:17" x14ac:dyDescent="0.3">
      <c r="A118" t="str">
        <f t="shared" si="12"/>
        <v>SectionD_Exam200340329</v>
      </c>
      <c r="B118" t="s">
        <v>871</v>
      </c>
      <c r="C118" t="s">
        <v>774</v>
      </c>
      <c r="D118">
        <v>2003</v>
      </c>
      <c r="E118">
        <v>40</v>
      </c>
      <c r="F118">
        <v>3</v>
      </c>
      <c r="G118">
        <v>2</v>
      </c>
      <c r="H118">
        <v>9</v>
      </c>
      <c r="I118">
        <v>2</v>
      </c>
      <c r="J118" s="15">
        <v>42461.760844907411</v>
      </c>
      <c r="K118" s="15">
        <v>42461.763252314813</v>
      </c>
      <c r="M118">
        <v>1</v>
      </c>
      <c r="O118" s="17">
        <f t="shared" si="13"/>
        <v>3.4666666598059237</v>
      </c>
      <c r="P118">
        <f>COUNTIF(A2:A118,A118)</f>
        <v>1</v>
      </c>
      <c r="Q118" s="39">
        <f t="shared" si="14"/>
        <v>42461</v>
      </c>
    </row>
    <row r="119" spans="1:17" x14ac:dyDescent="0.3">
      <c r="A119" t="str">
        <f t="shared" si="12"/>
        <v>SectionD_SampleQTIA825154</v>
      </c>
      <c r="B119" t="s">
        <v>868</v>
      </c>
      <c r="C119" t="s">
        <v>772</v>
      </c>
      <c r="D119" t="s">
        <v>196</v>
      </c>
      <c r="E119">
        <v>8</v>
      </c>
      <c r="F119">
        <v>2</v>
      </c>
      <c r="G119">
        <v>51</v>
      </c>
      <c r="H119">
        <v>54</v>
      </c>
      <c r="I119">
        <v>1.5</v>
      </c>
      <c r="J119" s="15">
        <v>42461.769803240742</v>
      </c>
      <c r="K119" s="15">
        <v>42461.770497685182</v>
      </c>
      <c r="O119" s="17">
        <f t="shared" si="13"/>
        <v>0.99999999278225005</v>
      </c>
      <c r="P119">
        <f>COUNTIF(A2:A119,A119)</f>
        <v>1</v>
      </c>
      <c r="Q119" s="39">
        <f t="shared" si="14"/>
        <v>42461</v>
      </c>
    </row>
    <row r="120" spans="1:17" x14ac:dyDescent="0.3">
      <c r="A120" t="str">
        <f t="shared" si="12"/>
        <v>SectionD_Exam20002426171</v>
      </c>
      <c r="B120" t="s">
        <v>871</v>
      </c>
      <c r="C120" t="s">
        <v>769</v>
      </c>
      <c r="D120">
        <v>2000</v>
      </c>
      <c r="E120">
        <v>24</v>
      </c>
      <c r="F120">
        <v>2</v>
      </c>
      <c r="G120">
        <v>61</v>
      </c>
      <c r="H120">
        <v>71</v>
      </c>
      <c r="I120">
        <v>2</v>
      </c>
      <c r="J120" s="15">
        <v>42461.770497685182</v>
      </c>
      <c r="K120" s="15">
        <v>42461.778749999998</v>
      </c>
      <c r="O120" s="17">
        <f t="shared" si="13"/>
        <v>11.883333334699273</v>
      </c>
      <c r="P120">
        <f>COUNTIF(A2:A120,A120)</f>
        <v>1</v>
      </c>
      <c r="Q120" s="39">
        <f t="shared" si="14"/>
        <v>42461</v>
      </c>
    </row>
    <row r="121" spans="1:17" x14ac:dyDescent="0.3">
      <c r="A121" t="str">
        <f t="shared" si="12"/>
        <v>SectionD_SampleQTIA92511</v>
      </c>
      <c r="B121" t="s">
        <v>868</v>
      </c>
      <c r="C121" t="s">
        <v>768</v>
      </c>
      <c r="D121" t="s">
        <v>196</v>
      </c>
      <c r="E121">
        <v>9</v>
      </c>
      <c r="F121">
        <v>2</v>
      </c>
      <c r="G121">
        <v>5</v>
      </c>
      <c r="H121">
        <v>11</v>
      </c>
      <c r="I121">
        <v>2</v>
      </c>
      <c r="J121" s="15">
        <v>42461.778749999998</v>
      </c>
      <c r="K121" s="15">
        <v>42461.791296296295</v>
      </c>
      <c r="M121">
        <v>1</v>
      </c>
      <c r="N121" t="s">
        <v>1278</v>
      </c>
      <c r="O121" s="17">
        <f t="shared" si="13"/>
        <v>18.066666667582467</v>
      </c>
      <c r="P121">
        <f>COUNTIF(A2:A121,A121)</f>
        <v>1</v>
      </c>
      <c r="Q121" s="39">
        <f t="shared" si="14"/>
        <v>42461</v>
      </c>
    </row>
    <row r="122" spans="1:17" x14ac:dyDescent="0.3">
      <c r="A122" t="str">
        <f t="shared" si="12"/>
        <v>SectionD_Exam2007202166178</v>
      </c>
      <c r="B122" t="s">
        <v>871</v>
      </c>
      <c r="C122" t="s">
        <v>773</v>
      </c>
      <c r="D122">
        <v>2007</v>
      </c>
      <c r="E122">
        <v>20</v>
      </c>
      <c r="F122">
        <v>2</v>
      </c>
      <c r="G122">
        <v>166</v>
      </c>
      <c r="H122">
        <v>178</v>
      </c>
      <c r="I122">
        <v>1</v>
      </c>
      <c r="J122" s="15">
        <v>42461.791296296295</v>
      </c>
      <c r="K122" s="15">
        <v>42461.79923611111</v>
      </c>
      <c r="M122">
        <v>1</v>
      </c>
      <c r="O122" s="17">
        <f t="shared" si="13"/>
        <v>11.433333334280178</v>
      </c>
      <c r="P122">
        <f>COUNTIF(A2:A122,A122)</f>
        <v>1</v>
      </c>
      <c r="Q122" s="39">
        <f t="shared" si="14"/>
        <v>42461</v>
      </c>
    </row>
    <row r="123" spans="1:17" x14ac:dyDescent="0.3">
      <c r="A123" t="str">
        <f t="shared" si="12"/>
        <v>SectionD_Exam20043521937</v>
      </c>
      <c r="B123" t="s">
        <v>871</v>
      </c>
      <c r="C123" t="s">
        <v>768</v>
      </c>
      <c r="D123">
        <v>2004</v>
      </c>
      <c r="E123">
        <v>35</v>
      </c>
      <c r="F123">
        <v>2</v>
      </c>
      <c r="G123">
        <v>19</v>
      </c>
      <c r="H123">
        <v>37</v>
      </c>
      <c r="I123">
        <v>2</v>
      </c>
      <c r="J123" s="15">
        <v>42461.79923611111</v>
      </c>
      <c r="K123" s="15">
        <v>42461.800324074073</v>
      </c>
      <c r="M123">
        <v>1</v>
      </c>
      <c r="O123" s="17">
        <f t="shared" si="13"/>
        <v>1.5666666661854833</v>
      </c>
      <c r="P123">
        <f>COUNTIF(A2:A123,A123)</f>
        <v>1</v>
      </c>
      <c r="Q123" s="39">
        <f t="shared" si="14"/>
        <v>42461</v>
      </c>
    </row>
    <row r="124" spans="1:17" x14ac:dyDescent="0.3">
      <c r="A124" t="str">
        <f t="shared" si="12"/>
        <v>SectionD_Exam200512291100</v>
      </c>
      <c r="B124" t="s">
        <v>871</v>
      </c>
      <c r="C124" t="s">
        <v>777</v>
      </c>
      <c r="D124">
        <v>2005</v>
      </c>
      <c r="E124">
        <v>12</v>
      </c>
      <c r="F124">
        <v>2</v>
      </c>
      <c r="G124">
        <v>91</v>
      </c>
      <c r="H124">
        <v>100</v>
      </c>
      <c r="I124">
        <v>0</v>
      </c>
      <c r="J124" s="15">
        <v>42461.800324074073</v>
      </c>
      <c r="K124" s="15">
        <v>42461.803356481483</v>
      </c>
      <c r="M124">
        <v>1</v>
      </c>
      <c r="O124" s="17">
        <f t="shared" si="13"/>
        <v>4.366666671121493</v>
      </c>
      <c r="P124">
        <f>COUNTIF(A2:A124,A124)</f>
        <v>1</v>
      </c>
      <c r="Q124" s="39">
        <f t="shared" si="14"/>
        <v>42461</v>
      </c>
    </row>
    <row r="125" spans="1:17" hidden="1" x14ac:dyDescent="0.3">
      <c r="A125" t="str">
        <f t="shared" si="12"/>
        <v>SectionC_Exam2004402.57793</v>
      </c>
      <c r="B125" t="s">
        <v>870</v>
      </c>
      <c r="C125" t="s">
        <v>770</v>
      </c>
      <c r="D125">
        <v>2004</v>
      </c>
      <c r="E125">
        <v>40</v>
      </c>
      <c r="F125">
        <v>2.5</v>
      </c>
      <c r="G125">
        <v>77</v>
      </c>
      <c r="H125">
        <v>93</v>
      </c>
      <c r="I125">
        <v>1.5</v>
      </c>
      <c r="J125" s="15">
        <v>42479.761354166665</v>
      </c>
      <c r="K125" s="15">
        <v>42479.764930555553</v>
      </c>
      <c r="M125">
        <v>1</v>
      </c>
      <c r="N125" t="s">
        <v>1486</v>
      </c>
      <c r="O125" s="17">
        <f t="shared" si="13"/>
        <v>5.1499999989755452</v>
      </c>
      <c r="P125">
        <f>COUNTIF(A1:A125,A125)</f>
        <v>1</v>
      </c>
      <c r="Q125" s="39">
        <f t="shared" si="14"/>
        <v>42479</v>
      </c>
    </row>
    <row r="126" spans="1:17" hidden="1" x14ac:dyDescent="0.3">
      <c r="A126" t="str">
        <f t="shared" si="12"/>
        <v>SectionC_Exam20054114648</v>
      </c>
      <c r="B126" t="s">
        <v>870</v>
      </c>
      <c r="C126" t="s">
        <v>765</v>
      </c>
      <c r="D126">
        <v>2005</v>
      </c>
      <c r="E126">
        <v>41</v>
      </c>
      <c r="F126">
        <v>1</v>
      </c>
      <c r="G126">
        <v>46</v>
      </c>
      <c r="H126">
        <v>48</v>
      </c>
      <c r="I126">
        <v>0.75</v>
      </c>
      <c r="J126" s="15">
        <v>42464.772037037037</v>
      </c>
      <c r="K126" s="15">
        <v>42464.773009259261</v>
      </c>
      <c r="N126" t="s">
        <v>1280</v>
      </c>
      <c r="O126" s="17">
        <f t="shared" si="13"/>
        <v>1.4000000024680048</v>
      </c>
      <c r="P126">
        <f>COUNTIF(A2:A126,A126)</f>
        <v>1</v>
      </c>
      <c r="Q126" s="39">
        <f t="shared" si="14"/>
        <v>42464</v>
      </c>
    </row>
    <row r="127" spans="1:17" hidden="1" x14ac:dyDescent="0.3">
      <c r="A127" t="str">
        <f t="shared" si="12"/>
        <v>SectionC_Exam20054237894</v>
      </c>
      <c r="B127" t="s">
        <v>870</v>
      </c>
      <c r="C127" t="s">
        <v>770</v>
      </c>
      <c r="D127">
        <v>2005</v>
      </c>
      <c r="E127">
        <v>42</v>
      </c>
      <c r="F127">
        <v>3</v>
      </c>
      <c r="G127">
        <v>78</v>
      </c>
      <c r="H127">
        <v>94</v>
      </c>
      <c r="I127">
        <v>0</v>
      </c>
      <c r="J127" s="15">
        <v>42464.762245370373</v>
      </c>
      <c r="K127" s="15">
        <v>42464.772037037037</v>
      </c>
      <c r="M127">
        <v>1</v>
      </c>
      <c r="O127" s="17">
        <f t="shared" si="13"/>
        <v>14.09999999566935</v>
      </c>
      <c r="P127">
        <f>COUNTIF(A4:A127,A127)</f>
        <v>1</v>
      </c>
      <c r="Q127" s="39">
        <f t="shared" si="14"/>
        <v>42464</v>
      </c>
    </row>
    <row r="128" spans="1:17" hidden="1" x14ac:dyDescent="0.3">
      <c r="A128" t="str">
        <f t="shared" si="12"/>
        <v>SectionC_Exam20063817895</v>
      </c>
      <c r="B128" t="s">
        <v>870</v>
      </c>
      <c r="C128" t="s">
        <v>770</v>
      </c>
      <c r="D128">
        <v>2006</v>
      </c>
      <c r="E128">
        <v>38</v>
      </c>
      <c r="F128">
        <v>1</v>
      </c>
      <c r="G128">
        <v>78</v>
      </c>
      <c r="H128">
        <v>95</v>
      </c>
      <c r="I128">
        <v>0</v>
      </c>
      <c r="J128" s="15">
        <v>42479.801759259259</v>
      </c>
      <c r="K128" s="15">
        <v>42479.805902777778</v>
      </c>
      <c r="M128">
        <v>1</v>
      </c>
      <c r="O128" s="17">
        <f t="shared" si="13"/>
        <v>5.9666666679549962</v>
      </c>
      <c r="P128">
        <f>COUNTIF(A1:A128,A128)</f>
        <v>1</v>
      </c>
      <c r="Q128" s="39">
        <f t="shared" si="14"/>
        <v>42479</v>
      </c>
    </row>
    <row r="129" spans="1:17" hidden="1" x14ac:dyDescent="0.3">
      <c r="A129" t="str">
        <f t="shared" si="12"/>
        <v>SectionC_Exam2007354.57995</v>
      </c>
      <c r="B129" t="s">
        <v>870</v>
      </c>
      <c r="C129" t="s">
        <v>770</v>
      </c>
      <c r="D129">
        <v>2007</v>
      </c>
      <c r="E129">
        <v>35</v>
      </c>
      <c r="F129">
        <v>4.5</v>
      </c>
      <c r="G129">
        <v>79</v>
      </c>
      <c r="H129">
        <v>95</v>
      </c>
      <c r="I129">
        <v>3</v>
      </c>
      <c r="J129" s="15">
        <v>42464.895555555559</v>
      </c>
      <c r="K129" s="15">
        <v>42464.8987037037</v>
      </c>
      <c r="O129" s="17">
        <f t="shared" si="13"/>
        <v>4.5333333243615925</v>
      </c>
      <c r="P129">
        <f>COUNTIF(A1:A129,A129)</f>
        <v>1</v>
      </c>
      <c r="Q129" s="39">
        <f t="shared" si="14"/>
        <v>42464</v>
      </c>
    </row>
    <row r="130" spans="1:17" hidden="1" x14ac:dyDescent="0.3">
      <c r="A130" t="str">
        <f t="shared" si="12"/>
        <v>SectionC_Exam20083628097</v>
      </c>
      <c r="B130" t="s">
        <v>870</v>
      </c>
      <c r="C130" t="s">
        <v>770</v>
      </c>
      <c r="D130">
        <v>2008</v>
      </c>
      <c r="E130">
        <v>36</v>
      </c>
      <c r="F130">
        <v>2</v>
      </c>
      <c r="G130">
        <v>80</v>
      </c>
      <c r="H130">
        <v>97</v>
      </c>
      <c r="I130">
        <v>2</v>
      </c>
      <c r="J130" s="15">
        <v>42465.794641203705</v>
      </c>
      <c r="K130" s="15">
        <v>42466.336793981478</v>
      </c>
      <c r="O130" s="17">
        <f t="shared" si="13"/>
        <v>780.69999999250285</v>
      </c>
      <c r="P130">
        <f>COUNTIF(A1:A130,A130)</f>
        <v>1</v>
      </c>
      <c r="Q130" s="39">
        <f t="shared" si="14"/>
        <v>42465</v>
      </c>
    </row>
    <row r="131" spans="1:17" hidden="1" x14ac:dyDescent="0.3">
      <c r="A131" t="str">
        <f t="shared" si="12"/>
        <v>SectionC_Exam2008352.257996</v>
      </c>
      <c r="B131" t="s">
        <v>870</v>
      </c>
      <c r="C131" t="s">
        <v>770</v>
      </c>
      <c r="D131">
        <v>2008</v>
      </c>
      <c r="E131">
        <v>35</v>
      </c>
      <c r="F131">
        <v>2.25</v>
      </c>
      <c r="G131">
        <v>79</v>
      </c>
      <c r="H131">
        <v>96</v>
      </c>
      <c r="I131">
        <v>2.25</v>
      </c>
      <c r="J131" s="15">
        <v>42479.790590277778</v>
      </c>
      <c r="K131" s="15">
        <v>42479.801759259259</v>
      </c>
      <c r="N131" t="s">
        <v>1487</v>
      </c>
      <c r="O131" s="17">
        <f t="shared" si="13"/>
        <v>16.083333331625909</v>
      </c>
      <c r="P131">
        <f>COUNTIF(A1:A131,A131)</f>
        <v>1</v>
      </c>
      <c r="Q131" s="39">
        <f t="shared" si="14"/>
        <v>42479</v>
      </c>
    </row>
    <row r="132" spans="1:17" hidden="1" x14ac:dyDescent="0.3">
      <c r="A132" t="str">
        <f t="shared" si="12"/>
        <v>SectionC_Exam2008371.58098</v>
      </c>
      <c r="B132" t="s">
        <v>870</v>
      </c>
      <c r="C132" t="s">
        <v>770</v>
      </c>
      <c r="D132">
        <v>2008</v>
      </c>
      <c r="E132">
        <v>37</v>
      </c>
      <c r="F132">
        <v>1.5</v>
      </c>
      <c r="G132">
        <v>80</v>
      </c>
      <c r="H132">
        <v>98</v>
      </c>
      <c r="I132">
        <v>1.25</v>
      </c>
      <c r="J132" s="15">
        <v>42480.741736111115</v>
      </c>
      <c r="K132" s="15">
        <v>42480.744016203702</v>
      </c>
      <c r="O132" s="17">
        <f t="shared" si="13"/>
        <v>3.2833333255257457</v>
      </c>
      <c r="P132">
        <f>COUNTIF(A1:A132,A132)</f>
        <v>1</v>
      </c>
      <c r="Q132" s="39">
        <f t="shared" si="14"/>
        <v>42480</v>
      </c>
    </row>
    <row r="133" spans="1:17" x14ac:dyDescent="0.3">
      <c r="A133" t="str">
        <f t="shared" si="12"/>
        <v>SectionD_Exam2005193164174</v>
      </c>
      <c r="B133" t="s">
        <v>871</v>
      </c>
      <c r="C133" t="s">
        <v>773</v>
      </c>
      <c r="D133">
        <v>2005</v>
      </c>
      <c r="E133">
        <v>19</v>
      </c>
      <c r="F133">
        <v>3</v>
      </c>
      <c r="G133">
        <v>164</v>
      </c>
      <c r="H133">
        <v>174</v>
      </c>
      <c r="I133">
        <v>1.5</v>
      </c>
      <c r="J133" s="15">
        <v>42465.420497685183</v>
      </c>
      <c r="K133" s="15">
        <v>42465.481203703705</v>
      </c>
      <c r="M133">
        <v>1</v>
      </c>
      <c r="N133" t="s">
        <v>1283</v>
      </c>
      <c r="O133" s="17">
        <f t="shared" si="13"/>
        <v>87.416666670469567</v>
      </c>
      <c r="P133">
        <f>COUNTIF(A2:A133,A133)</f>
        <v>1</v>
      </c>
      <c r="Q133" s="39">
        <f t="shared" si="14"/>
        <v>42465</v>
      </c>
    </row>
    <row r="134" spans="1:17" x14ac:dyDescent="0.3">
      <c r="A134" t="str">
        <f t="shared" si="12"/>
        <v>SectionD_Exam2008114.5167180</v>
      </c>
      <c r="B134" t="s">
        <v>871</v>
      </c>
      <c r="C134" t="s">
        <v>773</v>
      </c>
      <c r="D134">
        <v>2008</v>
      </c>
      <c r="E134">
        <v>11</v>
      </c>
      <c r="F134">
        <v>4.5</v>
      </c>
      <c r="G134">
        <v>167</v>
      </c>
      <c r="H134">
        <v>180</v>
      </c>
      <c r="I134">
        <v>4.5</v>
      </c>
      <c r="J134" s="15">
        <v>42465.481203703705</v>
      </c>
      <c r="K134" s="15">
        <v>42465.484189814815</v>
      </c>
      <c r="O134" s="17">
        <f t="shared" si="13"/>
        <v>4.2999999993480742</v>
      </c>
      <c r="P134">
        <f>COUNTIF(A2:A134,A134)</f>
        <v>1</v>
      </c>
      <c r="Q134" s="39">
        <f t="shared" si="14"/>
        <v>42465</v>
      </c>
    </row>
    <row r="135" spans="1:17" x14ac:dyDescent="0.3">
      <c r="A135" t="str">
        <f t="shared" si="12"/>
        <v>SectionD_SampleQTIA1247</v>
      </c>
      <c r="B135" t="s">
        <v>868</v>
      </c>
      <c r="C135" t="s">
        <v>768</v>
      </c>
      <c r="D135" t="s">
        <v>196</v>
      </c>
      <c r="E135">
        <v>1</v>
      </c>
      <c r="F135">
        <v>2</v>
      </c>
      <c r="G135">
        <v>4</v>
      </c>
      <c r="H135">
        <v>7</v>
      </c>
      <c r="I135">
        <v>1</v>
      </c>
      <c r="J135" s="15">
        <v>42465.484189814815</v>
      </c>
      <c r="K135" s="15">
        <v>42465.4846875</v>
      </c>
      <c r="O135" s="17">
        <f t="shared" si="13"/>
        <v>0.71666666655801237</v>
      </c>
      <c r="P135">
        <f>COUNTIF(A2:A135,A135)</f>
        <v>1</v>
      </c>
      <c r="Q135" s="39">
        <f t="shared" si="14"/>
        <v>42465</v>
      </c>
    </row>
    <row r="136" spans="1:17" x14ac:dyDescent="0.3">
      <c r="A136" t="str">
        <f t="shared" si="12"/>
        <v>SectionD_SampleQTIA925154</v>
      </c>
      <c r="B136" t="s">
        <v>868</v>
      </c>
      <c r="C136" t="s">
        <v>772</v>
      </c>
      <c r="D136" t="s">
        <v>196</v>
      </c>
      <c r="E136">
        <v>9</v>
      </c>
      <c r="F136">
        <v>2</v>
      </c>
      <c r="G136">
        <v>51</v>
      </c>
      <c r="H136">
        <v>54</v>
      </c>
      <c r="I136">
        <v>0.5</v>
      </c>
      <c r="J136" s="15">
        <v>42465.4846875</v>
      </c>
      <c r="K136" s="15">
        <v>42465.486608796295</v>
      </c>
      <c r="M136">
        <v>1</v>
      </c>
      <c r="N136" t="s">
        <v>1284</v>
      </c>
      <c r="O136" s="17">
        <f t="shared" si="13"/>
        <v>2.7666666638106108</v>
      </c>
      <c r="P136">
        <f>COUNTIF(A2:A136,A136)</f>
        <v>1</v>
      </c>
      <c r="Q136" s="39">
        <f t="shared" si="14"/>
        <v>42465</v>
      </c>
    </row>
    <row r="137" spans="1:17" hidden="1" x14ac:dyDescent="0.3">
      <c r="A137" t="str">
        <f t="shared" si="12"/>
        <v>SectionC_Exam201292.54649</v>
      </c>
      <c r="B137" t="s">
        <v>870</v>
      </c>
      <c r="C137" t="s">
        <v>765</v>
      </c>
      <c r="D137">
        <v>2012</v>
      </c>
      <c r="E137">
        <v>9</v>
      </c>
      <c r="F137">
        <v>2.5</v>
      </c>
      <c r="G137">
        <v>46</v>
      </c>
      <c r="H137">
        <v>49</v>
      </c>
      <c r="I137">
        <v>1.5</v>
      </c>
      <c r="J137" s="15">
        <v>42465.770266203705</v>
      </c>
      <c r="K137" s="15">
        <v>42465.773043981484</v>
      </c>
      <c r="M137">
        <v>1</v>
      </c>
      <c r="O137" s="17">
        <f t="shared" si="13"/>
        <v>4.0000000025611371</v>
      </c>
      <c r="P137">
        <f>COUNTIF(A2:A137,A137)</f>
        <v>1</v>
      </c>
      <c r="Q137" s="39">
        <f t="shared" si="14"/>
        <v>42465</v>
      </c>
    </row>
    <row r="138" spans="1:17" x14ac:dyDescent="0.3">
      <c r="A138" t="str">
        <f t="shared" si="12"/>
        <v>SectionD_Exam2010145169181</v>
      </c>
      <c r="B138" t="s">
        <v>871</v>
      </c>
      <c r="C138" t="s">
        <v>773</v>
      </c>
      <c r="D138">
        <v>2010</v>
      </c>
      <c r="E138">
        <v>14</v>
      </c>
      <c r="F138">
        <v>5</v>
      </c>
      <c r="G138">
        <v>169</v>
      </c>
      <c r="H138">
        <v>181</v>
      </c>
      <c r="I138">
        <v>2</v>
      </c>
      <c r="J138" s="15">
        <v>42465.773043981484</v>
      </c>
      <c r="K138" s="15">
        <v>42465.794641203705</v>
      </c>
      <c r="M138">
        <v>1</v>
      </c>
      <c r="N138" t="s">
        <v>1384</v>
      </c>
      <c r="O138" s="17">
        <f t="shared" si="13"/>
        <v>31.099999998696148</v>
      </c>
      <c r="P138">
        <f>COUNTIF(A2:A138,A138)</f>
        <v>1</v>
      </c>
      <c r="Q138" s="39">
        <f t="shared" si="14"/>
        <v>42465</v>
      </c>
    </row>
    <row r="139" spans="1:17" hidden="1" x14ac:dyDescent="0.3">
      <c r="A139" t="str">
        <f t="shared" si="12"/>
        <v>SectionC_Exam2009312.758198</v>
      </c>
      <c r="B139" t="s">
        <v>870</v>
      </c>
      <c r="C139" t="s">
        <v>770</v>
      </c>
      <c r="D139">
        <v>2009</v>
      </c>
      <c r="E139">
        <v>31</v>
      </c>
      <c r="F139">
        <v>2.75</v>
      </c>
      <c r="G139">
        <v>81</v>
      </c>
      <c r="H139">
        <v>98</v>
      </c>
      <c r="I139">
        <v>1</v>
      </c>
      <c r="J139" s="15">
        <v>42464.794756944444</v>
      </c>
      <c r="K139" s="15">
        <v>42464.881631944445</v>
      </c>
      <c r="M139">
        <v>1</v>
      </c>
      <c r="N139" t="s">
        <v>1281</v>
      </c>
      <c r="O139" s="17">
        <f t="shared" si="13"/>
        <v>125.10000000125729</v>
      </c>
      <c r="P139">
        <f>COUNTIF(A12:A139,A139)</f>
        <v>1</v>
      </c>
      <c r="Q139" s="39">
        <f t="shared" si="14"/>
        <v>42464</v>
      </c>
    </row>
    <row r="140" spans="1:17" hidden="1" x14ac:dyDescent="0.3">
      <c r="A140" t="str">
        <f t="shared" ref="A140:A203" si="15">(B140&amp;D140&amp;E140&amp;F140&amp;G140&amp;H140)</f>
        <v>SectionA_SampleQTIA8226</v>
      </c>
      <c r="B140" t="s">
        <v>865</v>
      </c>
      <c r="C140" t="s">
        <v>817</v>
      </c>
      <c r="D140" t="s">
        <v>196</v>
      </c>
      <c r="E140">
        <v>8</v>
      </c>
      <c r="F140">
        <v>2</v>
      </c>
      <c r="G140">
        <v>2</v>
      </c>
      <c r="H140">
        <v>6</v>
      </c>
      <c r="I140">
        <v>2</v>
      </c>
      <c r="J140" s="15">
        <v>42466.336793981478</v>
      </c>
      <c r="K140" s="15">
        <v>42466.358969907407</v>
      </c>
      <c r="M140">
        <v>1</v>
      </c>
      <c r="N140" t="s">
        <v>1385</v>
      </c>
      <c r="O140" s="17">
        <f t="shared" ref="O140:O203" si="16">(K140-J140)*60*24</f>
        <v>31.933333338238299</v>
      </c>
      <c r="P140">
        <f>COUNTIF(A2:A140,A140)</f>
        <v>2</v>
      </c>
      <c r="Q140" s="39">
        <f t="shared" ref="Q140:Q203" si="17">DATE(YEAR(J140),MONTH(J140),DAY(J140))</f>
        <v>42466</v>
      </c>
    </row>
    <row r="141" spans="1:17" hidden="1" x14ac:dyDescent="0.3">
      <c r="A141" t="str">
        <f t="shared" si="15"/>
        <v>SectionA_Exam2005532029</v>
      </c>
      <c r="B141" t="s">
        <v>863</v>
      </c>
      <c r="C141" t="s">
        <v>819</v>
      </c>
      <c r="D141">
        <v>2005</v>
      </c>
      <c r="E141">
        <v>5</v>
      </c>
      <c r="F141">
        <v>3</v>
      </c>
      <c r="G141">
        <v>20</v>
      </c>
      <c r="H141">
        <v>29</v>
      </c>
      <c r="I141">
        <v>0</v>
      </c>
      <c r="J141" s="15">
        <v>42466.746446759258</v>
      </c>
      <c r="K141" s="15">
        <v>42466.762037037035</v>
      </c>
      <c r="O141" s="17">
        <f t="shared" si="16"/>
        <v>22.449999998789281</v>
      </c>
      <c r="P141">
        <f>COUNTIF(A2:A141,A141)</f>
        <v>2</v>
      </c>
      <c r="Q141" s="39">
        <f t="shared" si="17"/>
        <v>42466</v>
      </c>
    </row>
    <row r="142" spans="1:17" hidden="1" x14ac:dyDescent="0.3">
      <c r="A142" t="str">
        <f t="shared" si="15"/>
        <v>SectionA_Exam200331.517</v>
      </c>
      <c r="B142" t="s">
        <v>863</v>
      </c>
      <c r="C142" t="s">
        <v>817</v>
      </c>
      <c r="D142">
        <v>2003</v>
      </c>
      <c r="E142">
        <v>3</v>
      </c>
      <c r="F142">
        <v>1.5</v>
      </c>
      <c r="G142">
        <v>1</v>
      </c>
      <c r="H142">
        <v>7</v>
      </c>
      <c r="I142">
        <v>1</v>
      </c>
      <c r="J142" s="15">
        <v>42466.762037037035</v>
      </c>
      <c r="K142" s="15">
        <v>42466.773726851854</v>
      </c>
      <c r="O142" s="17">
        <f t="shared" si="16"/>
        <v>16.83333333930932</v>
      </c>
      <c r="P142">
        <f>COUNTIF(A2:A142,A142)</f>
        <v>2</v>
      </c>
      <c r="Q142" s="39">
        <f t="shared" si="17"/>
        <v>42466</v>
      </c>
    </row>
    <row r="143" spans="1:17" hidden="1" x14ac:dyDescent="0.3">
      <c r="A143" t="str">
        <f t="shared" si="15"/>
        <v>SectionA_Exam20064229</v>
      </c>
      <c r="B143" t="s">
        <v>863</v>
      </c>
      <c r="C143" t="s">
        <v>817</v>
      </c>
      <c r="D143">
        <v>2006</v>
      </c>
      <c r="E143">
        <v>4</v>
      </c>
      <c r="F143">
        <v>2</v>
      </c>
      <c r="G143">
        <v>2</v>
      </c>
      <c r="H143">
        <v>9</v>
      </c>
      <c r="I143">
        <v>2</v>
      </c>
      <c r="J143" s="15">
        <v>42466.773726851854</v>
      </c>
      <c r="K143" s="15">
        <v>42466.879953703705</v>
      </c>
      <c r="O143" s="17">
        <f t="shared" si="16"/>
        <v>152.96666666516103</v>
      </c>
      <c r="P143">
        <f>COUNTIF(A2:A143,A143)</f>
        <v>1</v>
      </c>
      <c r="Q143" s="39">
        <f t="shared" si="17"/>
        <v>42466</v>
      </c>
    </row>
    <row r="144" spans="1:17" hidden="1" x14ac:dyDescent="0.3">
      <c r="A144" t="str">
        <f t="shared" si="15"/>
        <v>SectionA_Exam201031.75412</v>
      </c>
      <c r="B144" t="s">
        <v>863</v>
      </c>
      <c r="C144" t="s">
        <v>817</v>
      </c>
      <c r="D144">
        <v>2010</v>
      </c>
      <c r="E144">
        <v>3</v>
      </c>
      <c r="F144">
        <v>1.75</v>
      </c>
      <c r="G144">
        <v>4</v>
      </c>
      <c r="H144">
        <v>12</v>
      </c>
      <c r="I144">
        <v>1.75</v>
      </c>
      <c r="J144" s="15">
        <v>42466.879953703705</v>
      </c>
      <c r="K144" s="15">
        <v>42466.882199074076</v>
      </c>
      <c r="O144" s="17">
        <f t="shared" si="16"/>
        <v>3.2333333347924054</v>
      </c>
      <c r="P144">
        <f>COUNTIF(A2:A144,A144)</f>
        <v>1</v>
      </c>
      <c r="Q144" s="39">
        <f t="shared" si="17"/>
        <v>42466</v>
      </c>
    </row>
    <row r="145" spans="1:17" hidden="1" x14ac:dyDescent="0.3">
      <c r="A145" t="str">
        <f t="shared" si="15"/>
        <v>SectionA_Exam2005612130</v>
      </c>
      <c r="B145" t="s">
        <v>863</v>
      </c>
      <c r="C145" t="s">
        <v>819</v>
      </c>
      <c r="D145">
        <v>2005</v>
      </c>
      <c r="E145">
        <v>6</v>
      </c>
      <c r="F145">
        <v>1</v>
      </c>
      <c r="G145">
        <v>21</v>
      </c>
      <c r="H145">
        <v>30</v>
      </c>
      <c r="I145">
        <v>0.25</v>
      </c>
      <c r="J145" s="15">
        <v>42466.882199074076</v>
      </c>
      <c r="K145" s="15">
        <v>42466.884317129632</v>
      </c>
      <c r="M145">
        <v>1</v>
      </c>
      <c r="N145" t="s">
        <v>1397</v>
      </c>
      <c r="O145" s="17">
        <f t="shared" si="16"/>
        <v>3.0500000005122274</v>
      </c>
      <c r="P145">
        <f>COUNTIF(A2:A145,A145)</f>
        <v>1</v>
      </c>
      <c r="Q145" s="39">
        <f t="shared" si="17"/>
        <v>42466</v>
      </c>
    </row>
    <row r="146" spans="1:17" hidden="1" x14ac:dyDescent="0.3">
      <c r="A146" t="str">
        <f t="shared" si="15"/>
        <v>SectionA_Exam200443.52028</v>
      </c>
      <c r="B146" t="s">
        <v>863</v>
      </c>
      <c r="C146" t="s">
        <v>819</v>
      </c>
      <c r="D146">
        <v>2004</v>
      </c>
      <c r="E146">
        <v>4</v>
      </c>
      <c r="F146">
        <v>3.5</v>
      </c>
      <c r="G146">
        <v>20</v>
      </c>
      <c r="H146">
        <v>28</v>
      </c>
      <c r="I146">
        <v>2.5</v>
      </c>
      <c r="J146" s="15">
        <v>42466.884317129632</v>
      </c>
      <c r="K146" s="15">
        <v>42466.887013888889</v>
      </c>
      <c r="M146">
        <v>1</v>
      </c>
      <c r="N146" t="s">
        <v>1390</v>
      </c>
      <c r="O146" s="17">
        <f t="shared" si="16"/>
        <v>3.8833333295769989</v>
      </c>
      <c r="P146">
        <f>COUNTIF(A2:A146,A146)</f>
        <v>1</v>
      </c>
      <c r="Q146" s="39">
        <f t="shared" si="17"/>
        <v>42466</v>
      </c>
    </row>
    <row r="147" spans="1:17" hidden="1" x14ac:dyDescent="0.3">
      <c r="A147" t="str">
        <f t="shared" si="15"/>
        <v>SectionA_Exam200911.75311</v>
      </c>
      <c r="B147" t="s">
        <v>863</v>
      </c>
      <c r="C147" t="s">
        <v>817</v>
      </c>
      <c r="D147">
        <v>2009</v>
      </c>
      <c r="E147">
        <v>1</v>
      </c>
      <c r="F147">
        <v>1.75</v>
      </c>
      <c r="G147">
        <v>3</v>
      </c>
      <c r="H147">
        <v>11</v>
      </c>
      <c r="I147">
        <v>1.75</v>
      </c>
      <c r="J147" s="15">
        <v>42466.888449074075</v>
      </c>
      <c r="K147" s="15">
        <v>42466.89644675926</v>
      </c>
      <c r="O147" s="17">
        <f t="shared" si="16"/>
        <v>11.516666666138917</v>
      </c>
      <c r="P147">
        <f>COUNTIF(A2:A147,A147)</f>
        <v>2</v>
      </c>
      <c r="Q147" s="39">
        <f t="shared" si="17"/>
        <v>42466</v>
      </c>
    </row>
    <row r="148" spans="1:17" hidden="1" x14ac:dyDescent="0.3">
      <c r="A148" t="str">
        <f t="shared" si="15"/>
        <v>SectionA_SampleQTIA7225</v>
      </c>
      <c r="B148" t="s">
        <v>865</v>
      </c>
      <c r="C148" t="s">
        <v>817</v>
      </c>
      <c r="D148" t="s">
        <v>196</v>
      </c>
      <c r="E148">
        <v>7</v>
      </c>
      <c r="F148">
        <v>2</v>
      </c>
      <c r="G148">
        <v>2</v>
      </c>
      <c r="H148">
        <v>5</v>
      </c>
      <c r="I148">
        <v>1.5</v>
      </c>
      <c r="J148" s="15">
        <v>42466.89644675926</v>
      </c>
      <c r="K148" s="15">
        <v>42466.897303240738</v>
      </c>
      <c r="M148">
        <v>1</v>
      </c>
      <c r="N148" t="s">
        <v>1391</v>
      </c>
      <c r="O148" s="17">
        <f t="shared" si="16"/>
        <v>1.2333333282731473</v>
      </c>
      <c r="P148">
        <f>COUNTIF(A2:A148,A148)</f>
        <v>1</v>
      </c>
      <c r="Q148" s="39">
        <f t="shared" si="17"/>
        <v>42466</v>
      </c>
    </row>
    <row r="149" spans="1:17" hidden="1" x14ac:dyDescent="0.3">
      <c r="A149" t="str">
        <f t="shared" si="15"/>
        <v>SectionA_SampleQTIA82813</v>
      </c>
      <c r="B149" t="s">
        <v>865</v>
      </c>
      <c r="C149" t="s">
        <v>819</v>
      </c>
      <c r="D149" t="s">
        <v>196</v>
      </c>
      <c r="E149">
        <v>8</v>
      </c>
      <c r="F149">
        <v>2</v>
      </c>
      <c r="G149">
        <v>8</v>
      </c>
      <c r="H149">
        <v>13</v>
      </c>
      <c r="I149">
        <v>1</v>
      </c>
      <c r="J149" s="15">
        <v>42466.897303240738</v>
      </c>
      <c r="K149" s="15">
        <v>42466.902743055558</v>
      </c>
      <c r="M149" s="206">
        <v>1</v>
      </c>
      <c r="N149" t="s">
        <v>1388</v>
      </c>
      <c r="O149" s="17">
        <f t="shared" si="16"/>
        <v>7.8333333414047956</v>
      </c>
      <c r="P149">
        <f>COUNTIF(A2:A149,A149)</f>
        <v>1</v>
      </c>
      <c r="Q149" s="39">
        <f t="shared" si="17"/>
        <v>42466</v>
      </c>
    </row>
    <row r="150" spans="1:17" hidden="1" x14ac:dyDescent="0.3">
      <c r="A150" t="str">
        <f t="shared" si="15"/>
        <v>SectionA_Exam200541.7529</v>
      </c>
      <c r="B150" t="s">
        <v>863</v>
      </c>
      <c r="C150" t="s">
        <v>817</v>
      </c>
      <c r="D150">
        <v>2005</v>
      </c>
      <c r="E150">
        <v>4</v>
      </c>
      <c r="F150">
        <v>1.75</v>
      </c>
      <c r="G150">
        <v>2</v>
      </c>
      <c r="H150">
        <v>9</v>
      </c>
      <c r="I150">
        <v>1</v>
      </c>
      <c r="J150" s="15">
        <v>42466.902743055558</v>
      </c>
      <c r="K150" s="15">
        <v>42466.905555555553</v>
      </c>
      <c r="M150">
        <v>1</v>
      </c>
      <c r="N150" t="s">
        <v>1389</v>
      </c>
      <c r="O150" s="17">
        <f t="shared" si="16"/>
        <v>4.0499999932944775</v>
      </c>
      <c r="P150">
        <f>COUNTIF(A2:A150,A150)</f>
        <v>1</v>
      </c>
      <c r="Q150" s="39">
        <f t="shared" si="17"/>
        <v>42466</v>
      </c>
    </row>
    <row r="151" spans="1:17" hidden="1" x14ac:dyDescent="0.3">
      <c r="A151" t="str">
        <f t="shared" si="15"/>
        <v>SectionA_Exam20021311927</v>
      </c>
      <c r="B151" t="s">
        <v>863</v>
      </c>
      <c r="C151" t="s">
        <v>819</v>
      </c>
      <c r="D151">
        <v>2002</v>
      </c>
      <c r="E151">
        <v>13</v>
      </c>
      <c r="F151">
        <v>1</v>
      </c>
      <c r="G151">
        <v>19</v>
      </c>
      <c r="H151">
        <v>27</v>
      </c>
      <c r="I151">
        <v>0</v>
      </c>
      <c r="J151" s="15">
        <v>42466.905555555553</v>
      </c>
      <c r="K151" s="15">
        <v>42466.907280092593</v>
      </c>
      <c r="M151">
        <v>1</v>
      </c>
      <c r="N151" t="s">
        <v>1398</v>
      </c>
      <c r="O151" s="17">
        <f t="shared" si="16"/>
        <v>2.4833333375863731</v>
      </c>
      <c r="P151">
        <f>COUNTIF(A2:A151,A151)</f>
        <v>1</v>
      </c>
      <c r="Q151" s="39">
        <f t="shared" si="17"/>
        <v>42466</v>
      </c>
    </row>
    <row r="152" spans="1:17" hidden="1" x14ac:dyDescent="0.3">
      <c r="A152" t="str">
        <f t="shared" si="15"/>
        <v>SectionA_Exam20011021825</v>
      </c>
      <c r="B152" t="s">
        <v>863</v>
      </c>
      <c r="C152" t="s">
        <v>819</v>
      </c>
      <c r="D152">
        <v>2001</v>
      </c>
      <c r="E152">
        <v>10</v>
      </c>
      <c r="F152">
        <v>2</v>
      </c>
      <c r="G152">
        <v>18</v>
      </c>
      <c r="H152">
        <v>25</v>
      </c>
      <c r="I152">
        <v>1</v>
      </c>
      <c r="J152" s="15">
        <v>42466.907280092593</v>
      </c>
      <c r="K152" s="15">
        <v>42466.908437500002</v>
      </c>
      <c r="O152" s="17">
        <f t="shared" si="16"/>
        <v>1.666666668606922</v>
      </c>
      <c r="P152">
        <f>COUNTIF(A2:A152,A152)</f>
        <v>1</v>
      </c>
      <c r="Q152" s="39">
        <f t="shared" si="17"/>
        <v>42466</v>
      </c>
    </row>
    <row r="153" spans="1:17" hidden="1" x14ac:dyDescent="0.3">
      <c r="A153" t="str">
        <f t="shared" si="15"/>
        <v>SectionA_Exam2000821825</v>
      </c>
      <c r="B153" t="s">
        <v>863</v>
      </c>
      <c r="C153" t="s">
        <v>819</v>
      </c>
      <c r="D153">
        <v>2000</v>
      </c>
      <c r="E153">
        <v>8</v>
      </c>
      <c r="F153">
        <v>2</v>
      </c>
      <c r="G153">
        <v>18</v>
      </c>
      <c r="H153">
        <v>25</v>
      </c>
      <c r="I153">
        <v>1</v>
      </c>
      <c r="J153" s="15">
        <v>42466.908437500002</v>
      </c>
      <c r="K153" s="15">
        <v>42466.922372685185</v>
      </c>
      <c r="M153">
        <v>1</v>
      </c>
      <c r="N153" t="s">
        <v>1392</v>
      </c>
      <c r="O153" s="17">
        <f t="shared" si="16"/>
        <v>20.066666663624346</v>
      </c>
      <c r="P153">
        <f>COUNTIF(A2:A153,A153)</f>
        <v>1</v>
      </c>
      <c r="Q153" s="39">
        <f t="shared" si="17"/>
        <v>42466</v>
      </c>
    </row>
    <row r="154" spans="1:17" hidden="1" x14ac:dyDescent="0.3">
      <c r="A154" t="str">
        <f t="shared" si="15"/>
        <v>SectionA_Exam201021.25311</v>
      </c>
      <c r="B154" t="s">
        <v>863</v>
      </c>
      <c r="C154" t="s">
        <v>817</v>
      </c>
      <c r="D154">
        <v>2010</v>
      </c>
      <c r="E154">
        <v>2</v>
      </c>
      <c r="F154">
        <v>1.25</v>
      </c>
      <c r="G154">
        <v>3</v>
      </c>
      <c r="H154">
        <v>11</v>
      </c>
      <c r="I154">
        <v>1.25</v>
      </c>
      <c r="J154" s="15">
        <v>42466.922372685185</v>
      </c>
      <c r="K154" s="15">
        <v>42466.923784722225</v>
      </c>
      <c r="O154" s="17">
        <f t="shared" si="16"/>
        <v>2.0333333371672779</v>
      </c>
      <c r="P154">
        <f>COUNTIF(A2:A154,A154)</f>
        <v>1</v>
      </c>
      <c r="Q154" s="39">
        <f t="shared" si="17"/>
        <v>42466</v>
      </c>
    </row>
    <row r="155" spans="1:17" hidden="1" x14ac:dyDescent="0.3">
      <c r="A155" t="str">
        <f t="shared" si="15"/>
        <v>SectionA_Exam200651.52131</v>
      </c>
      <c r="B155" t="s">
        <v>863</v>
      </c>
      <c r="C155" t="s">
        <v>819</v>
      </c>
      <c r="D155">
        <v>2006</v>
      </c>
      <c r="E155">
        <v>5</v>
      </c>
      <c r="F155">
        <v>1.5</v>
      </c>
      <c r="G155">
        <v>21</v>
      </c>
      <c r="H155">
        <v>31</v>
      </c>
      <c r="I155">
        <v>0</v>
      </c>
      <c r="J155" s="15">
        <v>42466.923784722225</v>
      </c>
      <c r="K155" s="15">
        <v>42466.935312499998</v>
      </c>
      <c r="M155">
        <v>1</v>
      </c>
      <c r="N155" t="s">
        <v>1392</v>
      </c>
      <c r="O155" s="17">
        <f t="shared" si="16"/>
        <v>16.599999993341044</v>
      </c>
      <c r="P155">
        <f>COUNTIF(A2:A155,A155)</f>
        <v>1</v>
      </c>
      <c r="Q155" s="39">
        <f t="shared" si="17"/>
        <v>42466</v>
      </c>
    </row>
    <row r="156" spans="1:17" hidden="1" x14ac:dyDescent="0.3">
      <c r="A156" t="str">
        <f t="shared" si="15"/>
        <v>SectionA_Exam200482.253841</v>
      </c>
      <c r="B156" t="s">
        <v>863</v>
      </c>
      <c r="C156" t="s">
        <v>813</v>
      </c>
      <c r="D156">
        <v>2004</v>
      </c>
      <c r="E156">
        <v>8</v>
      </c>
      <c r="F156">
        <v>2.25</v>
      </c>
      <c r="G156">
        <v>38</v>
      </c>
      <c r="H156">
        <v>41</v>
      </c>
      <c r="I156">
        <v>2.25</v>
      </c>
      <c r="J156" s="15">
        <v>42467.636608796296</v>
      </c>
      <c r="K156" s="15">
        <v>42467.644745370373</v>
      </c>
      <c r="O156" s="17">
        <f t="shared" si="16"/>
        <v>11.716666670981795</v>
      </c>
      <c r="P156">
        <f>COUNTIF(A2:A156,A156)</f>
        <v>1</v>
      </c>
      <c r="Q156" s="39">
        <f t="shared" si="17"/>
        <v>42467</v>
      </c>
    </row>
    <row r="157" spans="1:17" hidden="1" x14ac:dyDescent="0.3">
      <c r="A157" t="str">
        <f t="shared" si="15"/>
        <v>SectionA_Exam200722.52131</v>
      </c>
      <c r="B157" t="s">
        <v>863</v>
      </c>
      <c r="C157" t="s">
        <v>819</v>
      </c>
      <c r="D157">
        <v>2007</v>
      </c>
      <c r="E157">
        <v>2</v>
      </c>
      <c r="F157">
        <v>2.5</v>
      </c>
      <c r="G157">
        <v>21</v>
      </c>
      <c r="H157">
        <v>31</v>
      </c>
      <c r="I157">
        <v>1</v>
      </c>
      <c r="J157" s="15">
        <v>42467.644745370373</v>
      </c>
      <c r="K157" s="15">
        <v>42467.65284722222</v>
      </c>
      <c r="M157">
        <v>1</v>
      </c>
      <c r="N157" t="s">
        <v>1392</v>
      </c>
      <c r="O157" s="17">
        <f t="shared" si="16"/>
        <v>11.666666659293696</v>
      </c>
      <c r="P157">
        <f>COUNTIF(A2:A157,A157)</f>
        <v>1</v>
      </c>
      <c r="Q157" s="39">
        <f t="shared" si="17"/>
        <v>42467</v>
      </c>
    </row>
    <row r="158" spans="1:17" hidden="1" x14ac:dyDescent="0.3">
      <c r="A158" t="str">
        <f t="shared" si="15"/>
        <v>SectionA_Exam20034118</v>
      </c>
      <c r="B158" t="s">
        <v>863</v>
      </c>
      <c r="C158" t="s">
        <v>817</v>
      </c>
      <c r="D158">
        <v>2003</v>
      </c>
      <c r="E158">
        <v>4</v>
      </c>
      <c r="F158">
        <v>1</v>
      </c>
      <c r="G158">
        <v>1</v>
      </c>
      <c r="H158">
        <v>8</v>
      </c>
      <c r="I158">
        <v>1</v>
      </c>
      <c r="J158" s="15">
        <v>42467.65284722222</v>
      </c>
      <c r="K158" s="15">
        <v>42467.654236111113</v>
      </c>
      <c r="O158" s="17">
        <f t="shared" si="16"/>
        <v>2.000000006519258</v>
      </c>
      <c r="P158">
        <f>COUNTIF(A2:A158,A158)</f>
        <v>2</v>
      </c>
      <c r="Q158" s="39">
        <f t="shared" si="17"/>
        <v>42467</v>
      </c>
    </row>
    <row r="159" spans="1:17" hidden="1" x14ac:dyDescent="0.3">
      <c r="A159" t="str">
        <f t="shared" si="15"/>
        <v>SectionA_Exam200371.51928</v>
      </c>
      <c r="B159" t="s">
        <v>863</v>
      </c>
      <c r="C159" t="s">
        <v>819</v>
      </c>
      <c r="D159">
        <v>2003</v>
      </c>
      <c r="E159">
        <v>7</v>
      </c>
      <c r="F159">
        <v>1.5</v>
      </c>
      <c r="G159">
        <v>19</v>
      </c>
      <c r="H159">
        <v>28</v>
      </c>
      <c r="I159">
        <v>0</v>
      </c>
      <c r="J159" s="15">
        <v>42467.654236111113</v>
      </c>
      <c r="K159" s="15">
        <v>42467.656550925924</v>
      </c>
      <c r="M159">
        <v>1</v>
      </c>
      <c r="N159" t="s">
        <v>1399</v>
      </c>
      <c r="O159" s="17">
        <f t="shared" si="16"/>
        <v>3.3333333267364651</v>
      </c>
      <c r="P159">
        <f>COUNTIF(A2:A159,A159)</f>
        <v>1</v>
      </c>
      <c r="Q159" s="39">
        <f t="shared" si="17"/>
        <v>42467</v>
      </c>
    </row>
    <row r="160" spans="1:17" hidden="1" x14ac:dyDescent="0.3">
      <c r="A160" t="str">
        <f t="shared" si="15"/>
        <v>SectionA_Exam201213513</v>
      </c>
      <c r="B160" t="s">
        <v>863</v>
      </c>
      <c r="C160" t="s">
        <v>817</v>
      </c>
      <c r="D160">
        <v>2012</v>
      </c>
      <c r="E160">
        <v>1</v>
      </c>
      <c r="F160">
        <v>3</v>
      </c>
      <c r="G160">
        <v>5</v>
      </c>
      <c r="H160">
        <v>13</v>
      </c>
      <c r="I160">
        <v>2.5</v>
      </c>
      <c r="J160" s="15">
        <v>42467.656550925924</v>
      </c>
      <c r="K160" s="15">
        <v>42467.667650462965</v>
      </c>
      <c r="O160" s="17">
        <f t="shared" si="16"/>
        <v>15.983333339681849</v>
      </c>
      <c r="P160">
        <f>COUNTIF(A2:A160,A160)</f>
        <v>1</v>
      </c>
      <c r="Q160" s="39">
        <f t="shared" si="17"/>
        <v>42467</v>
      </c>
    </row>
    <row r="161" spans="1:17" hidden="1" x14ac:dyDescent="0.3">
      <c r="A161" t="str">
        <f t="shared" si="15"/>
        <v>SectionA_Exam20043328</v>
      </c>
      <c r="B161" t="s">
        <v>863</v>
      </c>
      <c r="C161" t="s">
        <v>817</v>
      </c>
      <c r="D161">
        <v>2004</v>
      </c>
      <c r="E161">
        <v>3</v>
      </c>
      <c r="F161">
        <v>3</v>
      </c>
      <c r="G161">
        <v>2</v>
      </c>
      <c r="H161">
        <v>8</v>
      </c>
      <c r="I161">
        <v>1.5</v>
      </c>
      <c r="J161" s="15">
        <v>42468.028634259259</v>
      </c>
      <c r="K161" s="15">
        <v>42468.030439814815</v>
      </c>
      <c r="O161" s="17">
        <f t="shared" si="16"/>
        <v>2.6000000000931323</v>
      </c>
      <c r="P161">
        <f>COUNTIF(A2:A161,A161)</f>
        <v>1</v>
      </c>
      <c r="Q161" s="39">
        <f t="shared" si="17"/>
        <v>42468</v>
      </c>
    </row>
    <row r="162" spans="1:17" hidden="1" x14ac:dyDescent="0.3">
      <c r="A162" t="str">
        <f t="shared" si="15"/>
        <v>SectionA_Exam201112.25412</v>
      </c>
      <c r="B162" t="s">
        <v>863</v>
      </c>
      <c r="C162" t="s">
        <v>817</v>
      </c>
      <c r="D162">
        <v>2011</v>
      </c>
      <c r="E162">
        <v>1</v>
      </c>
      <c r="F162">
        <v>2.25</v>
      </c>
      <c r="G162">
        <v>4</v>
      </c>
      <c r="H162">
        <v>12</v>
      </c>
      <c r="I162">
        <v>2</v>
      </c>
      <c r="J162" s="15">
        <v>42468.030439814815</v>
      </c>
      <c r="K162" s="15">
        <v>42468.034305555557</v>
      </c>
      <c r="O162" s="17">
        <f t="shared" si="16"/>
        <v>5.5666666687466204</v>
      </c>
      <c r="P162">
        <f>COUNTIF(A2:A162,A162)</f>
        <v>1</v>
      </c>
      <c r="Q162" s="39">
        <f t="shared" si="17"/>
        <v>42468</v>
      </c>
    </row>
    <row r="163" spans="1:17" hidden="1" x14ac:dyDescent="0.3">
      <c r="A163" t="str">
        <f t="shared" si="15"/>
        <v>SectionA_Exam200931.752334</v>
      </c>
      <c r="B163" t="s">
        <v>863</v>
      </c>
      <c r="C163" t="s">
        <v>819</v>
      </c>
      <c r="D163">
        <v>2009</v>
      </c>
      <c r="E163">
        <v>3</v>
      </c>
      <c r="F163">
        <v>1.75</v>
      </c>
      <c r="G163">
        <v>23</v>
      </c>
      <c r="H163">
        <v>34</v>
      </c>
      <c r="I163">
        <v>1.25</v>
      </c>
      <c r="J163" s="15">
        <v>42468.034305555557</v>
      </c>
      <c r="K163" s="15">
        <v>42468.043298611112</v>
      </c>
      <c r="M163">
        <v>1</v>
      </c>
      <c r="N163" t="s">
        <v>1393</v>
      </c>
      <c r="O163" s="17">
        <f t="shared" si="16"/>
        <v>12.949999999254942</v>
      </c>
      <c r="P163">
        <f>COUNTIF(A2:A163,A163)</f>
        <v>1</v>
      </c>
      <c r="Q163" s="39">
        <f t="shared" si="17"/>
        <v>42468</v>
      </c>
    </row>
    <row r="164" spans="1:17" hidden="1" x14ac:dyDescent="0.3">
      <c r="A164" t="str">
        <f t="shared" si="15"/>
        <v>SectionA_Exam2008132232</v>
      </c>
      <c r="B164" t="s">
        <v>863</v>
      </c>
      <c r="C164" t="s">
        <v>819</v>
      </c>
      <c r="D164">
        <v>2008</v>
      </c>
      <c r="E164">
        <v>1</v>
      </c>
      <c r="F164">
        <v>3</v>
      </c>
      <c r="G164">
        <v>22</v>
      </c>
      <c r="H164">
        <v>32</v>
      </c>
      <c r="I164">
        <v>1.5</v>
      </c>
      <c r="J164" s="15">
        <v>42468.043298611112</v>
      </c>
      <c r="K164" s="15">
        <v>42468.054872685185</v>
      </c>
      <c r="M164">
        <v>1</v>
      </c>
      <c r="N164" t="s">
        <v>1394</v>
      </c>
      <c r="O164" s="17">
        <f t="shared" si="16"/>
        <v>16.666666665114462</v>
      </c>
      <c r="P164">
        <f>COUNTIF(A2:A164,A164)</f>
        <v>1</v>
      </c>
      <c r="Q164" s="39">
        <f t="shared" si="17"/>
        <v>42468</v>
      </c>
    </row>
    <row r="165" spans="1:17" hidden="1" x14ac:dyDescent="0.3">
      <c r="A165" t="str">
        <f t="shared" si="15"/>
        <v>SectionA_Exam200922.252333</v>
      </c>
      <c r="B165" t="s">
        <v>863</v>
      </c>
      <c r="C165" t="s">
        <v>819</v>
      </c>
      <c r="D165">
        <v>2009</v>
      </c>
      <c r="E165">
        <v>2</v>
      </c>
      <c r="F165">
        <v>2.25</v>
      </c>
      <c r="G165">
        <v>23</v>
      </c>
      <c r="H165">
        <v>33</v>
      </c>
      <c r="I165">
        <v>1.5</v>
      </c>
      <c r="J165" s="15">
        <v>42468.054872685185</v>
      </c>
      <c r="K165" s="15">
        <v>42468.059178240743</v>
      </c>
      <c r="M165">
        <v>1</v>
      </c>
      <c r="N165" t="s">
        <v>1394</v>
      </c>
      <c r="O165" s="17">
        <f t="shared" si="16"/>
        <v>6.2000000034458935</v>
      </c>
      <c r="P165">
        <f>COUNTIF(A2:A165,A165)</f>
        <v>1</v>
      </c>
      <c r="Q165" s="39">
        <f t="shared" si="17"/>
        <v>42468</v>
      </c>
    </row>
    <row r="166" spans="1:17" hidden="1" x14ac:dyDescent="0.3">
      <c r="A166" t="str">
        <f t="shared" si="15"/>
        <v>SectionA_SampleQTIA62811</v>
      </c>
      <c r="B166" t="s">
        <v>865</v>
      </c>
      <c r="C166" t="s">
        <v>819</v>
      </c>
      <c r="D166" t="s">
        <v>196</v>
      </c>
      <c r="E166">
        <v>6</v>
      </c>
      <c r="F166">
        <v>2</v>
      </c>
      <c r="G166">
        <v>8</v>
      </c>
      <c r="H166">
        <v>11</v>
      </c>
      <c r="I166">
        <v>2</v>
      </c>
      <c r="J166" s="15">
        <v>42468.059178240743</v>
      </c>
      <c r="K166" s="15">
        <v>42468.063020833331</v>
      </c>
      <c r="O166" s="17">
        <f t="shared" si="16"/>
        <v>5.5333333276212215</v>
      </c>
      <c r="P166">
        <f>COUNTIF(A2:A166,A166)</f>
        <v>1</v>
      </c>
      <c r="Q166" s="39">
        <f t="shared" si="17"/>
        <v>42468</v>
      </c>
    </row>
    <row r="167" spans="1:17" hidden="1" x14ac:dyDescent="0.3">
      <c r="A167" t="str">
        <f t="shared" si="15"/>
        <v>SectionA_Exam2003541927</v>
      </c>
      <c r="B167" t="s">
        <v>863</v>
      </c>
      <c r="C167" t="s">
        <v>819</v>
      </c>
      <c r="D167">
        <v>2003</v>
      </c>
      <c r="E167">
        <v>5</v>
      </c>
      <c r="F167">
        <v>4</v>
      </c>
      <c r="G167">
        <v>19</v>
      </c>
      <c r="H167">
        <v>27</v>
      </c>
      <c r="I167">
        <v>4</v>
      </c>
      <c r="J167" s="15">
        <v>42468.063020833331</v>
      </c>
      <c r="K167" s="15">
        <v>42468.06621527778</v>
      </c>
      <c r="O167" s="17">
        <f t="shared" si="16"/>
        <v>4.6000000066123903</v>
      </c>
      <c r="P167">
        <f>COUNTIF(A2:A167,A167)</f>
        <v>1</v>
      </c>
      <c r="Q167" s="39">
        <f t="shared" si="17"/>
        <v>42468</v>
      </c>
    </row>
    <row r="168" spans="1:17" hidden="1" x14ac:dyDescent="0.3">
      <c r="A168" t="str">
        <f t="shared" si="15"/>
        <v>SectionA_SampleQTIA72812</v>
      </c>
      <c r="B168" t="s">
        <v>865</v>
      </c>
      <c r="C168" t="s">
        <v>819</v>
      </c>
      <c r="D168" t="s">
        <v>196</v>
      </c>
      <c r="E168">
        <v>7</v>
      </c>
      <c r="F168">
        <v>2</v>
      </c>
      <c r="G168">
        <v>8</v>
      </c>
      <c r="H168">
        <v>12</v>
      </c>
      <c r="I168">
        <v>2</v>
      </c>
      <c r="J168" s="15">
        <v>42468.06621527778</v>
      </c>
      <c r="K168" s="15">
        <v>42468.066631944443</v>
      </c>
      <c r="O168" s="17">
        <f t="shared" si="16"/>
        <v>0.59999999357387424</v>
      </c>
      <c r="P168">
        <f>COUNTIF(A2:A168,A168)</f>
        <v>1</v>
      </c>
      <c r="Q168" s="39">
        <f t="shared" si="17"/>
        <v>42468</v>
      </c>
    </row>
    <row r="169" spans="1:17" hidden="1" x14ac:dyDescent="0.3">
      <c r="A169" t="str">
        <f t="shared" si="15"/>
        <v>SectionA_SampleQTIA2279</v>
      </c>
      <c r="B169" t="s">
        <v>865</v>
      </c>
      <c r="C169" t="s">
        <v>819</v>
      </c>
      <c r="D169" t="s">
        <v>196</v>
      </c>
      <c r="E169">
        <v>2</v>
      </c>
      <c r="F169">
        <v>2</v>
      </c>
      <c r="G169">
        <v>7</v>
      </c>
      <c r="H169">
        <v>9</v>
      </c>
      <c r="I169">
        <v>1.5</v>
      </c>
      <c r="J169" s="15">
        <v>42468.066631944443</v>
      </c>
      <c r="K169" s="15">
        <v>42468.067754629628</v>
      </c>
      <c r="M169">
        <v>1</v>
      </c>
      <c r="N169" t="s">
        <v>1395</v>
      </c>
      <c r="O169" s="17">
        <f t="shared" si="16"/>
        <v>1.6166666673962027</v>
      </c>
      <c r="P169">
        <f>COUNTIF(A2:A169,A169)</f>
        <v>1</v>
      </c>
      <c r="Q169" s="39">
        <f t="shared" si="17"/>
        <v>42468</v>
      </c>
    </row>
    <row r="170" spans="1:17" hidden="1" x14ac:dyDescent="0.3">
      <c r="A170" t="str">
        <f t="shared" si="15"/>
        <v>SectionA_SampleQTIA32710</v>
      </c>
      <c r="B170" t="s">
        <v>865</v>
      </c>
      <c r="C170" t="s">
        <v>819</v>
      </c>
      <c r="D170" t="s">
        <v>196</v>
      </c>
      <c r="E170">
        <v>3</v>
      </c>
      <c r="F170">
        <v>2</v>
      </c>
      <c r="G170">
        <v>7</v>
      </c>
      <c r="H170">
        <v>10</v>
      </c>
      <c r="I170">
        <v>2</v>
      </c>
      <c r="J170" s="15">
        <v>42468.067754629628</v>
      </c>
      <c r="K170" s="15">
        <v>42468.069687499999</v>
      </c>
      <c r="O170" s="17">
        <f t="shared" si="16"/>
        <v>2.7833333343733102</v>
      </c>
      <c r="P170">
        <f>COUNTIF(A2:A170,A170)</f>
        <v>1</v>
      </c>
      <c r="Q170" s="39">
        <f t="shared" si="17"/>
        <v>42468</v>
      </c>
    </row>
    <row r="171" spans="1:17" hidden="1" x14ac:dyDescent="0.3">
      <c r="A171" t="str">
        <f t="shared" si="15"/>
        <v>SectionA_Exam200271.51826</v>
      </c>
      <c r="B171" t="s">
        <v>863</v>
      </c>
      <c r="C171" t="s">
        <v>819</v>
      </c>
      <c r="D171">
        <v>2002</v>
      </c>
      <c r="E171">
        <v>7</v>
      </c>
      <c r="F171">
        <v>1.5</v>
      </c>
      <c r="G171">
        <v>18</v>
      </c>
      <c r="H171">
        <v>26</v>
      </c>
      <c r="I171">
        <v>1.5</v>
      </c>
      <c r="J171" s="15">
        <v>42468.069687499999</v>
      </c>
      <c r="K171" s="15">
        <v>42468.07099537037</v>
      </c>
      <c r="O171" s="17">
        <f t="shared" si="16"/>
        <v>1.8833333335351199</v>
      </c>
      <c r="P171">
        <f>COUNTIF(A2:A171,A171)</f>
        <v>1</v>
      </c>
      <c r="Q171" s="39">
        <f t="shared" si="17"/>
        <v>42468</v>
      </c>
    </row>
    <row r="172" spans="1:17" hidden="1" x14ac:dyDescent="0.3">
      <c r="A172" t="str">
        <f t="shared" si="15"/>
        <v>SectionA_Exam200852.258085</v>
      </c>
      <c r="B172" t="s">
        <v>863</v>
      </c>
      <c r="C172" t="s">
        <v>821</v>
      </c>
      <c r="D172">
        <v>2008</v>
      </c>
      <c r="E172">
        <v>5</v>
      </c>
      <c r="F172">
        <v>2.25</v>
      </c>
      <c r="G172">
        <v>80</v>
      </c>
      <c r="H172">
        <v>85</v>
      </c>
      <c r="I172">
        <v>1</v>
      </c>
      <c r="J172" s="15">
        <v>42469.821099537039</v>
      </c>
      <c r="K172" s="15">
        <v>42469.821944444448</v>
      </c>
      <c r="M172">
        <v>1</v>
      </c>
      <c r="O172" s="17">
        <f t="shared" si="16"/>
        <v>1.2166666681878269</v>
      </c>
      <c r="P172">
        <f>COUNTIF(A1:A172,A172)</f>
        <v>1</v>
      </c>
      <c r="Q172" s="39">
        <f t="shared" si="17"/>
        <v>42469</v>
      </c>
    </row>
    <row r="173" spans="1:17" hidden="1" x14ac:dyDescent="0.3">
      <c r="A173" t="str">
        <f t="shared" si="15"/>
        <v>SectionA_SampleQTIA222930</v>
      </c>
      <c r="B173" t="s">
        <v>865</v>
      </c>
      <c r="C173" t="s">
        <v>821</v>
      </c>
      <c r="D173" t="s">
        <v>196</v>
      </c>
      <c r="E173">
        <v>2</v>
      </c>
      <c r="F173">
        <v>2</v>
      </c>
      <c r="G173">
        <v>29</v>
      </c>
      <c r="H173">
        <v>30</v>
      </c>
      <c r="I173">
        <v>1</v>
      </c>
      <c r="J173" s="15">
        <v>42469.821944444448</v>
      </c>
      <c r="K173" s="15">
        <v>42469.822523148148</v>
      </c>
      <c r="M173">
        <v>1</v>
      </c>
      <c r="O173" s="17">
        <f t="shared" si="16"/>
        <v>0.83333332906477153</v>
      </c>
      <c r="P173">
        <f>COUNTIF(A1:A173,A173)</f>
        <v>1</v>
      </c>
      <c r="Q173" s="39">
        <f t="shared" si="17"/>
        <v>42469</v>
      </c>
    </row>
    <row r="174" spans="1:17" hidden="1" x14ac:dyDescent="0.3">
      <c r="A174" t="str">
        <f t="shared" si="15"/>
        <v>SectionA_SampleQTIA322930</v>
      </c>
      <c r="B174" t="s">
        <v>865</v>
      </c>
      <c r="C174" t="s">
        <v>821</v>
      </c>
      <c r="D174" t="s">
        <v>196</v>
      </c>
      <c r="E174">
        <v>3</v>
      </c>
      <c r="F174">
        <v>2</v>
      </c>
      <c r="G174">
        <v>29</v>
      </c>
      <c r="H174">
        <v>30</v>
      </c>
      <c r="I174">
        <v>1</v>
      </c>
      <c r="J174" s="15">
        <v>42469.822523148148</v>
      </c>
      <c r="K174" s="15">
        <v>42469.822754629633</v>
      </c>
      <c r="O174" s="17">
        <f t="shared" si="16"/>
        <v>0.33333333791233599</v>
      </c>
      <c r="P174">
        <f>COUNTIF(A1:A174,A174)</f>
        <v>1</v>
      </c>
      <c r="Q174" s="39">
        <f t="shared" si="17"/>
        <v>42469</v>
      </c>
    </row>
    <row r="175" spans="1:17" hidden="1" x14ac:dyDescent="0.3">
      <c r="A175" t="str">
        <f t="shared" si="15"/>
        <v>SectionC_Exam20083915566</v>
      </c>
      <c r="B175" t="s">
        <v>870</v>
      </c>
      <c r="C175" t="s">
        <v>762</v>
      </c>
      <c r="D175">
        <v>2008</v>
      </c>
      <c r="E175">
        <v>39</v>
      </c>
      <c r="F175">
        <v>1</v>
      </c>
      <c r="G175">
        <v>55</v>
      </c>
      <c r="H175">
        <v>66</v>
      </c>
      <c r="I175">
        <v>1</v>
      </c>
      <c r="J175" s="15">
        <v>42468.433495370373</v>
      </c>
      <c r="K175" s="15">
        <v>42468.434270833335</v>
      </c>
      <c r="O175" s="17">
        <f t="shared" si="16"/>
        <v>1.1166666657663882</v>
      </c>
      <c r="P175">
        <f>COUNTIF(A2:A175,A175)</f>
        <v>1</v>
      </c>
      <c r="Q175" s="39">
        <f t="shared" si="17"/>
        <v>42468</v>
      </c>
    </row>
    <row r="176" spans="1:17" hidden="1" x14ac:dyDescent="0.3">
      <c r="A176" t="str">
        <f t="shared" si="15"/>
        <v>SectionA_Exam201130.755061</v>
      </c>
      <c r="B176" t="s">
        <v>863</v>
      </c>
      <c r="C176" t="s">
        <v>820</v>
      </c>
      <c r="D176">
        <v>2011</v>
      </c>
      <c r="E176">
        <v>3</v>
      </c>
      <c r="F176">
        <v>0.75</v>
      </c>
      <c r="G176">
        <v>50</v>
      </c>
      <c r="H176">
        <v>61</v>
      </c>
      <c r="I176">
        <v>0.75</v>
      </c>
      <c r="J176" s="15">
        <v>42468.434270833335</v>
      </c>
      <c r="K176" s="15">
        <v>42468.435162037036</v>
      </c>
      <c r="O176" s="17">
        <f t="shared" si="16"/>
        <v>1.2833333294838667</v>
      </c>
      <c r="P176">
        <f>COUNTIF(A2:A176,A176)</f>
        <v>1</v>
      </c>
      <c r="Q176" s="39">
        <f t="shared" si="17"/>
        <v>42468</v>
      </c>
    </row>
    <row r="177" spans="1:17" hidden="1" x14ac:dyDescent="0.3">
      <c r="A177" t="str">
        <f t="shared" si="15"/>
        <v>SectionC_SampleQTIA422023</v>
      </c>
      <c r="B177" t="s">
        <v>867</v>
      </c>
      <c r="C177" t="s">
        <v>762</v>
      </c>
      <c r="D177" t="s">
        <v>196</v>
      </c>
      <c r="E177">
        <v>4</v>
      </c>
      <c r="F177">
        <v>2</v>
      </c>
      <c r="G177">
        <v>20</v>
      </c>
      <c r="H177">
        <v>23</v>
      </c>
      <c r="I177">
        <v>1</v>
      </c>
      <c r="J177" s="15">
        <v>42468.435162037036</v>
      </c>
      <c r="K177" s="15">
        <v>42468.438020833331</v>
      </c>
      <c r="M177">
        <v>1</v>
      </c>
      <c r="N177" t="s">
        <v>1403</v>
      </c>
      <c r="O177" s="17">
        <f t="shared" si="16"/>
        <v>4.1166666650678962</v>
      </c>
      <c r="P177">
        <f>COUNTIF(A2:A177,A177)</f>
        <v>1</v>
      </c>
      <c r="Q177" s="39">
        <f t="shared" si="17"/>
        <v>42468</v>
      </c>
    </row>
    <row r="178" spans="1:17" hidden="1" x14ac:dyDescent="0.3">
      <c r="A178" t="str">
        <f t="shared" si="15"/>
        <v>SectionA_Exam20021114653</v>
      </c>
      <c r="B178" t="s">
        <v>863</v>
      </c>
      <c r="C178" t="s">
        <v>820</v>
      </c>
      <c r="D178">
        <v>2002</v>
      </c>
      <c r="E178">
        <v>11</v>
      </c>
      <c r="F178">
        <v>1</v>
      </c>
      <c r="G178">
        <v>46</v>
      </c>
      <c r="H178">
        <v>53</v>
      </c>
      <c r="I178">
        <v>0.5</v>
      </c>
      <c r="J178" s="15">
        <v>42468.66983796296</v>
      </c>
      <c r="K178" s="15">
        <v>42468.670763888891</v>
      </c>
      <c r="M178">
        <v>1</v>
      </c>
      <c r="N178" t="s">
        <v>1406</v>
      </c>
      <c r="O178" s="17">
        <f t="shared" si="16"/>
        <v>1.333333341171965</v>
      </c>
      <c r="P178">
        <f>COUNTIF(A2:A178,A178)</f>
        <v>1</v>
      </c>
      <c r="Q178" s="39">
        <f t="shared" si="17"/>
        <v>42468</v>
      </c>
    </row>
    <row r="179" spans="1:17" hidden="1" x14ac:dyDescent="0.3">
      <c r="A179" t="str">
        <f t="shared" si="15"/>
        <v>SectionC_Exam2010301.55668</v>
      </c>
      <c r="B179" t="s">
        <v>870</v>
      </c>
      <c r="C179" t="s">
        <v>762</v>
      </c>
      <c r="D179">
        <v>2010</v>
      </c>
      <c r="E179">
        <v>30</v>
      </c>
      <c r="F179">
        <v>1.5</v>
      </c>
      <c r="G179">
        <v>56</v>
      </c>
      <c r="H179">
        <v>68</v>
      </c>
      <c r="I179">
        <v>0</v>
      </c>
      <c r="J179" s="15">
        <v>42468.670763888891</v>
      </c>
      <c r="K179" s="15">
        <v>42468.674525462964</v>
      </c>
      <c r="M179">
        <v>1</v>
      </c>
      <c r="O179" s="17">
        <f t="shared" si="16"/>
        <v>5.4166666651144624</v>
      </c>
      <c r="P179">
        <f>COUNTIF(A2:A179,A179)</f>
        <v>1</v>
      </c>
      <c r="Q179" s="39">
        <f t="shared" si="17"/>
        <v>42468</v>
      </c>
    </row>
    <row r="180" spans="1:17" hidden="1" x14ac:dyDescent="0.3">
      <c r="A180" t="str">
        <f t="shared" si="15"/>
        <v>SectionA_Exam200831.54959</v>
      </c>
      <c r="B180" t="s">
        <v>863</v>
      </c>
      <c r="C180" t="s">
        <v>820</v>
      </c>
      <c r="D180">
        <v>2008</v>
      </c>
      <c r="E180">
        <v>3</v>
      </c>
      <c r="F180">
        <v>1.5</v>
      </c>
      <c r="G180">
        <v>49</v>
      </c>
      <c r="H180">
        <v>59</v>
      </c>
      <c r="I180">
        <v>1.5</v>
      </c>
      <c r="J180" s="15">
        <v>42468.674525462964</v>
      </c>
      <c r="K180" s="15">
        <v>42468.676388888889</v>
      </c>
      <c r="N180" t="s">
        <v>1407</v>
      </c>
      <c r="O180" s="17">
        <f t="shared" si="16"/>
        <v>2.6833333319518715</v>
      </c>
      <c r="P180">
        <f>COUNTIF(A2:A180,A180)</f>
        <v>1</v>
      </c>
      <c r="Q180" s="39">
        <f t="shared" si="17"/>
        <v>42468</v>
      </c>
    </row>
    <row r="181" spans="1:17" hidden="1" x14ac:dyDescent="0.3">
      <c r="A181" t="str">
        <f t="shared" si="15"/>
        <v>SectionA_Exam201011.58086</v>
      </c>
      <c r="B181" t="s">
        <v>863</v>
      </c>
      <c r="C181" t="s">
        <v>821</v>
      </c>
      <c r="D181">
        <v>2010</v>
      </c>
      <c r="E181">
        <v>1</v>
      </c>
      <c r="F181">
        <v>1.5</v>
      </c>
      <c r="G181">
        <v>80</v>
      </c>
      <c r="H181">
        <v>86</v>
      </c>
      <c r="I181">
        <v>1</v>
      </c>
      <c r="J181" s="15">
        <v>42469.826724537037</v>
      </c>
      <c r="K181" s="15">
        <v>42469.828113425923</v>
      </c>
      <c r="M181">
        <v>1</v>
      </c>
      <c r="N181" t="s">
        <v>1419</v>
      </c>
      <c r="O181" s="17">
        <f t="shared" si="16"/>
        <v>1.9999999960418791</v>
      </c>
      <c r="P181">
        <f>COUNTIF(A1:A181,A181)</f>
        <v>1</v>
      </c>
      <c r="Q181" s="39">
        <f t="shared" si="17"/>
        <v>42469</v>
      </c>
    </row>
    <row r="182" spans="1:17" hidden="1" x14ac:dyDescent="0.3">
      <c r="A182" t="str">
        <f t="shared" si="15"/>
        <v>SectionA_SampleQTIA121921</v>
      </c>
      <c r="B182" t="s">
        <v>865</v>
      </c>
      <c r="C182" t="s">
        <v>820</v>
      </c>
      <c r="D182" t="s">
        <v>196</v>
      </c>
      <c r="E182">
        <v>1</v>
      </c>
      <c r="F182">
        <v>2</v>
      </c>
      <c r="G182">
        <v>19</v>
      </c>
      <c r="H182">
        <v>21</v>
      </c>
      <c r="I182">
        <v>0</v>
      </c>
      <c r="J182" s="15">
        <v>42468.680995370371</v>
      </c>
      <c r="K182" s="15">
        <v>42468.694120370368</v>
      </c>
      <c r="M182">
        <v>1</v>
      </c>
      <c r="N182" t="s">
        <v>1408</v>
      </c>
      <c r="O182" s="17">
        <f t="shared" si="16"/>
        <v>18.899999996647239</v>
      </c>
      <c r="P182">
        <f>COUNTIF(A2:A182,A182)</f>
        <v>1</v>
      </c>
      <c r="Q182" s="39">
        <f t="shared" si="17"/>
        <v>42468</v>
      </c>
    </row>
    <row r="183" spans="1:17" hidden="1" x14ac:dyDescent="0.3">
      <c r="A183" t="str">
        <f t="shared" si="15"/>
        <v>SectionA_Exam200871.58085</v>
      </c>
      <c r="B183" t="s">
        <v>863</v>
      </c>
      <c r="C183" t="s">
        <v>821</v>
      </c>
      <c r="D183">
        <v>2008</v>
      </c>
      <c r="E183">
        <v>7</v>
      </c>
      <c r="F183">
        <v>1.5</v>
      </c>
      <c r="G183">
        <v>80</v>
      </c>
      <c r="H183">
        <v>85</v>
      </c>
      <c r="I183">
        <v>0</v>
      </c>
      <c r="J183" s="15">
        <v>42469.828113425923</v>
      </c>
      <c r="K183" s="15">
        <v>42469.829224537039</v>
      </c>
      <c r="M183">
        <v>1</v>
      </c>
      <c r="N183" t="s">
        <v>1420</v>
      </c>
      <c r="O183" s="17">
        <f t="shared" si="16"/>
        <v>1.6000000073108822</v>
      </c>
      <c r="P183">
        <f>COUNTIF(A1:A183,A183)</f>
        <v>1</v>
      </c>
      <c r="Q183" s="39">
        <f t="shared" si="17"/>
        <v>42469</v>
      </c>
    </row>
    <row r="184" spans="1:17" hidden="1" x14ac:dyDescent="0.3">
      <c r="A184" t="str">
        <f t="shared" si="15"/>
        <v>SectionC_Exam2001462.55261</v>
      </c>
      <c r="B184" t="s">
        <v>870</v>
      </c>
      <c r="C184" t="s">
        <v>762</v>
      </c>
      <c r="D184">
        <v>2001</v>
      </c>
      <c r="E184">
        <v>46</v>
      </c>
      <c r="F184">
        <v>2.5</v>
      </c>
      <c r="G184">
        <v>52</v>
      </c>
      <c r="H184">
        <v>61</v>
      </c>
      <c r="I184">
        <v>2.5</v>
      </c>
      <c r="J184" s="15">
        <v>42468.700277777774</v>
      </c>
      <c r="K184" s="15">
        <v>42468.710960648146</v>
      </c>
      <c r="M184">
        <v>1</v>
      </c>
      <c r="O184" s="17">
        <f t="shared" si="16"/>
        <v>15.383333335630596</v>
      </c>
      <c r="P184">
        <f>COUNTIF(A2:A184,A184)</f>
        <v>1</v>
      </c>
      <c r="Q184" s="39">
        <f t="shared" si="17"/>
        <v>42468</v>
      </c>
    </row>
    <row r="185" spans="1:17" hidden="1" x14ac:dyDescent="0.3">
      <c r="A185" t="str">
        <f t="shared" si="15"/>
        <v>SectionA_Exam2003141.57983</v>
      </c>
      <c r="B185" t="s">
        <v>863</v>
      </c>
      <c r="C185" t="s">
        <v>821</v>
      </c>
      <c r="D185">
        <v>2003</v>
      </c>
      <c r="E185">
        <v>14</v>
      </c>
      <c r="F185">
        <v>1.5</v>
      </c>
      <c r="G185">
        <v>79</v>
      </c>
      <c r="H185">
        <v>83</v>
      </c>
      <c r="I185">
        <v>1</v>
      </c>
      <c r="J185" s="15">
        <v>42469.829224537039</v>
      </c>
      <c r="K185" s="15">
        <v>42469.829745370371</v>
      </c>
      <c r="O185" s="17">
        <f t="shared" si="16"/>
        <v>0.74999999720603228</v>
      </c>
      <c r="P185">
        <f>COUNTIF(A1:A185,A185)</f>
        <v>1</v>
      </c>
      <c r="Q185" s="39">
        <f t="shared" si="17"/>
        <v>42469</v>
      </c>
    </row>
    <row r="186" spans="1:17" hidden="1" x14ac:dyDescent="0.3">
      <c r="A186" t="str">
        <f t="shared" si="15"/>
        <v>SectionA_Exam2012338186</v>
      </c>
      <c r="B186" t="s">
        <v>863</v>
      </c>
      <c r="C186" t="s">
        <v>821</v>
      </c>
      <c r="D186">
        <v>2012</v>
      </c>
      <c r="E186">
        <v>3</v>
      </c>
      <c r="F186">
        <v>3</v>
      </c>
      <c r="G186">
        <v>81</v>
      </c>
      <c r="H186">
        <v>86</v>
      </c>
      <c r="I186">
        <v>1</v>
      </c>
      <c r="J186" s="15">
        <v>42469.829745370371</v>
      </c>
      <c r="K186" s="15">
        <v>42469.832349537035</v>
      </c>
      <c r="M186">
        <v>1</v>
      </c>
      <c r="N186" t="s">
        <v>1421</v>
      </c>
      <c r="O186" s="17">
        <f t="shared" si="16"/>
        <v>3.7499999965075403</v>
      </c>
      <c r="P186">
        <f>COUNTIF(A1:A186,A186)</f>
        <v>1</v>
      </c>
      <c r="Q186" s="39">
        <f t="shared" si="17"/>
        <v>42469</v>
      </c>
    </row>
    <row r="187" spans="1:17" hidden="1" x14ac:dyDescent="0.3">
      <c r="A187" t="str">
        <f t="shared" si="15"/>
        <v>SectionC_SampleQTIA321922</v>
      </c>
      <c r="B187" t="s">
        <v>867</v>
      </c>
      <c r="C187" t="s">
        <v>762</v>
      </c>
      <c r="D187" t="s">
        <v>196</v>
      </c>
      <c r="E187">
        <v>3</v>
      </c>
      <c r="F187">
        <v>2</v>
      </c>
      <c r="G187">
        <v>19</v>
      </c>
      <c r="H187">
        <v>22</v>
      </c>
      <c r="I187">
        <v>1</v>
      </c>
      <c r="J187" s="15">
        <v>42468.775810185187</v>
      </c>
      <c r="K187" s="15">
        <v>42468.779606481483</v>
      </c>
      <c r="M187">
        <v>1</v>
      </c>
      <c r="N187" t="s">
        <v>1409</v>
      </c>
      <c r="O187" s="17">
        <f t="shared" si="16"/>
        <v>5.4666666663251817</v>
      </c>
      <c r="P187">
        <f>COUNTIF(A2:A187,A187)</f>
        <v>1</v>
      </c>
      <c r="Q187" s="39">
        <f t="shared" si="17"/>
        <v>42468</v>
      </c>
    </row>
    <row r="188" spans="1:17" hidden="1" x14ac:dyDescent="0.3">
      <c r="A188" t="str">
        <f t="shared" si="15"/>
        <v>SectionC_SampleQTIA221921</v>
      </c>
      <c r="B188" t="s">
        <v>867</v>
      </c>
      <c r="C188" t="s">
        <v>762</v>
      </c>
      <c r="D188" t="s">
        <v>196</v>
      </c>
      <c r="E188">
        <v>2</v>
      </c>
      <c r="F188">
        <v>2</v>
      </c>
      <c r="G188">
        <v>19</v>
      </c>
      <c r="H188">
        <v>21</v>
      </c>
      <c r="I188">
        <v>1.5</v>
      </c>
      <c r="J188" s="15">
        <v>42468.779606481483</v>
      </c>
      <c r="K188" s="15">
        <v>42468.787268518521</v>
      </c>
      <c r="O188" s="17">
        <f t="shared" si="16"/>
        <v>11.033333335071802</v>
      </c>
      <c r="P188">
        <f>COUNTIF(A2:A188,A188)</f>
        <v>1</v>
      </c>
      <c r="Q188" s="39">
        <f t="shared" si="17"/>
        <v>42468</v>
      </c>
    </row>
    <row r="189" spans="1:17" hidden="1" x14ac:dyDescent="0.3">
      <c r="A189" t="str">
        <f t="shared" si="15"/>
        <v>SectionC_Exam2002401.55262</v>
      </c>
      <c r="B189" t="s">
        <v>870</v>
      </c>
      <c r="C189" t="s">
        <v>762</v>
      </c>
      <c r="D189">
        <v>2002</v>
      </c>
      <c r="E189">
        <v>40</v>
      </c>
      <c r="F189">
        <v>1.5</v>
      </c>
      <c r="G189">
        <v>52</v>
      </c>
      <c r="H189">
        <v>62</v>
      </c>
      <c r="I189">
        <v>1</v>
      </c>
      <c r="J189" s="15">
        <v>42468.787268518521</v>
      </c>
      <c r="K189" s="15">
        <v>42468.79315972222</v>
      </c>
      <c r="O189" s="17">
        <f t="shared" si="16"/>
        <v>8.4833333257120103</v>
      </c>
      <c r="P189">
        <f>COUNTIF(A2:A189,A189)</f>
        <v>1</v>
      </c>
      <c r="Q189" s="39">
        <f t="shared" si="17"/>
        <v>42468</v>
      </c>
    </row>
    <row r="190" spans="1:17" hidden="1" x14ac:dyDescent="0.3">
      <c r="A190" t="str">
        <f t="shared" si="15"/>
        <v>SectionA_Exam20031014653</v>
      </c>
      <c r="B190" t="s">
        <v>863</v>
      </c>
      <c r="C190" t="s">
        <v>820</v>
      </c>
      <c r="D190">
        <v>2003</v>
      </c>
      <c r="E190">
        <v>10</v>
      </c>
      <c r="F190">
        <v>1</v>
      </c>
      <c r="G190">
        <v>46</v>
      </c>
      <c r="H190">
        <v>53</v>
      </c>
      <c r="I190">
        <v>0.75</v>
      </c>
      <c r="J190" s="15">
        <v>42468.79315972222</v>
      </c>
      <c r="K190" s="15">
        <v>42468.795960648145</v>
      </c>
      <c r="O190" s="17">
        <f t="shared" si="16"/>
        <v>4.033333333209157</v>
      </c>
      <c r="P190">
        <f>COUNTIF(A2:A190,A190)</f>
        <v>2</v>
      </c>
      <c r="Q190" s="39">
        <f t="shared" si="17"/>
        <v>42468</v>
      </c>
    </row>
    <row r="191" spans="1:17" hidden="1" x14ac:dyDescent="0.3">
      <c r="A191" t="str">
        <f t="shared" si="15"/>
        <v>SectionC_Exam20043925464</v>
      </c>
      <c r="B191" t="s">
        <v>870</v>
      </c>
      <c r="C191" t="s">
        <v>762</v>
      </c>
      <c r="D191">
        <v>2004</v>
      </c>
      <c r="E191">
        <v>39</v>
      </c>
      <c r="F191">
        <v>2</v>
      </c>
      <c r="G191">
        <v>54</v>
      </c>
      <c r="H191">
        <v>64</v>
      </c>
      <c r="I191">
        <v>2</v>
      </c>
      <c r="J191" s="15">
        <v>42468.795960648145</v>
      </c>
      <c r="K191" s="15">
        <v>42468.802893518521</v>
      </c>
      <c r="M191">
        <v>1</v>
      </c>
      <c r="O191" s="17">
        <f t="shared" si="16"/>
        <v>9.9833333410788327</v>
      </c>
      <c r="P191">
        <f>COUNTIF(A2:A191,A191)</f>
        <v>1</v>
      </c>
      <c r="Q191" s="39">
        <f t="shared" si="17"/>
        <v>42468</v>
      </c>
    </row>
    <row r="192" spans="1:17" hidden="1" x14ac:dyDescent="0.3">
      <c r="A192" t="str">
        <f t="shared" si="15"/>
        <v>SectionA_Exam2005824756</v>
      </c>
      <c r="B192" t="s">
        <v>863</v>
      </c>
      <c r="C192" t="s">
        <v>820</v>
      </c>
      <c r="D192">
        <v>2005</v>
      </c>
      <c r="E192">
        <v>8</v>
      </c>
      <c r="F192">
        <v>2</v>
      </c>
      <c r="G192">
        <v>47</v>
      </c>
      <c r="H192">
        <v>56</v>
      </c>
      <c r="I192">
        <v>0</v>
      </c>
      <c r="J192" s="15">
        <v>42468.802893518521</v>
      </c>
      <c r="K192" s="15">
        <v>42468.807523148149</v>
      </c>
      <c r="M192">
        <v>1</v>
      </c>
      <c r="N192" t="s">
        <v>1410</v>
      </c>
      <c r="O192" s="17">
        <f t="shared" si="16"/>
        <v>6.6666666639503092</v>
      </c>
      <c r="P192">
        <f>COUNTIF(A2:A192,A192)</f>
        <v>1</v>
      </c>
      <c r="Q192" s="39">
        <f t="shared" si="17"/>
        <v>42468</v>
      </c>
    </row>
    <row r="193" spans="1:17" hidden="1" x14ac:dyDescent="0.3">
      <c r="A193" t="str">
        <f t="shared" si="15"/>
        <v>SectionA_Exam2004724755</v>
      </c>
      <c r="B193" t="s">
        <v>863</v>
      </c>
      <c r="C193" t="s">
        <v>820</v>
      </c>
      <c r="D193">
        <v>2004</v>
      </c>
      <c r="E193">
        <v>7</v>
      </c>
      <c r="F193">
        <v>2</v>
      </c>
      <c r="G193">
        <v>47</v>
      </c>
      <c r="H193">
        <v>55</v>
      </c>
      <c r="I193">
        <v>1.5</v>
      </c>
      <c r="J193" s="15">
        <v>42468.80809027778</v>
      </c>
      <c r="K193" s="15">
        <v>42468.809918981482</v>
      </c>
      <c r="M193">
        <v>1</v>
      </c>
      <c r="N193" t="s">
        <v>1411</v>
      </c>
      <c r="O193" s="17">
        <f t="shared" si="16"/>
        <v>2.6333333307411522</v>
      </c>
      <c r="P193">
        <f>COUNTIF(A2:A193,A193)</f>
        <v>1</v>
      </c>
      <c r="Q193" s="39">
        <f t="shared" si="17"/>
        <v>42468</v>
      </c>
    </row>
    <row r="194" spans="1:17" hidden="1" x14ac:dyDescent="0.3">
      <c r="A194" t="str">
        <f t="shared" si="15"/>
        <v>SectionA_Exam201141.55162</v>
      </c>
      <c r="B194" t="s">
        <v>863</v>
      </c>
      <c r="C194" t="s">
        <v>820</v>
      </c>
      <c r="D194">
        <v>2011</v>
      </c>
      <c r="E194">
        <v>4</v>
      </c>
      <c r="F194">
        <v>1.5</v>
      </c>
      <c r="G194">
        <v>51</v>
      </c>
      <c r="H194">
        <v>62</v>
      </c>
      <c r="I194">
        <v>1.5</v>
      </c>
      <c r="J194" s="15">
        <v>42468.809918981482</v>
      </c>
      <c r="K194" s="15">
        <v>42468.810671296298</v>
      </c>
      <c r="O194" s="17">
        <f t="shared" si="16"/>
        <v>1.0833333351183683</v>
      </c>
      <c r="P194">
        <f>COUNTIF(A2:A194,A194)</f>
        <v>1</v>
      </c>
      <c r="Q194" s="39">
        <f t="shared" si="17"/>
        <v>42468</v>
      </c>
    </row>
    <row r="195" spans="1:17" hidden="1" x14ac:dyDescent="0.3">
      <c r="A195" t="str">
        <f t="shared" si="15"/>
        <v>SectionA_SampleQTIA221921</v>
      </c>
      <c r="B195" t="s">
        <v>865</v>
      </c>
      <c r="C195" t="s">
        <v>820</v>
      </c>
      <c r="D195" t="s">
        <v>196</v>
      </c>
      <c r="E195">
        <v>2</v>
      </c>
      <c r="F195">
        <v>2</v>
      </c>
      <c r="G195">
        <v>19</v>
      </c>
      <c r="H195">
        <v>21</v>
      </c>
      <c r="I195">
        <v>2</v>
      </c>
      <c r="J195" s="15">
        <v>42468.810671296298</v>
      </c>
      <c r="K195" s="15">
        <v>42468.811805555553</v>
      </c>
      <c r="O195" s="17">
        <f t="shared" si="16"/>
        <v>1.6333333274815232</v>
      </c>
      <c r="P195">
        <f>COUNTIF(A2:A195,A195)</f>
        <v>1</v>
      </c>
      <c r="Q195" s="39">
        <f t="shared" si="17"/>
        <v>42468</v>
      </c>
    </row>
    <row r="196" spans="1:17" hidden="1" x14ac:dyDescent="0.3">
      <c r="A196" t="str">
        <f t="shared" si="15"/>
        <v>SectionA_Exam2004524654</v>
      </c>
      <c r="B196" t="s">
        <v>863</v>
      </c>
      <c r="C196" t="s">
        <v>820</v>
      </c>
      <c r="D196">
        <v>2004</v>
      </c>
      <c r="E196">
        <v>5</v>
      </c>
      <c r="F196">
        <v>2</v>
      </c>
      <c r="G196">
        <v>46</v>
      </c>
      <c r="H196">
        <v>54</v>
      </c>
      <c r="I196">
        <v>1</v>
      </c>
      <c r="J196" s="15">
        <v>42468.811805555553</v>
      </c>
      <c r="K196" s="15">
        <v>42468.813206018516</v>
      </c>
      <c r="M196">
        <v>1</v>
      </c>
      <c r="N196" t="s">
        <v>1412</v>
      </c>
      <c r="O196" s="17">
        <f t="shared" si="16"/>
        <v>2.0166666666045785</v>
      </c>
      <c r="P196">
        <f>COUNTIF(A2:A196,A196)</f>
        <v>1</v>
      </c>
      <c r="Q196" s="39">
        <f t="shared" si="17"/>
        <v>42468</v>
      </c>
    </row>
    <row r="197" spans="1:17" hidden="1" x14ac:dyDescent="0.3">
      <c r="A197" t="str">
        <f t="shared" si="15"/>
        <v>SectionA_Exam200662.54857</v>
      </c>
      <c r="B197" t="s">
        <v>863</v>
      </c>
      <c r="C197" t="s">
        <v>820</v>
      </c>
      <c r="D197">
        <v>2006</v>
      </c>
      <c r="E197">
        <v>6</v>
      </c>
      <c r="F197">
        <v>2.5</v>
      </c>
      <c r="G197">
        <v>48</v>
      </c>
      <c r="H197">
        <v>57</v>
      </c>
      <c r="I197">
        <v>2</v>
      </c>
      <c r="J197" s="15">
        <v>42468.813206018516</v>
      </c>
      <c r="K197" s="15">
        <v>42468.819166666668</v>
      </c>
      <c r="M197">
        <v>1</v>
      </c>
      <c r="N197" t="s">
        <v>1413</v>
      </c>
      <c r="O197" s="17">
        <f t="shared" si="16"/>
        <v>8.5833333386108279</v>
      </c>
      <c r="P197">
        <f>COUNTIF(A2:A197,A197)</f>
        <v>1</v>
      </c>
      <c r="Q197" s="39">
        <f t="shared" si="17"/>
        <v>42468</v>
      </c>
    </row>
    <row r="198" spans="1:17" hidden="1" x14ac:dyDescent="0.3">
      <c r="A198" t="str">
        <f t="shared" si="15"/>
        <v>SectionA_SampleQTIA622023</v>
      </c>
      <c r="B198" t="s">
        <v>865</v>
      </c>
      <c r="C198" t="s">
        <v>820</v>
      </c>
      <c r="D198" t="s">
        <v>196</v>
      </c>
      <c r="E198">
        <v>6</v>
      </c>
      <c r="F198">
        <v>2</v>
      </c>
      <c r="G198">
        <v>20</v>
      </c>
      <c r="H198">
        <v>23</v>
      </c>
      <c r="I198">
        <v>2</v>
      </c>
      <c r="J198" s="15">
        <v>42468.819166666668</v>
      </c>
      <c r="K198" s="15">
        <v>42468.819618055553</v>
      </c>
      <c r="O198" s="17">
        <f t="shared" si="16"/>
        <v>0.64999999478459358</v>
      </c>
      <c r="P198">
        <f>COUNTIF(A2:A198,A198)</f>
        <v>1</v>
      </c>
      <c r="Q198" s="39">
        <f t="shared" si="17"/>
        <v>42468</v>
      </c>
    </row>
    <row r="199" spans="1:17" hidden="1" x14ac:dyDescent="0.3">
      <c r="A199" t="str">
        <f t="shared" si="15"/>
        <v>SectionA_Exam20051214856</v>
      </c>
      <c r="B199" t="s">
        <v>863</v>
      </c>
      <c r="C199" t="s">
        <v>820</v>
      </c>
      <c r="D199">
        <v>2005</v>
      </c>
      <c r="E199">
        <v>12</v>
      </c>
      <c r="F199">
        <v>1</v>
      </c>
      <c r="G199">
        <v>48</v>
      </c>
      <c r="H199">
        <v>56</v>
      </c>
      <c r="I199">
        <v>1</v>
      </c>
      <c r="J199" s="15">
        <v>42468.819618055553</v>
      </c>
      <c r="K199" s="15">
        <v>42468.821342592593</v>
      </c>
      <c r="O199" s="17">
        <f t="shared" si="16"/>
        <v>2.4833333375863731</v>
      </c>
      <c r="P199">
        <f>COUNTIF(A2:A199,A199)</f>
        <v>1</v>
      </c>
      <c r="Q199" s="39">
        <f t="shared" si="17"/>
        <v>42468</v>
      </c>
    </row>
    <row r="200" spans="1:17" hidden="1" x14ac:dyDescent="0.3">
      <c r="A200" t="str">
        <f t="shared" si="15"/>
        <v>SectionA_SampleQTIA722023</v>
      </c>
      <c r="B200" t="s">
        <v>865</v>
      </c>
      <c r="C200" t="s">
        <v>820</v>
      </c>
      <c r="D200" t="s">
        <v>196</v>
      </c>
      <c r="E200">
        <v>7</v>
      </c>
      <c r="F200">
        <v>2</v>
      </c>
      <c r="G200">
        <v>20</v>
      </c>
      <c r="H200">
        <v>23</v>
      </c>
      <c r="I200">
        <v>2</v>
      </c>
      <c r="J200" s="15">
        <v>42468.821342592593</v>
      </c>
      <c r="K200" s="15">
        <v>42468.822557870371</v>
      </c>
      <c r="O200" s="17">
        <f t="shared" si="16"/>
        <v>1.7500000004656613</v>
      </c>
      <c r="P200">
        <f>COUNTIF(A2:A200,A200)</f>
        <v>1</v>
      </c>
      <c r="Q200" s="39">
        <f t="shared" si="17"/>
        <v>42468</v>
      </c>
    </row>
    <row r="201" spans="1:17" hidden="1" x14ac:dyDescent="0.3">
      <c r="A201" t="str">
        <f t="shared" si="15"/>
        <v>SectionA_Exam2004614755</v>
      </c>
      <c r="B201" t="s">
        <v>863</v>
      </c>
      <c r="C201" t="s">
        <v>820</v>
      </c>
      <c r="D201">
        <v>2004</v>
      </c>
      <c r="E201">
        <v>6</v>
      </c>
      <c r="F201">
        <v>1</v>
      </c>
      <c r="G201">
        <v>47</v>
      </c>
      <c r="H201">
        <v>55</v>
      </c>
      <c r="I201">
        <v>1</v>
      </c>
      <c r="J201" s="15">
        <v>42468.822557870371</v>
      </c>
      <c r="K201" s="15">
        <v>42468.831006944441</v>
      </c>
      <c r="O201" s="17">
        <f t="shared" si="16"/>
        <v>12.166666660923511</v>
      </c>
      <c r="P201">
        <f>COUNTIF(A2:A201,A201)</f>
        <v>1</v>
      </c>
      <c r="Q201" s="39">
        <f t="shared" si="17"/>
        <v>42468</v>
      </c>
    </row>
    <row r="202" spans="1:17" hidden="1" x14ac:dyDescent="0.3">
      <c r="A202" t="str">
        <f t="shared" si="15"/>
        <v>SectionA_SampleQTIA123234</v>
      </c>
      <c r="B202" t="s">
        <v>865</v>
      </c>
      <c r="C202" t="s">
        <v>823</v>
      </c>
      <c r="D202" t="s">
        <v>196</v>
      </c>
      <c r="E202">
        <v>1</v>
      </c>
      <c r="F202">
        <v>2</v>
      </c>
      <c r="G202">
        <v>32</v>
      </c>
      <c r="H202">
        <v>34</v>
      </c>
      <c r="I202">
        <v>0</v>
      </c>
      <c r="J202" s="15">
        <v>42426.342268518521</v>
      </c>
      <c r="K202" s="15">
        <v>42426.343506944446</v>
      </c>
      <c r="M202">
        <v>1</v>
      </c>
      <c r="N202" t="s">
        <v>1036</v>
      </c>
      <c r="O202" s="17">
        <f t="shared" si="16"/>
        <v>1.7833333311136812</v>
      </c>
      <c r="P202">
        <f>COUNTIF(A186:A202,A202)</f>
        <v>1</v>
      </c>
      <c r="Q202" s="39">
        <f t="shared" si="17"/>
        <v>42426</v>
      </c>
    </row>
    <row r="203" spans="1:17" hidden="1" x14ac:dyDescent="0.3">
      <c r="A203" t="str">
        <f t="shared" si="15"/>
        <v>SectionA_SampleQTIA423335</v>
      </c>
      <c r="B203" t="s">
        <v>865</v>
      </c>
      <c r="C203" t="s">
        <v>823</v>
      </c>
      <c r="D203" t="s">
        <v>196</v>
      </c>
      <c r="E203">
        <v>4</v>
      </c>
      <c r="F203">
        <v>2</v>
      </c>
      <c r="G203">
        <v>33</v>
      </c>
      <c r="H203">
        <v>35</v>
      </c>
      <c r="I203">
        <v>0</v>
      </c>
      <c r="J203" s="15">
        <v>42449.746736111112</v>
      </c>
      <c r="K203" s="15">
        <v>42449.747430555559</v>
      </c>
      <c r="M203">
        <v>1</v>
      </c>
      <c r="N203" t="s">
        <v>1151</v>
      </c>
      <c r="O203" s="17">
        <f t="shared" si="16"/>
        <v>1.000000003259629</v>
      </c>
      <c r="P203">
        <f>COUNTIF(A143:A203,A203)</f>
        <v>1</v>
      </c>
      <c r="Q203" s="39">
        <f t="shared" si="17"/>
        <v>42449</v>
      </c>
    </row>
    <row r="204" spans="1:17" hidden="1" x14ac:dyDescent="0.3">
      <c r="A204" t="str">
        <f t="shared" ref="A204:A267" si="18">(B204&amp;D204&amp;E204&amp;F204&amp;G204&amp;H204)</f>
        <v>SectionA_SampleQTIA323235</v>
      </c>
      <c r="B204" t="s">
        <v>865</v>
      </c>
      <c r="C204" t="s">
        <v>823</v>
      </c>
      <c r="D204" t="s">
        <v>196</v>
      </c>
      <c r="E204">
        <v>3</v>
      </c>
      <c r="F204">
        <v>2</v>
      </c>
      <c r="G204">
        <v>32</v>
      </c>
      <c r="H204">
        <v>35</v>
      </c>
      <c r="I204">
        <v>1</v>
      </c>
      <c r="J204" s="15">
        <v>42449.747430555559</v>
      </c>
      <c r="K204" s="15">
        <v>42449.747916666667</v>
      </c>
      <c r="M204">
        <v>1</v>
      </c>
      <c r="N204" t="s">
        <v>1152</v>
      </c>
      <c r="O204" s="17">
        <f t="shared" ref="O204:O267" si="19">(K204-J204)*60*24</f>
        <v>0.69999999599531293</v>
      </c>
      <c r="P204">
        <f>COUNTIF(A143:A204,A204)</f>
        <v>1</v>
      </c>
      <c r="Q204" s="39">
        <f t="shared" ref="Q204:Q267" si="20">DATE(YEAR(J204),MONTH(J204),DAY(J204))</f>
        <v>42449</v>
      </c>
    </row>
    <row r="205" spans="1:17" hidden="1" x14ac:dyDescent="0.3">
      <c r="A205" t="str">
        <f t="shared" si="18"/>
        <v>SectionA_Exam200772.258991</v>
      </c>
      <c r="B205" t="s">
        <v>863</v>
      </c>
      <c r="C205" t="s">
        <v>823</v>
      </c>
      <c r="D205">
        <v>2007</v>
      </c>
      <c r="E205">
        <v>7</v>
      </c>
      <c r="F205">
        <v>2.25</v>
      </c>
      <c r="G205">
        <v>89</v>
      </c>
      <c r="H205">
        <v>91</v>
      </c>
      <c r="I205">
        <v>0</v>
      </c>
      <c r="J205" s="15">
        <v>42450.767106481479</v>
      </c>
      <c r="K205" s="15">
        <v>42450.770532407405</v>
      </c>
      <c r="M205">
        <v>1</v>
      </c>
      <c r="N205" t="s">
        <v>1154</v>
      </c>
      <c r="O205" s="17">
        <f t="shared" si="19"/>
        <v>4.9333333340473473</v>
      </c>
      <c r="P205">
        <f>COUNTIF(A141:A205,A205)</f>
        <v>1</v>
      </c>
      <c r="Q205" s="39">
        <f t="shared" si="20"/>
        <v>42450</v>
      </c>
    </row>
    <row r="206" spans="1:17" hidden="1" x14ac:dyDescent="0.3">
      <c r="A206" t="str">
        <f t="shared" si="18"/>
        <v>SectionA_Exam200772.258991</v>
      </c>
      <c r="B206" t="s">
        <v>863</v>
      </c>
      <c r="C206" t="s">
        <v>823</v>
      </c>
      <c r="D206">
        <v>2007</v>
      </c>
      <c r="E206">
        <v>7</v>
      </c>
      <c r="F206">
        <v>2.25</v>
      </c>
      <c r="G206">
        <v>89</v>
      </c>
      <c r="H206">
        <v>91</v>
      </c>
      <c r="I206">
        <v>1.75</v>
      </c>
      <c r="J206" s="15">
        <v>42452.533541666664</v>
      </c>
      <c r="K206" s="15">
        <v>42452.537152777775</v>
      </c>
      <c r="O206" s="17">
        <f t="shared" si="19"/>
        <v>5.2000000001862645</v>
      </c>
      <c r="P206">
        <f>COUNTIF(A129:A206,A206)</f>
        <v>2</v>
      </c>
      <c r="Q206" s="39">
        <f t="shared" si="20"/>
        <v>42452</v>
      </c>
    </row>
    <row r="207" spans="1:17" x14ac:dyDescent="0.3">
      <c r="A207" t="str">
        <f t="shared" si="18"/>
        <v>SectionD_SampleQTIA525052</v>
      </c>
      <c r="B207" t="s">
        <v>868</v>
      </c>
      <c r="C207" t="s">
        <v>772</v>
      </c>
      <c r="D207" t="s">
        <v>196</v>
      </c>
      <c r="E207">
        <v>5</v>
      </c>
      <c r="F207">
        <v>2</v>
      </c>
      <c r="G207">
        <v>50</v>
      </c>
      <c r="H207">
        <v>52</v>
      </c>
      <c r="I207">
        <v>1</v>
      </c>
      <c r="J207" s="15">
        <v>42469.805520833332</v>
      </c>
      <c r="K207" s="15">
        <v>42469.806203703702</v>
      </c>
      <c r="O207" s="17">
        <f t="shared" si="19"/>
        <v>0.98333333269692957</v>
      </c>
      <c r="P207">
        <f>COUNTIF(A2:A207,A207)</f>
        <v>1</v>
      </c>
      <c r="Q207" s="39">
        <f t="shared" si="20"/>
        <v>42469</v>
      </c>
    </row>
    <row r="208" spans="1:17" x14ac:dyDescent="0.3">
      <c r="A208" t="str">
        <f t="shared" si="18"/>
        <v>SectionD_SampleQTIA725153</v>
      </c>
      <c r="B208" t="s">
        <v>868</v>
      </c>
      <c r="C208" t="s">
        <v>772</v>
      </c>
      <c r="D208" t="s">
        <v>196</v>
      </c>
      <c r="E208">
        <v>7</v>
      </c>
      <c r="F208">
        <v>2</v>
      </c>
      <c r="G208">
        <v>51</v>
      </c>
      <c r="H208">
        <v>53</v>
      </c>
      <c r="I208">
        <v>2</v>
      </c>
      <c r="J208" s="15">
        <v>42469.806203703702</v>
      </c>
      <c r="K208" s="15">
        <v>42469.818761574075</v>
      </c>
      <c r="M208">
        <v>1</v>
      </c>
      <c r="O208" s="17">
        <f t="shared" si="19"/>
        <v>18.083333338145167</v>
      </c>
      <c r="P208">
        <f>COUNTIF(A2:A208,A208)</f>
        <v>1</v>
      </c>
      <c r="Q208" s="39">
        <f t="shared" si="20"/>
        <v>42469</v>
      </c>
    </row>
    <row r="209" spans="1:17" hidden="1" x14ac:dyDescent="0.3">
      <c r="A209" t="str">
        <f t="shared" si="18"/>
        <v>SectionA_SampleQTIA323235</v>
      </c>
      <c r="B209" t="s">
        <v>865</v>
      </c>
      <c r="C209" t="s">
        <v>823</v>
      </c>
      <c r="D209" t="s">
        <v>196</v>
      </c>
      <c r="E209">
        <v>3</v>
      </c>
      <c r="F209">
        <v>2</v>
      </c>
      <c r="G209">
        <v>32</v>
      </c>
      <c r="H209">
        <v>35</v>
      </c>
      <c r="I209">
        <v>2</v>
      </c>
      <c r="J209" s="15">
        <v>42455.521909722222</v>
      </c>
      <c r="K209" s="15">
        <v>42455.523541666669</v>
      </c>
      <c r="O209" s="17">
        <f t="shared" si="19"/>
        <v>2.3500000045169145</v>
      </c>
      <c r="P209">
        <f>COUNTIF(A117:A209,A209)</f>
        <v>2</v>
      </c>
      <c r="Q209" s="39">
        <f t="shared" si="20"/>
        <v>42455</v>
      </c>
    </row>
    <row r="210" spans="1:17" hidden="1" x14ac:dyDescent="0.3">
      <c r="A210" t="str">
        <f t="shared" si="18"/>
        <v>SectionA_SampleQTIA123234</v>
      </c>
      <c r="B210" t="s">
        <v>865</v>
      </c>
      <c r="C210" t="s">
        <v>823</v>
      </c>
      <c r="D210" t="s">
        <v>196</v>
      </c>
      <c r="E210">
        <v>1</v>
      </c>
      <c r="F210">
        <v>2</v>
      </c>
      <c r="G210">
        <v>32</v>
      </c>
      <c r="H210">
        <v>34</v>
      </c>
      <c r="I210">
        <v>1</v>
      </c>
      <c r="J210" s="15">
        <v>42455.688194444447</v>
      </c>
      <c r="K210" s="15">
        <v>42455.690358796295</v>
      </c>
      <c r="O210" s="17">
        <f t="shared" si="19"/>
        <v>3.1166666618082672</v>
      </c>
      <c r="P210">
        <f>COUNTIF(A114:A210,A210)</f>
        <v>2</v>
      </c>
      <c r="Q210" s="39">
        <f t="shared" si="20"/>
        <v>42455</v>
      </c>
    </row>
    <row r="211" spans="1:17" hidden="1" x14ac:dyDescent="0.3">
      <c r="A211" t="str">
        <f t="shared" si="18"/>
        <v>SectionA_SampleQTIA423335</v>
      </c>
      <c r="B211" t="s">
        <v>865</v>
      </c>
      <c r="C211" t="s">
        <v>823</v>
      </c>
      <c r="D211" t="s">
        <v>196</v>
      </c>
      <c r="E211">
        <v>4</v>
      </c>
      <c r="F211">
        <v>2</v>
      </c>
      <c r="G211">
        <v>33</v>
      </c>
      <c r="H211">
        <v>35</v>
      </c>
      <c r="I211">
        <v>2</v>
      </c>
      <c r="J211" s="15">
        <v>42469.797083333331</v>
      </c>
      <c r="K211" s="15">
        <v>42469.798668981479</v>
      </c>
      <c r="N211" t="s">
        <v>1415</v>
      </c>
      <c r="O211" s="17">
        <f t="shared" si="19"/>
        <v>2.2833333327434957</v>
      </c>
      <c r="P211">
        <f>COUNTIF(A10:A211,A211)</f>
        <v>2</v>
      </c>
      <c r="Q211" s="39">
        <f t="shared" si="20"/>
        <v>42469</v>
      </c>
    </row>
    <row r="212" spans="1:17" hidden="1" x14ac:dyDescent="0.3">
      <c r="A212" t="str">
        <f t="shared" si="18"/>
        <v>SectionA_SampleQTIA223234</v>
      </c>
      <c r="B212" t="s">
        <v>865</v>
      </c>
      <c r="C212" t="s">
        <v>823</v>
      </c>
      <c r="D212" t="s">
        <v>196</v>
      </c>
      <c r="E212">
        <v>2</v>
      </c>
      <c r="F212">
        <v>2</v>
      </c>
      <c r="G212">
        <v>32</v>
      </c>
      <c r="H212">
        <v>34</v>
      </c>
      <c r="I212">
        <v>0</v>
      </c>
      <c r="J212" s="15">
        <v>42469.798668981479</v>
      </c>
      <c r="K212" s="15">
        <v>42469.800543981481</v>
      </c>
      <c r="M212">
        <v>1</v>
      </c>
      <c r="N212" t="s">
        <v>1416</v>
      </c>
      <c r="O212" s="17">
        <f t="shared" si="19"/>
        <v>2.700000002514571</v>
      </c>
      <c r="P212">
        <f>COUNTIF(A10:A212,A212)</f>
        <v>1</v>
      </c>
      <c r="Q212" s="39">
        <f t="shared" si="20"/>
        <v>42469</v>
      </c>
    </row>
    <row r="213" spans="1:17" hidden="1" x14ac:dyDescent="0.3">
      <c r="A213" t="str">
        <f t="shared" si="18"/>
        <v>SectionA_Exam200861.58991</v>
      </c>
      <c r="B213" t="s">
        <v>863</v>
      </c>
      <c r="C213" t="s">
        <v>823</v>
      </c>
      <c r="D213">
        <v>2008</v>
      </c>
      <c r="E213">
        <v>6</v>
      </c>
      <c r="F213">
        <v>1.5</v>
      </c>
      <c r="G213">
        <v>89</v>
      </c>
      <c r="H213">
        <v>91</v>
      </c>
      <c r="I213">
        <v>0.5</v>
      </c>
      <c r="J213" s="15">
        <v>42469.800543981481</v>
      </c>
      <c r="K213" s="15">
        <v>42469.802731481483</v>
      </c>
      <c r="M213">
        <v>1</v>
      </c>
      <c r="O213" s="17">
        <f t="shared" si="19"/>
        <v>3.1500000029336661</v>
      </c>
      <c r="P213">
        <f>COUNTIF(A10:A213,A213)</f>
        <v>1</v>
      </c>
      <c r="Q213" s="39">
        <f t="shared" si="20"/>
        <v>42469</v>
      </c>
    </row>
    <row r="214" spans="1:17" x14ac:dyDescent="0.3">
      <c r="A214" t="str">
        <f t="shared" si="18"/>
        <v>SectionD_Exam2008163192197</v>
      </c>
      <c r="B214" t="s">
        <v>871</v>
      </c>
      <c r="C214" t="s">
        <v>772</v>
      </c>
      <c r="D214">
        <v>2008</v>
      </c>
      <c r="E214">
        <v>16</v>
      </c>
      <c r="F214">
        <v>3</v>
      </c>
      <c r="G214">
        <v>192</v>
      </c>
      <c r="H214">
        <v>197</v>
      </c>
      <c r="I214">
        <v>2.5</v>
      </c>
      <c r="J214" s="15">
        <v>42469.822754629633</v>
      </c>
      <c r="K214" s="15">
        <v>42469.825219907405</v>
      </c>
      <c r="O214" s="17">
        <f t="shared" si="19"/>
        <v>3.549999991664663</v>
      </c>
      <c r="P214">
        <f>COUNTIF(A2:A214,A214)</f>
        <v>1</v>
      </c>
      <c r="Q214" s="39">
        <f t="shared" si="20"/>
        <v>42469</v>
      </c>
    </row>
    <row r="215" spans="1:17" hidden="1" x14ac:dyDescent="0.3">
      <c r="A215" t="str">
        <f t="shared" si="18"/>
        <v>SectionA_SampleQTIA323840</v>
      </c>
      <c r="B215" t="s">
        <v>865</v>
      </c>
      <c r="C215" t="s">
        <v>815</v>
      </c>
      <c r="D215" t="s">
        <v>196</v>
      </c>
      <c r="E215">
        <v>3</v>
      </c>
      <c r="F215">
        <v>2</v>
      </c>
      <c r="G215">
        <v>38</v>
      </c>
      <c r="H215">
        <v>40</v>
      </c>
      <c r="I215">
        <v>0</v>
      </c>
      <c r="J215" s="15">
        <v>42426.542569444442</v>
      </c>
      <c r="K215" s="15">
        <v>42426.544050925928</v>
      </c>
      <c r="M215">
        <v>1</v>
      </c>
      <c r="O215" s="17">
        <f t="shared" si="19"/>
        <v>2.1333333395887166</v>
      </c>
      <c r="P215">
        <f>COUNTIF(A196:A215,A215)</f>
        <v>1</v>
      </c>
      <c r="Q215" s="39">
        <f t="shared" si="20"/>
        <v>42426</v>
      </c>
    </row>
    <row r="216" spans="1:17" hidden="1" x14ac:dyDescent="0.3">
      <c r="A216" t="str">
        <f t="shared" si="18"/>
        <v>SectionA_Exam2000123.59395</v>
      </c>
      <c r="B216" t="s">
        <v>863</v>
      </c>
      <c r="C216" t="s">
        <v>815</v>
      </c>
      <c r="D216">
        <v>2000</v>
      </c>
      <c r="E216">
        <v>12</v>
      </c>
      <c r="F216">
        <v>3.5</v>
      </c>
      <c r="G216">
        <v>93</v>
      </c>
      <c r="H216">
        <v>95</v>
      </c>
      <c r="I216">
        <v>1</v>
      </c>
      <c r="J216" s="15">
        <v>42449.747916666667</v>
      </c>
      <c r="K216" s="15">
        <v>42449.748506944445</v>
      </c>
      <c r="M216">
        <v>1</v>
      </c>
      <c r="N216" t="s">
        <v>1153</v>
      </c>
      <c r="O216" s="17">
        <f t="shared" si="19"/>
        <v>0.84999999962747097</v>
      </c>
      <c r="P216">
        <f>COUNTIF(A154:A216,A216)</f>
        <v>1</v>
      </c>
      <c r="Q216" s="39">
        <f t="shared" si="20"/>
        <v>42449</v>
      </c>
    </row>
    <row r="217" spans="1:17" hidden="1" x14ac:dyDescent="0.3">
      <c r="A217" t="str">
        <f t="shared" si="18"/>
        <v>SectionA_SampleQTIA423841</v>
      </c>
      <c r="B217" t="s">
        <v>865</v>
      </c>
      <c r="C217" t="s">
        <v>815</v>
      </c>
      <c r="D217" t="s">
        <v>196</v>
      </c>
      <c r="E217">
        <v>4</v>
      </c>
      <c r="F217">
        <v>2</v>
      </c>
      <c r="G217">
        <v>38</v>
      </c>
      <c r="H217">
        <v>41</v>
      </c>
      <c r="I217">
        <v>1</v>
      </c>
      <c r="J217" s="15">
        <v>42450.78402777778</v>
      </c>
      <c r="K217" s="15">
        <v>42450.898136574076</v>
      </c>
      <c r="M217">
        <v>1</v>
      </c>
      <c r="O217" s="17">
        <f t="shared" si="19"/>
        <v>164.31666666758247</v>
      </c>
      <c r="P217">
        <f>COUNTIF(A150:A217,A217)</f>
        <v>1</v>
      </c>
      <c r="Q217" s="39">
        <f t="shared" si="20"/>
        <v>42450</v>
      </c>
    </row>
    <row r="218" spans="1:17" hidden="1" x14ac:dyDescent="0.3">
      <c r="A218" t="str">
        <f t="shared" si="18"/>
        <v>SectionA_SampleQTIA523842</v>
      </c>
      <c r="B218" t="s">
        <v>865</v>
      </c>
      <c r="C218" t="s">
        <v>815</v>
      </c>
      <c r="D218" t="s">
        <v>196</v>
      </c>
      <c r="E218">
        <v>5</v>
      </c>
      <c r="F218">
        <v>2</v>
      </c>
      <c r="G218">
        <v>38</v>
      </c>
      <c r="H218">
        <v>42</v>
      </c>
      <c r="I218">
        <v>0</v>
      </c>
      <c r="J218" s="15">
        <v>42455.68246527778</v>
      </c>
      <c r="K218" s="15">
        <v>42455.686481481483</v>
      </c>
      <c r="M218">
        <v>1</v>
      </c>
      <c r="O218" s="17">
        <f t="shared" si="19"/>
        <v>5.7833333336748183</v>
      </c>
      <c r="P218">
        <f>COUNTIF(A124:A218,A218)</f>
        <v>1</v>
      </c>
      <c r="Q218" s="39">
        <f t="shared" si="20"/>
        <v>42455</v>
      </c>
    </row>
    <row r="219" spans="1:17" hidden="1" x14ac:dyDescent="0.3">
      <c r="A219" t="str">
        <f t="shared" si="18"/>
        <v>SectionB_Exam2003251.5213</v>
      </c>
      <c r="B219" t="s">
        <v>869</v>
      </c>
      <c r="C219" t="s">
        <v>828</v>
      </c>
      <c r="D219">
        <v>2003</v>
      </c>
      <c r="E219">
        <v>25</v>
      </c>
      <c r="F219">
        <v>1.5</v>
      </c>
      <c r="G219">
        <v>2</v>
      </c>
      <c r="H219">
        <v>13</v>
      </c>
      <c r="I219">
        <v>1.25</v>
      </c>
      <c r="J219" s="15">
        <v>42471.40215277778</v>
      </c>
      <c r="K219" s="15">
        <v>42471.405393518522</v>
      </c>
      <c r="N219" t="s">
        <v>1422</v>
      </c>
      <c r="O219" s="17">
        <f t="shared" si="19"/>
        <v>4.6666666679084301</v>
      </c>
      <c r="P219">
        <f>COUNTIF(A2:A219,A219)</f>
        <v>1</v>
      </c>
      <c r="Q219" s="39">
        <f t="shared" si="20"/>
        <v>42471</v>
      </c>
    </row>
    <row r="220" spans="1:17" hidden="1" x14ac:dyDescent="0.3">
      <c r="A220" t="str">
        <f t="shared" si="18"/>
        <v>SectionA_Exam2003161.59396</v>
      </c>
      <c r="B220" t="s">
        <v>863</v>
      </c>
      <c r="C220" t="s">
        <v>815</v>
      </c>
      <c r="D220">
        <v>2003</v>
      </c>
      <c r="E220">
        <v>16</v>
      </c>
      <c r="F220">
        <v>1.5</v>
      </c>
      <c r="G220">
        <v>93</v>
      </c>
      <c r="H220">
        <v>96</v>
      </c>
      <c r="I220">
        <v>0</v>
      </c>
      <c r="J220" s="15">
        <v>42471.405393518522</v>
      </c>
      <c r="K220" s="15">
        <v>42471.408252314817</v>
      </c>
      <c r="M220">
        <v>1</v>
      </c>
      <c r="N220" t="s">
        <v>1423</v>
      </c>
      <c r="O220" s="17">
        <f t="shared" si="19"/>
        <v>4.1166666650678962</v>
      </c>
      <c r="P220">
        <f>COUNTIF(A2:A220,A220)</f>
        <v>1</v>
      </c>
      <c r="Q220" s="39">
        <f t="shared" si="20"/>
        <v>42471</v>
      </c>
    </row>
    <row r="221" spans="1:17" hidden="1" x14ac:dyDescent="0.3">
      <c r="A221" t="str">
        <f t="shared" si="18"/>
        <v>SectionB_Exam200992.25620</v>
      </c>
      <c r="B221" t="s">
        <v>869</v>
      </c>
      <c r="C221" t="s">
        <v>828</v>
      </c>
      <c r="D221">
        <v>2009</v>
      </c>
      <c r="E221">
        <v>9</v>
      </c>
      <c r="F221">
        <v>2.25</v>
      </c>
      <c r="G221">
        <v>6</v>
      </c>
      <c r="H221">
        <v>20</v>
      </c>
      <c r="I221">
        <v>0</v>
      </c>
      <c r="J221" s="15">
        <v>42471.408252314817</v>
      </c>
      <c r="K221" s="15">
        <v>42471.422233796293</v>
      </c>
      <c r="M221">
        <v>1</v>
      </c>
      <c r="N221" t="s">
        <v>1424</v>
      </c>
      <c r="O221" s="17">
        <f t="shared" si="19"/>
        <v>20.133333324920386</v>
      </c>
      <c r="P221">
        <f>COUNTIF(A2:A221,A221)</f>
        <v>2</v>
      </c>
      <c r="Q221" s="39">
        <f t="shared" si="20"/>
        <v>42471</v>
      </c>
    </row>
    <row r="222" spans="1:17" hidden="1" x14ac:dyDescent="0.3">
      <c r="A222" t="str">
        <f t="shared" si="18"/>
        <v>SectionB_Exam2004171416</v>
      </c>
      <c r="B222" t="s">
        <v>869</v>
      </c>
      <c r="C222" t="s">
        <v>828</v>
      </c>
      <c r="D222">
        <v>2004</v>
      </c>
      <c r="E222">
        <v>17</v>
      </c>
      <c r="F222">
        <v>1</v>
      </c>
      <c r="G222">
        <v>4</v>
      </c>
      <c r="H222">
        <v>16</v>
      </c>
      <c r="I222">
        <v>1</v>
      </c>
      <c r="J222" s="15">
        <v>42471.422233796293</v>
      </c>
      <c r="K222" s="15">
        <v>42471.422696759262</v>
      </c>
      <c r="O222" s="17">
        <f t="shared" si="19"/>
        <v>0.66666667582467198</v>
      </c>
      <c r="P222">
        <f>COUNTIF(A2:A222,A222)</f>
        <v>1</v>
      </c>
      <c r="Q222" s="39">
        <f t="shared" si="20"/>
        <v>42471</v>
      </c>
    </row>
    <row r="223" spans="1:17" hidden="1" x14ac:dyDescent="0.3">
      <c r="A223" t="str">
        <f t="shared" si="18"/>
        <v>SectionA_Exam20041119496</v>
      </c>
      <c r="B223" t="s">
        <v>863</v>
      </c>
      <c r="C223" t="s">
        <v>815</v>
      </c>
      <c r="D223">
        <v>2004</v>
      </c>
      <c r="E223">
        <v>11</v>
      </c>
      <c r="F223">
        <v>1</v>
      </c>
      <c r="G223">
        <v>94</v>
      </c>
      <c r="H223">
        <v>96</v>
      </c>
      <c r="I223">
        <v>0.5</v>
      </c>
      <c r="J223" s="15">
        <v>42471.422696759262</v>
      </c>
      <c r="K223" s="15">
        <v>42471.424293981479</v>
      </c>
      <c r="M223">
        <v>1</v>
      </c>
      <c r="N223" t="s">
        <v>1425</v>
      </c>
      <c r="O223" s="17">
        <f t="shared" si="19"/>
        <v>2.2999999928288162</v>
      </c>
      <c r="P223">
        <f>COUNTIF(A2:A223,A223)</f>
        <v>1</v>
      </c>
      <c r="Q223" s="39">
        <f t="shared" si="20"/>
        <v>42471</v>
      </c>
    </row>
    <row r="224" spans="1:17" hidden="1" x14ac:dyDescent="0.3">
      <c r="A224" t="str">
        <f t="shared" si="18"/>
        <v>SectionB_Exam2005141517</v>
      </c>
      <c r="B224" t="s">
        <v>869</v>
      </c>
      <c r="C224" t="s">
        <v>828</v>
      </c>
      <c r="D224">
        <v>2005</v>
      </c>
      <c r="E224">
        <v>14</v>
      </c>
      <c r="F224">
        <v>1</v>
      </c>
      <c r="G224">
        <v>5</v>
      </c>
      <c r="H224">
        <v>17</v>
      </c>
      <c r="I224">
        <v>1</v>
      </c>
      <c r="J224" s="15">
        <v>42471.424293981479</v>
      </c>
      <c r="K224" s="15">
        <v>42471.425543981481</v>
      </c>
      <c r="O224" s="17">
        <f t="shared" si="19"/>
        <v>1.8000000016763806</v>
      </c>
      <c r="P224">
        <f>COUNTIF(A2:A224,A224)</f>
        <v>1</v>
      </c>
      <c r="Q224" s="39">
        <f t="shared" si="20"/>
        <v>42471</v>
      </c>
    </row>
    <row r="225" spans="1:17" hidden="1" x14ac:dyDescent="0.3">
      <c r="A225" t="str">
        <f t="shared" si="18"/>
        <v>SectionA_SampleQTIA123739</v>
      </c>
      <c r="B225" t="s">
        <v>865</v>
      </c>
      <c r="C225" t="s">
        <v>815</v>
      </c>
      <c r="D225" t="s">
        <v>196</v>
      </c>
      <c r="E225">
        <v>1</v>
      </c>
      <c r="F225">
        <v>2</v>
      </c>
      <c r="G225">
        <v>37</v>
      </c>
      <c r="H225">
        <v>39</v>
      </c>
      <c r="I225">
        <v>0</v>
      </c>
      <c r="J225" s="15">
        <v>42471.425543981481</v>
      </c>
      <c r="K225" s="15">
        <v>42471.428622685184</v>
      </c>
      <c r="M225">
        <v>1</v>
      </c>
      <c r="N225" t="s">
        <v>1426</v>
      </c>
      <c r="O225" s="17">
        <f t="shared" si="19"/>
        <v>4.4333333324175328</v>
      </c>
      <c r="P225">
        <f>COUNTIF(A2:A225,A225)</f>
        <v>1</v>
      </c>
      <c r="Q225" s="39">
        <f t="shared" si="20"/>
        <v>42471</v>
      </c>
    </row>
    <row r="226" spans="1:17" hidden="1" x14ac:dyDescent="0.3">
      <c r="A226" t="str">
        <f t="shared" si="18"/>
        <v>SectionA_Exam2001110.59396</v>
      </c>
      <c r="B226" t="s">
        <v>863</v>
      </c>
      <c r="C226" t="s">
        <v>815</v>
      </c>
      <c r="D226">
        <v>2001</v>
      </c>
      <c r="E226">
        <v>11</v>
      </c>
      <c r="F226">
        <v>0.5</v>
      </c>
      <c r="G226">
        <v>93</v>
      </c>
      <c r="H226">
        <v>96</v>
      </c>
      <c r="I226">
        <v>0</v>
      </c>
      <c r="J226" s="15">
        <v>42471.428622685184</v>
      </c>
      <c r="K226" s="15">
        <v>42471.429803240739</v>
      </c>
      <c r="M226">
        <v>1</v>
      </c>
      <c r="N226" t="s">
        <v>1427</v>
      </c>
      <c r="O226" s="17">
        <f t="shared" si="19"/>
        <v>1.6999999992549419</v>
      </c>
      <c r="P226">
        <f>COUNTIF(A2:A226,A226)</f>
        <v>1</v>
      </c>
      <c r="Q226" s="39">
        <f t="shared" si="20"/>
        <v>42471</v>
      </c>
    </row>
    <row r="227" spans="1:17" hidden="1" x14ac:dyDescent="0.3">
      <c r="A227" t="str">
        <f t="shared" si="18"/>
        <v>SectionB_Exam2002242.5212</v>
      </c>
      <c r="B227" t="s">
        <v>869</v>
      </c>
      <c r="C227" t="s">
        <v>828</v>
      </c>
      <c r="D227">
        <v>2002</v>
      </c>
      <c r="E227">
        <v>24</v>
      </c>
      <c r="F227">
        <v>2.5</v>
      </c>
      <c r="G227">
        <v>2</v>
      </c>
      <c r="H227">
        <v>12</v>
      </c>
      <c r="I227">
        <v>2.5</v>
      </c>
      <c r="J227" s="15">
        <v>42471.429803240739</v>
      </c>
      <c r="K227" s="15">
        <v>42471.436527777776</v>
      </c>
      <c r="O227" s="17">
        <f t="shared" si="19"/>
        <v>9.6833333338145167</v>
      </c>
      <c r="P227">
        <f>COUNTIF(A2:A227,A227)</f>
        <v>1</v>
      </c>
      <c r="Q227" s="39">
        <f t="shared" si="20"/>
        <v>42471</v>
      </c>
    </row>
    <row r="228" spans="1:17" hidden="1" x14ac:dyDescent="0.3">
      <c r="A228" t="str">
        <f t="shared" si="18"/>
        <v>SectionA_SampleQTIA223740</v>
      </c>
      <c r="B228" t="s">
        <v>865</v>
      </c>
      <c r="C228" t="s">
        <v>815</v>
      </c>
      <c r="D228" t="s">
        <v>196</v>
      </c>
      <c r="E228">
        <v>2</v>
      </c>
      <c r="F228">
        <v>2</v>
      </c>
      <c r="G228">
        <v>37</v>
      </c>
      <c r="H228">
        <v>40</v>
      </c>
      <c r="I228">
        <v>0</v>
      </c>
      <c r="J228" s="15">
        <v>42471.436527777776</v>
      </c>
      <c r="K228" s="15">
        <v>42471.438854166663</v>
      </c>
      <c r="M228">
        <v>1</v>
      </c>
      <c r="N228" t="s">
        <v>1428</v>
      </c>
      <c r="O228" s="17">
        <f t="shared" si="19"/>
        <v>3.3499999972991645</v>
      </c>
      <c r="P228">
        <f>COUNTIF(A2:A228,A228)</f>
        <v>1</v>
      </c>
      <c r="Q228" s="39">
        <f t="shared" si="20"/>
        <v>42471</v>
      </c>
    </row>
    <row r="229" spans="1:17" hidden="1" x14ac:dyDescent="0.3">
      <c r="A229" t="str">
        <f t="shared" si="18"/>
        <v>SectionB_Exam2006123517</v>
      </c>
      <c r="B229" t="s">
        <v>869</v>
      </c>
      <c r="C229" t="s">
        <v>828</v>
      </c>
      <c r="D229">
        <v>2006</v>
      </c>
      <c r="E229">
        <v>12</v>
      </c>
      <c r="F229">
        <v>3</v>
      </c>
      <c r="G229">
        <v>5</v>
      </c>
      <c r="H229">
        <v>17</v>
      </c>
      <c r="I229">
        <v>3</v>
      </c>
      <c r="J229" s="15">
        <v>42472.394942129627</v>
      </c>
      <c r="K229" s="15">
        <v>42472.397314814814</v>
      </c>
      <c r="O229" s="17">
        <f t="shared" si="19"/>
        <v>3.4166666690725833</v>
      </c>
      <c r="P229">
        <f>COUNTIF(A2:A229,A229)</f>
        <v>1</v>
      </c>
      <c r="Q229" s="39">
        <f t="shared" si="20"/>
        <v>42472</v>
      </c>
    </row>
    <row r="230" spans="1:17" hidden="1" x14ac:dyDescent="0.3">
      <c r="A230" t="str">
        <f t="shared" si="18"/>
        <v>SectionA_Exam201052.59497</v>
      </c>
      <c r="B230" t="s">
        <v>863</v>
      </c>
      <c r="C230" t="s">
        <v>815</v>
      </c>
      <c r="D230">
        <v>2010</v>
      </c>
      <c r="E230">
        <v>5</v>
      </c>
      <c r="F230">
        <v>2.5</v>
      </c>
      <c r="G230">
        <v>94</v>
      </c>
      <c r="H230">
        <v>97</v>
      </c>
      <c r="I230">
        <v>1</v>
      </c>
      <c r="J230" s="15">
        <v>42472.397314814814</v>
      </c>
      <c r="K230" s="15">
        <v>42472.432245370372</v>
      </c>
      <c r="M230">
        <v>1</v>
      </c>
      <c r="N230" t="s">
        <v>1429</v>
      </c>
      <c r="O230" s="17">
        <f t="shared" si="19"/>
        <v>50.300000002607703</v>
      </c>
      <c r="P230">
        <f>COUNTIF(A2:A230,A230)</f>
        <v>1</v>
      </c>
      <c r="Q230" s="39">
        <f t="shared" si="20"/>
        <v>42472</v>
      </c>
    </row>
    <row r="231" spans="1:17" hidden="1" x14ac:dyDescent="0.3">
      <c r="A231" t="str">
        <f t="shared" si="18"/>
        <v>SectionB_Exam2008122619</v>
      </c>
      <c r="B231" t="s">
        <v>869</v>
      </c>
      <c r="C231" t="s">
        <v>828</v>
      </c>
      <c r="D231">
        <v>2008</v>
      </c>
      <c r="E231">
        <v>12</v>
      </c>
      <c r="F231">
        <v>2</v>
      </c>
      <c r="G231">
        <v>6</v>
      </c>
      <c r="H231">
        <v>19</v>
      </c>
      <c r="I231">
        <v>2</v>
      </c>
      <c r="J231" s="15">
        <v>42472.432245370372</v>
      </c>
      <c r="K231" s="15">
        <v>42472.434849537036</v>
      </c>
      <c r="O231" s="17">
        <f t="shared" si="19"/>
        <v>3.7499999965075403</v>
      </c>
      <c r="P231">
        <f>COUNTIF(A2:A231,A231)</f>
        <v>1</v>
      </c>
      <c r="Q231" s="39">
        <f t="shared" si="20"/>
        <v>42472</v>
      </c>
    </row>
    <row r="232" spans="1:17" hidden="1" x14ac:dyDescent="0.3">
      <c r="A232" t="str">
        <f t="shared" si="18"/>
        <v>SectionA_Exam20051029497</v>
      </c>
      <c r="B232" t="s">
        <v>863</v>
      </c>
      <c r="C232" t="s">
        <v>815</v>
      </c>
      <c r="D232">
        <v>2005</v>
      </c>
      <c r="E232">
        <v>10</v>
      </c>
      <c r="F232">
        <v>2</v>
      </c>
      <c r="G232">
        <v>94</v>
      </c>
      <c r="H232">
        <v>97</v>
      </c>
      <c r="I232">
        <v>0.5</v>
      </c>
      <c r="J232" s="15">
        <v>42472.434849537036</v>
      </c>
      <c r="K232" s="15">
        <v>42472.445474537039</v>
      </c>
      <c r="M232">
        <v>1</v>
      </c>
      <c r="N232" t="s">
        <v>1430</v>
      </c>
      <c r="O232" s="17">
        <f t="shared" si="19"/>
        <v>15.300000003771856</v>
      </c>
      <c r="P232">
        <f>COUNTIF(A2:A232,A232)</f>
        <v>1</v>
      </c>
      <c r="Q232" s="39">
        <f t="shared" si="20"/>
        <v>42472</v>
      </c>
    </row>
    <row r="233" spans="1:17" hidden="1" x14ac:dyDescent="0.3">
      <c r="A233" t="str">
        <f t="shared" si="18"/>
        <v>SectionB_Exam2004154415</v>
      </c>
      <c r="B233" t="s">
        <v>869</v>
      </c>
      <c r="C233" t="s">
        <v>828</v>
      </c>
      <c r="D233">
        <v>2004</v>
      </c>
      <c r="E233">
        <v>15</v>
      </c>
      <c r="F233">
        <v>4</v>
      </c>
      <c r="G233">
        <v>4</v>
      </c>
      <c r="H233">
        <v>15</v>
      </c>
      <c r="I233">
        <v>4</v>
      </c>
      <c r="J233" s="15">
        <v>42472.445474537039</v>
      </c>
      <c r="K233" s="15">
        <v>42472.474606481483</v>
      </c>
      <c r="O233" s="17">
        <f t="shared" si="19"/>
        <v>41.949999999487773</v>
      </c>
      <c r="P233">
        <f>COUNTIF(A2:A233,A233)</f>
        <v>1</v>
      </c>
      <c r="Q233" s="39">
        <f t="shared" si="20"/>
        <v>42472</v>
      </c>
    </row>
    <row r="234" spans="1:17" hidden="1" x14ac:dyDescent="0.3">
      <c r="A234" t="str">
        <f t="shared" si="18"/>
        <v>SectionB_Exam2004163416</v>
      </c>
      <c r="B234" t="s">
        <v>869</v>
      </c>
      <c r="C234" t="s">
        <v>828</v>
      </c>
      <c r="D234">
        <v>2004</v>
      </c>
      <c r="E234">
        <v>16</v>
      </c>
      <c r="F234">
        <v>3</v>
      </c>
      <c r="G234">
        <v>4</v>
      </c>
      <c r="H234">
        <v>16</v>
      </c>
      <c r="I234">
        <v>1.5</v>
      </c>
      <c r="J234" s="15">
        <v>42472.745312500003</v>
      </c>
      <c r="K234" s="15">
        <v>42472.76934027778</v>
      </c>
      <c r="M234">
        <v>1</v>
      </c>
      <c r="N234" t="s">
        <v>1431</v>
      </c>
      <c r="O234" s="17">
        <f t="shared" si="19"/>
        <v>34.599999999627471</v>
      </c>
      <c r="P234">
        <f>COUNTIF(A2:A234,A234)</f>
        <v>1</v>
      </c>
      <c r="Q234" s="39">
        <f t="shared" si="20"/>
        <v>42472</v>
      </c>
    </row>
    <row r="235" spans="1:17" hidden="1" x14ac:dyDescent="0.3">
      <c r="A235" t="str">
        <f t="shared" si="18"/>
        <v>SectionB_Exam2006111517</v>
      </c>
      <c r="B235" t="s">
        <v>869</v>
      </c>
      <c r="C235" t="s">
        <v>828</v>
      </c>
      <c r="D235">
        <v>2006</v>
      </c>
      <c r="E235">
        <v>11</v>
      </c>
      <c r="F235">
        <v>1</v>
      </c>
      <c r="G235">
        <v>5</v>
      </c>
      <c r="H235">
        <v>17</v>
      </c>
      <c r="I235">
        <v>1</v>
      </c>
      <c r="J235" s="15">
        <v>42472.76934027778</v>
      </c>
      <c r="K235" s="15">
        <v>42472.770173611112</v>
      </c>
      <c r="O235" s="17">
        <f t="shared" si="19"/>
        <v>1.1999999976251274</v>
      </c>
      <c r="P235">
        <f>COUNTIF(A2:A235,A235)</f>
        <v>1</v>
      </c>
      <c r="Q235" s="39">
        <f t="shared" si="20"/>
        <v>42472</v>
      </c>
    </row>
    <row r="236" spans="1:17" hidden="1" x14ac:dyDescent="0.3">
      <c r="A236" t="str">
        <f t="shared" si="18"/>
        <v>SectionB_Exam2001162111</v>
      </c>
      <c r="B236" t="s">
        <v>869</v>
      </c>
      <c r="C236" t="s">
        <v>828</v>
      </c>
      <c r="D236">
        <v>2001</v>
      </c>
      <c r="E236">
        <v>16</v>
      </c>
      <c r="F236">
        <v>2</v>
      </c>
      <c r="G236">
        <v>1</v>
      </c>
      <c r="H236">
        <v>11</v>
      </c>
      <c r="I236">
        <v>2</v>
      </c>
      <c r="J236" s="15">
        <v>42472.770173611112</v>
      </c>
      <c r="K236" s="15">
        <v>42472.773055555554</v>
      </c>
      <c r="O236" s="17">
        <f t="shared" si="19"/>
        <v>4.1499999957159162</v>
      </c>
      <c r="P236">
        <f>COUNTIF(A2:A236,A236)</f>
        <v>2</v>
      </c>
      <c r="Q236" s="39">
        <f t="shared" si="20"/>
        <v>42472</v>
      </c>
    </row>
    <row r="237" spans="1:17" hidden="1" x14ac:dyDescent="0.3">
      <c r="A237" t="str">
        <f t="shared" si="18"/>
        <v>SectionB_Exam2007102518</v>
      </c>
      <c r="B237" t="s">
        <v>869</v>
      </c>
      <c r="C237" t="s">
        <v>828</v>
      </c>
      <c r="D237">
        <v>2007</v>
      </c>
      <c r="E237">
        <v>10</v>
      </c>
      <c r="F237">
        <v>2</v>
      </c>
      <c r="G237">
        <v>5</v>
      </c>
      <c r="H237">
        <v>18</v>
      </c>
      <c r="I237">
        <v>2</v>
      </c>
      <c r="J237" s="15">
        <v>42472.773055555554</v>
      </c>
      <c r="K237" s="15">
        <v>42472.777858796297</v>
      </c>
      <c r="M237">
        <v>1</v>
      </c>
      <c r="N237" t="s">
        <v>1432</v>
      </c>
      <c r="O237" s="17">
        <f t="shared" si="19"/>
        <v>6.9166666700039059</v>
      </c>
      <c r="P237">
        <f>COUNTIF(A2:A237,A237)</f>
        <v>1</v>
      </c>
      <c r="Q237" s="39">
        <f t="shared" si="20"/>
        <v>42472</v>
      </c>
    </row>
    <row r="238" spans="1:17" hidden="1" x14ac:dyDescent="0.3">
      <c r="A238" t="str">
        <f t="shared" si="18"/>
        <v>SectionB_Exam20001442840</v>
      </c>
      <c r="B238" t="s">
        <v>869</v>
      </c>
      <c r="C238" t="s">
        <v>826</v>
      </c>
      <c r="D238">
        <v>2000</v>
      </c>
      <c r="E238">
        <v>14</v>
      </c>
      <c r="F238">
        <v>4</v>
      </c>
      <c r="G238">
        <v>28</v>
      </c>
      <c r="H238">
        <v>40</v>
      </c>
      <c r="I238">
        <v>2</v>
      </c>
      <c r="J238" s="15">
        <v>42472.777858796297</v>
      </c>
      <c r="K238" s="15">
        <v>42472.793067129627</v>
      </c>
      <c r="M238">
        <v>1</v>
      </c>
      <c r="N238" t="s">
        <v>1433</v>
      </c>
      <c r="O238" s="17">
        <f t="shared" si="19"/>
        <v>21.899999995948747</v>
      </c>
      <c r="P238">
        <f>COUNTIF(A2:A238,A238)</f>
        <v>1</v>
      </c>
      <c r="Q238" s="39">
        <f t="shared" si="20"/>
        <v>42472</v>
      </c>
    </row>
    <row r="239" spans="1:17" hidden="1" x14ac:dyDescent="0.3">
      <c r="A239" t="str">
        <f t="shared" si="18"/>
        <v>SectionB_Exam201222822</v>
      </c>
      <c r="B239" t="s">
        <v>869</v>
      </c>
      <c r="C239" t="s">
        <v>828</v>
      </c>
      <c r="D239">
        <v>2012</v>
      </c>
      <c r="E239">
        <v>2</v>
      </c>
      <c r="F239">
        <v>2</v>
      </c>
      <c r="G239">
        <v>8</v>
      </c>
      <c r="H239">
        <v>22</v>
      </c>
      <c r="I239">
        <v>1</v>
      </c>
      <c r="J239" s="15">
        <v>42472.793067129627</v>
      </c>
      <c r="K239" s="15">
        <v>42472.804467592592</v>
      </c>
      <c r="M239">
        <v>1</v>
      </c>
      <c r="O239" s="17">
        <f t="shared" si="19"/>
        <v>16.416666669538245</v>
      </c>
      <c r="P239">
        <f>COUNTIF(A2:A239,A239)</f>
        <v>1</v>
      </c>
      <c r="Q239" s="39">
        <f t="shared" si="20"/>
        <v>42472</v>
      </c>
    </row>
    <row r="240" spans="1:17" hidden="1" x14ac:dyDescent="0.3">
      <c r="A240" t="str">
        <f t="shared" si="18"/>
        <v>SectionB_Exam200961.25619</v>
      </c>
      <c r="B240" t="s">
        <v>869</v>
      </c>
      <c r="C240" t="s">
        <v>828</v>
      </c>
      <c r="D240">
        <v>2009</v>
      </c>
      <c r="E240">
        <v>6</v>
      </c>
      <c r="F240">
        <v>1.25</v>
      </c>
      <c r="G240">
        <v>6</v>
      </c>
      <c r="H240">
        <v>19</v>
      </c>
      <c r="I240">
        <v>0.25</v>
      </c>
      <c r="J240" s="15">
        <v>42472.804467592592</v>
      </c>
      <c r="K240" s="15">
        <v>42472.808900462966</v>
      </c>
      <c r="M240">
        <v>1</v>
      </c>
      <c r="N240" t="s">
        <v>1434</v>
      </c>
      <c r="O240" s="17">
        <f t="shared" si="19"/>
        <v>6.3833333377260715</v>
      </c>
      <c r="P240">
        <f>COUNTIF(A2:A240,A240)</f>
        <v>2</v>
      </c>
      <c r="Q240" s="39">
        <f t="shared" si="20"/>
        <v>42472</v>
      </c>
    </row>
    <row r="241" spans="1:17" ht="57.6" hidden="1" x14ac:dyDescent="0.3">
      <c r="A241" t="str">
        <f t="shared" si="18"/>
        <v>SectionB_Exam201152.253654</v>
      </c>
      <c r="B241" t="s">
        <v>869</v>
      </c>
      <c r="C241" t="s">
        <v>826</v>
      </c>
      <c r="D241">
        <v>2011</v>
      </c>
      <c r="E241">
        <v>5</v>
      </c>
      <c r="F241">
        <v>2.25</v>
      </c>
      <c r="G241">
        <v>36</v>
      </c>
      <c r="H241">
        <v>54</v>
      </c>
      <c r="I241">
        <v>1.75</v>
      </c>
      <c r="J241" s="15">
        <v>42473.401250000003</v>
      </c>
      <c r="K241" s="15">
        <v>42473.414456018516</v>
      </c>
      <c r="M241">
        <v>1</v>
      </c>
      <c r="N241" s="104" t="s">
        <v>1437</v>
      </c>
      <c r="O241" s="17">
        <f t="shared" si="19"/>
        <v>19.016666659153998</v>
      </c>
      <c r="P241">
        <f>COUNTIF(A2:A241,A241)</f>
        <v>1</v>
      </c>
      <c r="Q241" s="39">
        <f t="shared" si="20"/>
        <v>42473</v>
      </c>
    </row>
    <row r="242" spans="1:17" hidden="1" x14ac:dyDescent="0.3">
      <c r="A242" t="str">
        <f t="shared" si="18"/>
        <v>SectionB_Exam201171.253655</v>
      </c>
      <c r="B242" t="s">
        <v>869</v>
      </c>
      <c r="C242" t="s">
        <v>826</v>
      </c>
      <c r="D242">
        <v>2011</v>
      </c>
      <c r="E242">
        <v>7</v>
      </c>
      <c r="F242">
        <v>1.25</v>
      </c>
      <c r="G242">
        <v>36</v>
      </c>
      <c r="H242">
        <v>55</v>
      </c>
      <c r="I242">
        <v>0.25</v>
      </c>
      <c r="J242" s="15">
        <v>42473.414456018516</v>
      </c>
      <c r="K242" s="15">
        <v>42473.421631944446</v>
      </c>
      <c r="M242">
        <v>1</v>
      </c>
      <c r="N242" t="s">
        <v>1438</v>
      </c>
      <c r="O242" s="17">
        <f t="shared" si="19"/>
        <v>10.333333339076489</v>
      </c>
      <c r="P242">
        <f>COUNTIF(A2:A242,A242)</f>
        <v>1</v>
      </c>
      <c r="Q242" s="39">
        <f t="shared" si="20"/>
        <v>42473</v>
      </c>
    </row>
    <row r="243" spans="1:17" hidden="1" x14ac:dyDescent="0.3">
      <c r="A243" t="str">
        <f t="shared" si="18"/>
        <v>SectionC_Exam2008162.25312</v>
      </c>
      <c r="B243" t="s">
        <v>870</v>
      </c>
      <c r="C243" t="s">
        <v>818</v>
      </c>
      <c r="D243">
        <v>2008</v>
      </c>
      <c r="E243">
        <v>16</v>
      </c>
      <c r="F243">
        <v>2.25</v>
      </c>
      <c r="G243">
        <v>3</v>
      </c>
      <c r="H243">
        <v>12</v>
      </c>
      <c r="I243">
        <v>0</v>
      </c>
      <c r="J243" s="15">
        <v>42475.406087962961</v>
      </c>
      <c r="K243" s="15">
        <v>42475.466585648152</v>
      </c>
      <c r="M243">
        <v>1</v>
      </c>
      <c r="N243" t="s">
        <v>1456</v>
      </c>
      <c r="O243" s="17">
        <f t="shared" si="19"/>
        <v>87.11666667368263</v>
      </c>
      <c r="P243">
        <f>COUNTIF(A1:A243,A243)</f>
        <v>1</v>
      </c>
      <c r="Q243" s="39">
        <f t="shared" si="20"/>
        <v>42475</v>
      </c>
    </row>
    <row r="244" spans="1:17" hidden="1" x14ac:dyDescent="0.3">
      <c r="A244" t="str">
        <f t="shared" si="18"/>
        <v>SectionC_Exam2008141.5312</v>
      </c>
      <c r="B244" t="s">
        <v>870</v>
      </c>
      <c r="C244" t="s">
        <v>818</v>
      </c>
      <c r="D244">
        <v>2008</v>
      </c>
      <c r="E244">
        <v>14</v>
      </c>
      <c r="F244">
        <v>1.5</v>
      </c>
      <c r="G244">
        <v>3</v>
      </c>
      <c r="H244">
        <v>12</v>
      </c>
      <c r="I244">
        <v>0.5</v>
      </c>
      <c r="J244" s="15">
        <v>42479.754155092596</v>
      </c>
      <c r="K244" s="15">
        <v>42479.761354166665</v>
      </c>
      <c r="M244">
        <v>1</v>
      </c>
      <c r="N244" t="s">
        <v>1485</v>
      </c>
      <c r="O244" s="17">
        <f t="shared" si="19"/>
        <v>10.36666665924713</v>
      </c>
      <c r="P244">
        <f>COUNTIF(A1:A244,A244)</f>
        <v>1</v>
      </c>
      <c r="Q244" s="39">
        <f t="shared" si="20"/>
        <v>42479</v>
      </c>
    </row>
    <row r="245" spans="1:17" hidden="1" x14ac:dyDescent="0.3">
      <c r="A245" t="str">
        <f t="shared" si="18"/>
        <v>SectionC_Exam2009134413</v>
      </c>
      <c r="B245" t="s">
        <v>870</v>
      </c>
      <c r="C245" t="s">
        <v>818</v>
      </c>
      <c r="D245">
        <v>2009</v>
      </c>
      <c r="E245">
        <v>13</v>
      </c>
      <c r="F245">
        <v>4</v>
      </c>
      <c r="G245">
        <v>4</v>
      </c>
      <c r="H245">
        <v>13</v>
      </c>
      <c r="I245">
        <v>2</v>
      </c>
      <c r="J245" s="15">
        <v>42476.446689814817</v>
      </c>
      <c r="K245" s="15">
        <v>42476.468587962961</v>
      </c>
      <c r="M245">
        <v>1</v>
      </c>
      <c r="N245" t="s">
        <v>1459</v>
      </c>
      <c r="O245" s="17">
        <f t="shared" si="19"/>
        <v>31.533333328552544</v>
      </c>
      <c r="P245">
        <f>COUNTIF(A1:A245,A245)</f>
        <v>1</v>
      </c>
      <c r="Q245" s="39">
        <f t="shared" si="20"/>
        <v>42476</v>
      </c>
    </row>
    <row r="246" spans="1:17" hidden="1" x14ac:dyDescent="0.3">
      <c r="A246" t="str">
        <f t="shared" si="18"/>
        <v>SectionB_Exam2008202.53349</v>
      </c>
      <c r="B246" t="s">
        <v>869</v>
      </c>
      <c r="C246" t="s">
        <v>826</v>
      </c>
      <c r="D246">
        <v>2008</v>
      </c>
      <c r="E246">
        <v>20</v>
      </c>
      <c r="F246">
        <v>2.5</v>
      </c>
      <c r="G246">
        <v>33</v>
      </c>
      <c r="H246">
        <v>49</v>
      </c>
      <c r="I246">
        <v>0.5</v>
      </c>
      <c r="J246" s="15">
        <v>42473.714745370373</v>
      </c>
      <c r="K246" s="15">
        <v>42473.729675925926</v>
      </c>
      <c r="M246">
        <v>1</v>
      </c>
      <c r="N246" t="s">
        <v>1441</v>
      </c>
      <c r="O246" s="17">
        <f t="shared" si="19"/>
        <v>21.499999996740371</v>
      </c>
      <c r="P246">
        <f>COUNTIF(A2:A246,A246)</f>
        <v>1</v>
      </c>
      <c r="Q246" s="39">
        <f t="shared" si="20"/>
        <v>42473</v>
      </c>
    </row>
    <row r="247" spans="1:17" hidden="1" x14ac:dyDescent="0.3">
      <c r="A247" t="str">
        <f t="shared" si="18"/>
        <v>SectionB_Exam2001272112</v>
      </c>
      <c r="B247" t="s">
        <v>869</v>
      </c>
      <c r="C247" t="s">
        <v>828</v>
      </c>
      <c r="D247">
        <v>2001</v>
      </c>
      <c r="E247">
        <v>27</v>
      </c>
      <c r="F247">
        <v>2</v>
      </c>
      <c r="G247">
        <v>1</v>
      </c>
      <c r="H247">
        <v>12</v>
      </c>
      <c r="I247">
        <v>2</v>
      </c>
      <c r="J247" s="15">
        <v>42473.729675925926</v>
      </c>
      <c r="K247" s="15">
        <v>42473.733680555553</v>
      </c>
      <c r="O247" s="17">
        <f t="shared" si="19"/>
        <v>5.7666666631121188</v>
      </c>
      <c r="P247">
        <f>COUNTIF(A2:A247,A247)</f>
        <v>2</v>
      </c>
      <c r="Q247" s="39">
        <f t="shared" si="20"/>
        <v>42473</v>
      </c>
    </row>
    <row r="248" spans="1:17" hidden="1" x14ac:dyDescent="0.3">
      <c r="A248" t="str">
        <f t="shared" si="18"/>
        <v>SectionB_Exam2008301.53451</v>
      </c>
      <c r="B248" t="s">
        <v>869</v>
      </c>
      <c r="C248" t="s">
        <v>826</v>
      </c>
      <c r="D248">
        <v>2008</v>
      </c>
      <c r="E248">
        <v>30</v>
      </c>
      <c r="F248">
        <v>1.5</v>
      </c>
      <c r="G248">
        <v>34</v>
      </c>
      <c r="H248">
        <v>51</v>
      </c>
      <c r="I248">
        <v>0</v>
      </c>
      <c r="J248" s="15">
        <v>42473.733680555553</v>
      </c>
      <c r="K248" s="15">
        <v>42473.741666666669</v>
      </c>
      <c r="M248">
        <v>1</v>
      </c>
      <c r="N248" t="s">
        <v>1442</v>
      </c>
      <c r="O248" s="17">
        <f t="shared" si="19"/>
        <v>11.500000006053597</v>
      </c>
      <c r="P248">
        <f>COUNTIF(A2:A248,A248)</f>
        <v>1</v>
      </c>
      <c r="Q248" s="39">
        <f t="shared" si="20"/>
        <v>42473</v>
      </c>
    </row>
    <row r="249" spans="1:17" hidden="1" x14ac:dyDescent="0.3">
      <c r="A249" t="str">
        <f t="shared" si="18"/>
        <v>SectionB_Exam20004028083</v>
      </c>
      <c r="B249" t="s">
        <v>869</v>
      </c>
      <c r="C249" t="s">
        <v>775</v>
      </c>
      <c r="D249">
        <v>2000</v>
      </c>
      <c r="E249">
        <v>40</v>
      </c>
      <c r="F249">
        <v>2</v>
      </c>
      <c r="G249">
        <v>80</v>
      </c>
      <c r="H249">
        <v>83</v>
      </c>
      <c r="I249">
        <v>1</v>
      </c>
      <c r="J249" s="15">
        <v>42473.741666666669</v>
      </c>
      <c r="K249" s="15">
        <v>42473.773287037038</v>
      </c>
      <c r="M249">
        <v>1</v>
      </c>
      <c r="N249" t="s">
        <v>1443</v>
      </c>
      <c r="O249" s="17">
        <f t="shared" si="19"/>
        <v>45.533333332277834</v>
      </c>
      <c r="P249">
        <f>COUNTIF(A2:A249,A249)</f>
        <v>1</v>
      </c>
      <c r="Q249" s="39">
        <f t="shared" si="20"/>
        <v>42473</v>
      </c>
    </row>
    <row r="250" spans="1:17" hidden="1" x14ac:dyDescent="0.3">
      <c r="A250" t="str">
        <f t="shared" si="18"/>
        <v>SectionB_Exam20014238084</v>
      </c>
      <c r="B250" t="s">
        <v>869</v>
      </c>
      <c r="C250" t="s">
        <v>775</v>
      </c>
      <c r="D250">
        <v>2001</v>
      </c>
      <c r="E250">
        <v>42</v>
      </c>
      <c r="F250">
        <v>3</v>
      </c>
      <c r="G250">
        <v>80</v>
      </c>
      <c r="H250">
        <v>84</v>
      </c>
      <c r="I250">
        <v>0</v>
      </c>
      <c r="J250" s="15">
        <v>42473.773287037038</v>
      </c>
      <c r="K250" s="15">
        <v>42473.77553240741</v>
      </c>
      <c r="M250">
        <v>1</v>
      </c>
      <c r="N250" t="s">
        <v>1444</v>
      </c>
      <c r="O250" s="17">
        <f t="shared" si="19"/>
        <v>3.2333333347924054</v>
      </c>
      <c r="P250">
        <f>COUNTIF(A2:A250,A250)</f>
        <v>1</v>
      </c>
      <c r="Q250" s="39">
        <f t="shared" si="20"/>
        <v>42473</v>
      </c>
    </row>
    <row r="251" spans="1:17" hidden="1" x14ac:dyDescent="0.3">
      <c r="A251" t="str">
        <f t="shared" si="18"/>
        <v>SectionB_Exam201261.53756</v>
      </c>
      <c r="B251" t="s">
        <v>869</v>
      </c>
      <c r="C251" t="s">
        <v>826</v>
      </c>
      <c r="D251">
        <v>2012</v>
      </c>
      <c r="E251">
        <v>6</v>
      </c>
      <c r="F251">
        <v>1.5</v>
      </c>
      <c r="G251">
        <v>37</v>
      </c>
      <c r="H251">
        <v>56</v>
      </c>
      <c r="I251">
        <v>1</v>
      </c>
      <c r="J251" s="15">
        <v>42473.77553240741</v>
      </c>
      <c r="K251" s="15">
        <v>42473.802337962959</v>
      </c>
      <c r="M251">
        <v>1</v>
      </c>
      <c r="N251" t="s">
        <v>1445</v>
      </c>
      <c r="O251" s="17">
        <f t="shared" si="19"/>
        <v>38.599999991711229</v>
      </c>
      <c r="P251">
        <f>COUNTIF(A2:A251,A251)</f>
        <v>1</v>
      </c>
      <c r="Q251" s="39">
        <f t="shared" si="20"/>
        <v>42473</v>
      </c>
    </row>
    <row r="252" spans="1:17" hidden="1" x14ac:dyDescent="0.3">
      <c r="A252" t="str">
        <f t="shared" si="18"/>
        <v>SectionB_Exam20062223147</v>
      </c>
      <c r="B252" t="s">
        <v>869</v>
      </c>
      <c r="C252" t="s">
        <v>826</v>
      </c>
      <c r="D252">
        <v>2006</v>
      </c>
      <c r="E252">
        <v>22</v>
      </c>
      <c r="F252">
        <v>2</v>
      </c>
      <c r="G252">
        <v>31</v>
      </c>
      <c r="H252">
        <v>47</v>
      </c>
      <c r="I252">
        <v>1</v>
      </c>
      <c r="J252" s="15">
        <v>42473.802337962959</v>
      </c>
      <c r="K252" s="15">
        <v>42473.809791666667</v>
      </c>
      <c r="M252">
        <v>1</v>
      </c>
      <c r="N252" t="s">
        <v>1446</v>
      </c>
      <c r="O252" s="17">
        <f t="shared" si="19"/>
        <v>10.733333338284865</v>
      </c>
      <c r="P252">
        <f>COUNTIF(A2:A252,A252)</f>
        <v>1</v>
      </c>
      <c r="Q252" s="39">
        <f t="shared" si="20"/>
        <v>42473</v>
      </c>
    </row>
    <row r="253" spans="1:17" hidden="1" x14ac:dyDescent="0.3">
      <c r="A253" t="str">
        <f t="shared" si="18"/>
        <v>SectionB_Exam201161.258186</v>
      </c>
      <c r="B253" t="s">
        <v>869</v>
      </c>
      <c r="C253" t="s">
        <v>775</v>
      </c>
      <c r="D253">
        <v>2011</v>
      </c>
      <c r="E253">
        <v>6</v>
      </c>
      <c r="F253">
        <v>1.25</v>
      </c>
      <c r="G253">
        <v>81</v>
      </c>
      <c r="H253">
        <v>86</v>
      </c>
      <c r="I253">
        <v>1</v>
      </c>
      <c r="J253" s="15">
        <v>42473.809791666667</v>
      </c>
      <c r="K253" s="15">
        <v>42473.814085648148</v>
      </c>
      <c r="M253">
        <v>1</v>
      </c>
      <c r="O253" s="17">
        <f t="shared" si="19"/>
        <v>6.1833333328831941</v>
      </c>
      <c r="P253">
        <f>COUNTIF(A2:A253,A253)</f>
        <v>1</v>
      </c>
      <c r="Q253" s="39">
        <f t="shared" si="20"/>
        <v>42473</v>
      </c>
    </row>
    <row r="254" spans="1:17" hidden="1" x14ac:dyDescent="0.3">
      <c r="A254" t="str">
        <f t="shared" si="18"/>
        <v>SectionB_Exam2002532841</v>
      </c>
      <c r="B254" t="s">
        <v>869</v>
      </c>
      <c r="C254" t="s">
        <v>826</v>
      </c>
      <c r="D254">
        <v>2002</v>
      </c>
      <c r="E254">
        <v>5</v>
      </c>
      <c r="F254">
        <v>3</v>
      </c>
      <c r="G254">
        <v>28</v>
      </c>
      <c r="H254">
        <v>41</v>
      </c>
      <c r="I254">
        <v>3</v>
      </c>
      <c r="J254" s="15">
        <v>42473.824502314812</v>
      </c>
      <c r="K254" s="15">
        <v>42473.829953703702</v>
      </c>
      <c r="O254" s="17">
        <f t="shared" si="19"/>
        <v>7.8500000014901161</v>
      </c>
      <c r="P254">
        <f>COUNTIF(A2:A254,A254)</f>
        <v>1</v>
      </c>
      <c r="Q254" s="39">
        <f t="shared" si="20"/>
        <v>42473</v>
      </c>
    </row>
    <row r="255" spans="1:17" hidden="1" x14ac:dyDescent="0.3">
      <c r="A255" t="str">
        <f t="shared" si="18"/>
        <v>SectionB_Exam20023428184</v>
      </c>
      <c r="B255" t="s">
        <v>869</v>
      </c>
      <c r="C255" t="s">
        <v>775</v>
      </c>
      <c r="D255">
        <v>2002</v>
      </c>
      <c r="E255">
        <v>34</v>
      </c>
      <c r="F255">
        <v>2</v>
      </c>
      <c r="G255">
        <v>81</v>
      </c>
      <c r="H255">
        <v>84</v>
      </c>
      <c r="I255">
        <v>2</v>
      </c>
      <c r="J255" s="15">
        <v>42473.829953703702</v>
      </c>
      <c r="K255" s="15">
        <v>42473.837627314817</v>
      </c>
      <c r="O255" s="17">
        <f t="shared" si="19"/>
        <v>11.050000005634502</v>
      </c>
      <c r="P255">
        <f>COUNTIF(A2:A255,A255)</f>
        <v>1</v>
      </c>
      <c r="Q255" s="39">
        <f t="shared" si="20"/>
        <v>42473</v>
      </c>
    </row>
    <row r="256" spans="1:17" hidden="1" x14ac:dyDescent="0.3">
      <c r="A256" t="str">
        <f t="shared" si="18"/>
        <v>SectionB_Exam20102223553</v>
      </c>
      <c r="B256" t="s">
        <v>869</v>
      </c>
      <c r="C256" t="s">
        <v>826</v>
      </c>
      <c r="D256">
        <v>2010</v>
      </c>
      <c r="E256">
        <v>22</v>
      </c>
      <c r="F256">
        <v>2</v>
      </c>
      <c r="G256">
        <v>35</v>
      </c>
      <c r="H256">
        <v>53</v>
      </c>
      <c r="I256">
        <v>1.5</v>
      </c>
      <c r="J256" s="15">
        <v>42473.837627314817</v>
      </c>
      <c r="K256" s="15">
        <v>42473.842152777775</v>
      </c>
      <c r="N256" t="s">
        <v>1447</v>
      </c>
      <c r="O256" s="17">
        <f t="shared" si="19"/>
        <v>6.5166666603181511</v>
      </c>
      <c r="P256">
        <f>COUNTIF(A2:A256,A256)</f>
        <v>1</v>
      </c>
      <c r="Q256" s="39">
        <f t="shared" si="20"/>
        <v>42473</v>
      </c>
    </row>
    <row r="257" spans="1:17" hidden="1" x14ac:dyDescent="0.3">
      <c r="A257" t="str">
        <f t="shared" si="18"/>
        <v>SectionB_Exam20043213045</v>
      </c>
      <c r="B257" t="s">
        <v>869</v>
      </c>
      <c r="C257" t="s">
        <v>826</v>
      </c>
      <c r="D257">
        <v>2004</v>
      </c>
      <c r="E257">
        <v>32</v>
      </c>
      <c r="F257">
        <v>1</v>
      </c>
      <c r="G257">
        <v>30</v>
      </c>
      <c r="H257">
        <v>45</v>
      </c>
      <c r="I257">
        <v>1</v>
      </c>
      <c r="J257" s="15">
        <v>42473.842152777775</v>
      </c>
      <c r="K257" s="15">
        <v>42473.845219907409</v>
      </c>
      <c r="O257" s="17">
        <f t="shared" si="19"/>
        <v>4.4166666723322123</v>
      </c>
      <c r="P257">
        <f>COUNTIF(A2:A257,A257)</f>
        <v>1</v>
      </c>
      <c r="Q257" s="39">
        <f t="shared" si="20"/>
        <v>42473</v>
      </c>
    </row>
    <row r="258" spans="1:17" hidden="1" x14ac:dyDescent="0.3">
      <c r="A258" t="str">
        <f t="shared" si="18"/>
        <v>SectionB_Exam20062023146</v>
      </c>
      <c r="B258" t="s">
        <v>869</v>
      </c>
      <c r="C258" t="s">
        <v>826</v>
      </c>
      <c r="D258">
        <v>2006</v>
      </c>
      <c r="E258">
        <v>20</v>
      </c>
      <c r="F258">
        <v>2</v>
      </c>
      <c r="G258">
        <v>31</v>
      </c>
      <c r="H258">
        <v>46</v>
      </c>
      <c r="I258">
        <v>2</v>
      </c>
      <c r="J258" s="15">
        <v>42473.845219907409</v>
      </c>
      <c r="K258" s="15">
        <v>42473.850451388891</v>
      </c>
      <c r="O258" s="17">
        <f t="shared" si="19"/>
        <v>7.5333333341404796</v>
      </c>
      <c r="P258">
        <f>COUNTIF(A2:A258,A258)</f>
        <v>1</v>
      </c>
      <c r="Q258" s="39">
        <f t="shared" si="20"/>
        <v>42473</v>
      </c>
    </row>
    <row r="259" spans="1:17" hidden="1" x14ac:dyDescent="0.3">
      <c r="A259" t="str">
        <f t="shared" si="18"/>
        <v>SectionB_Exam2008211.53350</v>
      </c>
      <c r="B259" t="s">
        <v>869</v>
      </c>
      <c r="C259" t="s">
        <v>826</v>
      </c>
      <c r="D259">
        <v>2008</v>
      </c>
      <c r="E259">
        <v>21</v>
      </c>
      <c r="F259">
        <v>1.5</v>
      </c>
      <c r="G259">
        <v>33</v>
      </c>
      <c r="H259">
        <v>50</v>
      </c>
      <c r="I259">
        <v>1.5</v>
      </c>
      <c r="J259" s="15">
        <v>42473.850451388891</v>
      </c>
      <c r="K259" s="15">
        <v>42473.854328703703</v>
      </c>
      <c r="O259" s="17">
        <f t="shared" si="19"/>
        <v>5.5833333288319409</v>
      </c>
      <c r="P259">
        <f>COUNTIF(A2:A259,A259)</f>
        <v>1</v>
      </c>
      <c r="Q259" s="39">
        <f t="shared" si="20"/>
        <v>42473</v>
      </c>
    </row>
    <row r="260" spans="1:17" hidden="1" x14ac:dyDescent="0.3">
      <c r="A260" t="str">
        <f t="shared" si="18"/>
        <v>SectionB_Exam20063123247</v>
      </c>
      <c r="B260" t="s">
        <v>869</v>
      </c>
      <c r="C260" t="s">
        <v>826</v>
      </c>
      <c r="D260">
        <v>2006</v>
      </c>
      <c r="E260">
        <v>31</v>
      </c>
      <c r="F260">
        <v>2</v>
      </c>
      <c r="G260">
        <v>32</v>
      </c>
      <c r="H260">
        <v>47</v>
      </c>
      <c r="I260">
        <v>0</v>
      </c>
      <c r="J260" s="15">
        <v>42473.854328703703</v>
      </c>
      <c r="K260" s="15">
        <v>42473.859988425924</v>
      </c>
      <c r="M260">
        <v>1</v>
      </c>
      <c r="N260" t="s">
        <v>1448</v>
      </c>
      <c r="O260" s="17">
        <f t="shared" si="19"/>
        <v>8.1499999982770532</v>
      </c>
      <c r="P260">
        <f>COUNTIF(A2:A260,A260)</f>
        <v>1</v>
      </c>
      <c r="Q260" s="39">
        <f t="shared" si="20"/>
        <v>42473</v>
      </c>
    </row>
    <row r="261" spans="1:17" hidden="1" x14ac:dyDescent="0.3">
      <c r="A261" t="str">
        <f t="shared" si="18"/>
        <v>SectionB_Exam201180.753756</v>
      </c>
      <c r="B261" t="s">
        <v>869</v>
      </c>
      <c r="C261" t="s">
        <v>826</v>
      </c>
      <c r="D261">
        <v>2011</v>
      </c>
      <c r="E261">
        <v>8</v>
      </c>
      <c r="F261">
        <v>0.75</v>
      </c>
      <c r="G261">
        <v>37</v>
      </c>
      <c r="H261">
        <v>56</v>
      </c>
      <c r="I261">
        <v>0.25</v>
      </c>
      <c r="J261" s="15">
        <v>42473.859988425924</v>
      </c>
      <c r="K261" s="15">
        <v>42473.871168981481</v>
      </c>
      <c r="M261">
        <v>1</v>
      </c>
      <c r="O261" s="17">
        <f t="shared" si="19"/>
        <v>16.100000002188608</v>
      </c>
      <c r="P261">
        <f>COUNTIF(A2:A261,A261)</f>
        <v>1</v>
      </c>
      <c r="Q261" s="39">
        <f t="shared" si="20"/>
        <v>42473</v>
      </c>
    </row>
    <row r="262" spans="1:17" hidden="1" x14ac:dyDescent="0.3">
      <c r="A262" t="str">
        <f t="shared" si="18"/>
        <v>SectionB_Exam201253.759195</v>
      </c>
      <c r="B262" t="s">
        <v>869</v>
      </c>
      <c r="C262" t="s">
        <v>776</v>
      </c>
      <c r="D262">
        <v>2012</v>
      </c>
      <c r="E262">
        <v>5</v>
      </c>
      <c r="F262">
        <v>3.75</v>
      </c>
      <c r="G262">
        <v>91</v>
      </c>
      <c r="H262">
        <v>95</v>
      </c>
      <c r="I262">
        <v>0</v>
      </c>
      <c r="J262" s="15">
        <v>42474.422800925924</v>
      </c>
      <c r="K262" s="15">
        <v>42474.44976851852</v>
      </c>
      <c r="M262">
        <v>1</v>
      </c>
      <c r="N262" t="s">
        <v>1449</v>
      </c>
      <c r="O262" s="17">
        <f t="shared" si="19"/>
        <v>38.833333337679505</v>
      </c>
      <c r="P262">
        <f>COUNTIF(A2:A262,A262)</f>
        <v>1</v>
      </c>
      <c r="Q262" s="39">
        <f t="shared" si="20"/>
        <v>42474</v>
      </c>
    </row>
    <row r="263" spans="1:17" hidden="1" x14ac:dyDescent="0.3">
      <c r="A263" t="str">
        <f t="shared" si="18"/>
        <v>SectionB_Exam20043326370</v>
      </c>
      <c r="B263" t="s">
        <v>869</v>
      </c>
      <c r="C263" t="s">
        <v>767</v>
      </c>
      <c r="D263">
        <v>2004</v>
      </c>
      <c r="E263">
        <v>33</v>
      </c>
      <c r="F263">
        <v>2</v>
      </c>
      <c r="G263">
        <v>63</v>
      </c>
      <c r="H263">
        <v>70</v>
      </c>
      <c r="I263">
        <v>2</v>
      </c>
      <c r="J263" s="15">
        <v>42474.792013888888</v>
      </c>
      <c r="K263" s="15">
        <v>42474.793657407405</v>
      </c>
      <c r="O263" s="17">
        <f t="shared" si="19"/>
        <v>2.366666664602235</v>
      </c>
      <c r="P263">
        <f>COUNTIF(A1:A263,A263)</f>
        <v>1</v>
      </c>
      <c r="Q263" s="39">
        <f t="shared" si="20"/>
        <v>42474</v>
      </c>
    </row>
    <row r="264" spans="1:17" hidden="1" x14ac:dyDescent="0.3">
      <c r="A264" t="str">
        <f t="shared" si="18"/>
        <v>SectionB_Exam20063226371</v>
      </c>
      <c r="B264" t="s">
        <v>869</v>
      </c>
      <c r="C264" t="s">
        <v>767</v>
      </c>
      <c r="D264">
        <v>2006</v>
      </c>
      <c r="E264">
        <v>32</v>
      </c>
      <c r="F264">
        <v>2</v>
      </c>
      <c r="G264">
        <v>63</v>
      </c>
      <c r="H264">
        <v>71</v>
      </c>
      <c r="I264">
        <v>1.5</v>
      </c>
      <c r="J264" s="15">
        <v>42474.758391203701</v>
      </c>
      <c r="K264" s="15">
        <v>42474.761736111112</v>
      </c>
      <c r="N264" t="s">
        <v>1451</v>
      </c>
      <c r="O264" s="17">
        <f t="shared" si="19"/>
        <v>4.8166666715405881</v>
      </c>
      <c r="P264">
        <f>COUNTIF(A2:A264,A264)</f>
        <v>1</v>
      </c>
      <c r="Q264" s="39">
        <f t="shared" si="20"/>
        <v>42474</v>
      </c>
    </row>
    <row r="265" spans="1:17" hidden="1" x14ac:dyDescent="0.3">
      <c r="A265" t="str">
        <f t="shared" si="18"/>
        <v>SectionB_Exam20072836372</v>
      </c>
      <c r="B265" t="s">
        <v>869</v>
      </c>
      <c r="C265" t="s">
        <v>767</v>
      </c>
      <c r="D265">
        <v>2007</v>
      </c>
      <c r="E265">
        <v>28</v>
      </c>
      <c r="F265">
        <v>3</v>
      </c>
      <c r="G265">
        <v>63</v>
      </c>
      <c r="H265">
        <v>72</v>
      </c>
      <c r="I265">
        <v>3</v>
      </c>
      <c r="J265" s="15">
        <v>42474.793657407405</v>
      </c>
      <c r="K265" s="15">
        <v>42474.795034722221</v>
      </c>
      <c r="O265" s="17">
        <f t="shared" si="19"/>
        <v>1.9833333359565586</v>
      </c>
      <c r="P265">
        <f>COUNTIF(A1:A265,A265)</f>
        <v>1</v>
      </c>
      <c r="Q265" s="39">
        <f t="shared" si="20"/>
        <v>42474</v>
      </c>
    </row>
    <row r="266" spans="1:17" hidden="1" x14ac:dyDescent="0.3">
      <c r="A266" t="str">
        <f t="shared" si="18"/>
        <v>SectionB_Exam2008311.756372</v>
      </c>
      <c r="B266" t="s">
        <v>869</v>
      </c>
      <c r="C266" t="s">
        <v>767</v>
      </c>
      <c r="D266">
        <v>2008</v>
      </c>
      <c r="E266">
        <v>31</v>
      </c>
      <c r="F266">
        <v>1.75</v>
      </c>
      <c r="G266">
        <v>63</v>
      </c>
      <c r="H266">
        <v>72</v>
      </c>
      <c r="I266">
        <v>1.75</v>
      </c>
      <c r="J266" s="15">
        <v>42474.786435185182</v>
      </c>
      <c r="K266" s="15">
        <v>42474.792013888888</v>
      </c>
      <c r="O266" s="17">
        <f t="shared" si="19"/>
        <v>8.0333333357702941</v>
      </c>
      <c r="P266">
        <f>COUNTIF(A1:A266,A266)</f>
        <v>1</v>
      </c>
      <c r="Q266" s="39">
        <f t="shared" si="20"/>
        <v>42474</v>
      </c>
    </row>
    <row r="267" spans="1:17" hidden="1" x14ac:dyDescent="0.3">
      <c r="A267" t="str">
        <f t="shared" si="18"/>
        <v>SectionB_Exam2009271.256473</v>
      </c>
      <c r="B267" t="s">
        <v>869</v>
      </c>
      <c r="C267" t="s">
        <v>767</v>
      </c>
      <c r="D267">
        <v>2009</v>
      </c>
      <c r="E267">
        <v>27</v>
      </c>
      <c r="F267">
        <v>1.25</v>
      </c>
      <c r="G267">
        <v>64</v>
      </c>
      <c r="H267">
        <v>73</v>
      </c>
      <c r="I267">
        <v>1.25</v>
      </c>
      <c r="J267" s="15">
        <v>42474.774583333332</v>
      </c>
      <c r="K267" s="15">
        <v>42474.776122685187</v>
      </c>
      <c r="O267" s="17">
        <f t="shared" si="19"/>
        <v>2.2166666714474559</v>
      </c>
      <c r="P267">
        <f>COUNTIF(A3:A267,A267)</f>
        <v>1</v>
      </c>
      <c r="Q267" s="39">
        <f t="shared" si="20"/>
        <v>42474</v>
      </c>
    </row>
    <row r="268" spans="1:17" hidden="1" x14ac:dyDescent="0.3">
      <c r="A268" t="str">
        <f t="shared" ref="A268:A311" si="21">(B268&amp;D268&amp;E268&amp;F268&amp;G268&amp;H268)</f>
        <v>SectionB_Exam2009261.256473</v>
      </c>
      <c r="B268" t="s">
        <v>869</v>
      </c>
      <c r="C268" t="s">
        <v>767</v>
      </c>
      <c r="D268">
        <v>2009</v>
      </c>
      <c r="E268">
        <v>26</v>
      </c>
      <c r="F268">
        <v>1.25</v>
      </c>
      <c r="G268">
        <v>64</v>
      </c>
      <c r="H268">
        <v>73</v>
      </c>
      <c r="I268">
        <v>1.25</v>
      </c>
      <c r="J268" s="15">
        <v>42474.778553240743</v>
      </c>
      <c r="K268" s="15">
        <v>42474.780497685184</v>
      </c>
      <c r="O268" s="17">
        <f t="shared" ref="O268:O311" si="22">(K268-J268)*60*24</f>
        <v>2.7999999944586307</v>
      </c>
      <c r="P268">
        <f>COUNTIF(A2:A268,A268)</f>
        <v>1</v>
      </c>
      <c r="Q268" s="39">
        <f t="shared" ref="Q268:Q311" si="23">DATE(YEAR(J268),MONTH(J268),DAY(J268))</f>
        <v>42474</v>
      </c>
    </row>
    <row r="269" spans="1:17" hidden="1" x14ac:dyDescent="0.3">
      <c r="A269" t="str">
        <f t="shared" si="21"/>
        <v>SectionB_Exam2010211.256574</v>
      </c>
      <c r="B269" t="s">
        <v>869</v>
      </c>
      <c r="C269" t="s">
        <v>767</v>
      </c>
      <c r="D269">
        <v>2010</v>
      </c>
      <c r="E269">
        <v>21</v>
      </c>
      <c r="F269">
        <v>1.25</v>
      </c>
      <c r="G269">
        <v>65</v>
      </c>
      <c r="H269">
        <v>74</v>
      </c>
      <c r="I269">
        <v>1.25</v>
      </c>
      <c r="J269" s="15">
        <v>42448.489444444444</v>
      </c>
      <c r="K269" s="15">
        <v>42448.494768518518</v>
      </c>
      <c r="N269" t="s">
        <v>1111</v>
      </c>
      <c r="O269" s="17">
        <f t="shared" si="22"/>
        <v>7.6666666672099382</v>
      </c>
      <c r="P269">
        <f>COUNTIF(A217:A269,A269)</f>
        <v>1</v>
      </c>
      <c r="Q269" s="39">
        <f t="shared" si="23"/>
        <v>42448</v>
      </c>
    </row>
    <row r="270" spans="1:17" hidden="1" x14ac:dyDescent="0.3">
      <c r="A270" t="str">
        <f t="shared" si="21"/>
        <v>SectionB_Exam201241.756574</v>
      </c>
      <c r="B270" t="s">
        <v>869</v>
      </c>
      <c r="C270" t="s">
        <v>767</v>
      </c>
      <c r="D270">
        <v>2012</v>
      </c>
      <c r="E270">
        <v>4</v>
      </c>
      <c r="F270">
        <v>1.75</v>
      </c>
      <c r="G270">
        <v>65</v>
      </c>
      <c r="H270">
        <v>74</v>
      </c>
      <c r="I270">
        <v>1.5</v>
      </c>
      <c r="J270" s="15">
        <v>42474.44976851852</v>
      </c>
      <c r="K270" s="15">
        <v>42474.453020833331</v>
      </c>
      <c r="M270">
        <v>1</v>
      </c>
      <c r="N270" t="s">
        <v>1450</v>
      </c>
      <c r="O270" s="17">
        <f t="shared" si="22"/>
        <v>4.6833333279937506</v>
      </c>
      <c r="P270">
        <f>COUNTIF(A9:A270,A270)</f>
        <v>1</v>
      </c>
      <c r="Q270" s="39">
        <f t="shared" si="23"/>
        <v>42474</v>
      </c>
    </row>
    <row r="271" spans="1:17" hidden="1" x14ac:dyDescent="0.3">
      <c r="A271" t="str">
        <f t="shared" si="21"/>
        <v>SectionB_SampleQTIA121617</v>
      </c>
      <c r="B271" t="s">
        <v>866</v>
      </c>
      <c r="C271" t="s">
        <v>767</v>
      </c>
      <c r="D271" t="s">
        <v>196</v>
      </c>
      <c r="E271">
        <v>1</v>
      </c>
      <c r="F271">
        <v>2</v>
      </c>
      <c r="G271">
        <v>16</v>
      </c>
      <c r="H271">
        <v>17</v>
      </c>
      <c r="I271">
        <v>1.5</v>
      </c>
      <c r="J271" s="15">
        <v>42446.417546296296</v>
      </c>
      <c r="K271" s="15">
        <v>42446.418240740742</v>
      </c>
      <c r="O271" s="17">
        <f t="shared" si="22"/>
        <v>1.000000003259629</v>
      </c>
      <c r="P271">
        <f>COUNTIF(A230:A271,A271)</f>
        <v>1</v>
      </c>
      <c r="Q271" s="39">
        <f t="shared" si="23"/>
        <v>42446</v>
      </c>
    </row>
    <row r="272" spans="1:17" hidden="1" x14ac:dyDescent="0.3">
      <c r="A272" t="str">
        <f t="shared" si="21"/>
        <v>SectionB_SampleQTIA221617</v>
      </c>
      <c r="B272" t="s">
        <v>866</v>
      </c>
      <c r="C272" t="s">
        <v>767</v>
      </c>
      <c r="D272" t="s">
        <v>196</v>
      </c>
      <c r="E272">
        <v>2</v>
      </c>
      <c r="F272">
        <v>2</v>
      </c>
      <c r="G272">
        <v>16</v>
      </c>
      <c r="H272">
        <v>17</v>
      </c>
      <c r="I272">
        <v>1</v>
      </c>
      <c r="J272" s="15">
        <v>42474.761736111112</v>
      </c>
      <c r="K272" s="15">
        <v>42474.774583333332</v>
      </c>
      <c r="M272">
        <v>1</v>
      </c>
      <c r="N272" t="s">
        <v>1452</v>
      </c>
      <c r="O272" s="17">
        <f t="shared" si="22"/>
        <v>18.499999997438863</v>
      </c>
      <c r="P272">
        <f>COUNTIF(A9:A272,A272)</f>
        <v>1</v>
      </c>
      <c r="Q272" s="39">
        <f t="shared" si="23"/>
        <v>42474</v>
      </c>
    </row>
    <row r="273" spans="1:17" hidden="1" x14ac:dyDescent="0.3">
      <c r="A273" t="str">
        <f t="shared" si="21"/>
        <v>SectionC_Exam2009322.25414</v>
      </c>
      <c r="B273" t="s">
        <v>870</v>
      </c>
      <c r="C273" t="s">
        <v>818</v>
      </c>
      <c r="D273">
        <v>2009</v>
      </c>
      <c r="E273">
        <v>32</v>
      </c>
      <c r="F273">
        <v>2.25</v>
      </c>
      <c r="G273">
        <v>4</v>
      </c>
      <c r="H273">
        <v>14</v>
      </c>
      <c r="I273">
        <v>1.5</v>
      </c>
      <c r="J273" s="15">
        <v>42479.751423611109</v>
      </c>
      <c r="K273" s="15">
        <v>42479.754155092596</v>
      </c>
      <c r="M273">
        <v>1</v>
      </c>
      <c r="O273" s="17">
        <f t="shared" si="22"/>
        <v>3.9333333412650973</v>
      </c>
      <c r="P273">
        <f>COUNTIF(A1:A273,A273)</f>
        <v>1</v>
      </c>
      <c r="Q273" s="39">
        <f t="shared" si="23"/>
        <v>42479</v>
      </c>
    </row>
    <row r="274" spans="1:17" ht="28.8" x14ac:dyDescent="0.3">
      <c r="A274" t="str">
        <f t="shared" si="21"/>
        <v>SectionD_Exam2011213.5124151</v>
      </c>
      <c r="B274" t="s">
        <v>871</v>
      </c>
      <c r="C274" t="s">
        <v>780</v>
      </c>
      <c r="D274">
        <v>2011</v>
      </c>
      <c r="E274">
        <v>21</v>
      </c>
      <c r="F274">
        <v>3.5</v>
      </c>
      <c r="G274">
        <v>124</v>
      </c>
      <c r="H274">
        <v>151</v>
      </c>
      <c r="I274">
        <v>0</v>
      </c>
      <c r="J274" s="15">
        <v>42475.466585648152</v>
      </c>
      <c r="K274" s="15">
        <v>42475.654513888891</v>
      </c>
      <c r="M274">
        <v>1</v>
      </c>
      <c r="N274" s="104" t="s">
        <v>1457</v>
      </c>
      <c r="O274" s="17">
        <f t="shared" si="22"/>
        <v>270.61666666413657</v>
      </c>
      <c r="P274">
        <f>COUNTIF(A2:A274,A274)</f>
        <v>1</v>
      </c>
      <c r="Q274" s="39">
        <f t="shared" si="23"/>
        <v>42475</v>
      </c>
    </row>
    <row r="275" spans="1:17" x14ac:dyDescent="0.3">
      <c r="A275" t="str">
        <f t="shared" si="21"/>
        <v>SectionD_Exam2012184.5125153</v>
      </c>
      <c r="B275" t="s">
        <v>871</v>
      </c>
      <c r="C275" t="s">
        <v>780</v>
      </c>
      <c r="D275">
        <v>2012</v>
      </c>
      <c r="E275">
        <v>18</v>
      </c>
      <c r="F275">
        <v>4.5</v>
      </c>
      <c r="G275">
        <v>125</v>
      </c>
      <c r="H275">
        <v>153</v>
      </c>
      <c r="I275">
        <v>0</v>
      </c>
      <c r="J275" s="15">
        <v>42475.654513888891</v>
      </c>
      <c r="K275" s="15">
        <v>42475.670497685183</v>
      </c>
      <c r="M275">
        <v>1</v>
      </c>
      <c r="N275" t="s">
        <v>1458</v>
      </c>
      <c r="O275" s="17">
        <f t="shared" si="22"/>
        <v>23.016666661715135</v>
      </c>
      <c r="P275">
        <f>COUNTIF(A2:A275,A275)</f>
        <v>1</v>
      </c>
      <c r="Q275" s="39">
        <f t="shared" si="23"/>
        <v>42475</v>
      </c>
    </row>
    <row r="276" spans="1:17" hidden="1" x14ac:dyDescent="0.3">
      <c r="A276" t="str">
        <f t="shared" si="21"/>
        <v>SectionC_Exam201093.25415</v>
      </c>
      <c r="B276" t="s">
        <v>870</v>
      </c>
      <c r="C276" t="s">
        <v>818</v>
      </c>
      <c r="D276">
        <v>2010</v>
      </c>
      <c r="E276">
        <v>9</v>
      </c>
      <c r="F276">
        <v>3.25</v>
      </c>
      <c r="G276">
        <v>4</v>
      </c>
      <c r="H276">
        <v>15</v>
      </c>
      <c r="I276">
        <v>0.75</v>
      </c>
      <c r="J276" s="15">
        <v>42455.690358796295</v>
      </c>
      <c r="K276" s="15">
        <v>42455.692361111112</v>
      </c>
      <c r="M276">
        <v>1</v>
      </c>
      <c r="N276" t="s">
        <v>1162</v>
      </c>
      <c r="O276" s="17">
        <f t="shared" si="22"/>
        <v>2.8833333367947489</v>
      </c>
      <c r="P276">
        <f>COUNTIF(A184:A276,A276)</f>
        <v>1</v>
      </c>
      <c r="Q276" s="39">
        <f t="shared" si="23"/>
        <v>42455</v>
      </c>
    </row>
    <row r="277" spans="1:17" hidden="1" x14ac:dyDescent="0.3">
      <c r="A277" t="str">
        <f t="shared" si="21"/>
        <v>SectionC_Exam2010104.25515</v>
      </c>
      <c r="B277" t="s">
        <v>870</v>
      </c>
      <c r="C277" t="s">
        <v>818</v>
      </c>
      <c r="D277">
        <v>2010</v>
      </c>
      <c r="E277">
        <v>10</v>
      </c>
      <c r="F277">
        <v>4.25</v>
      </c>
      <c r="G277">
        <v>5</v>
      </c>
      <c r="H277">
        <v>15</v>
      </c>
      <c r="I277">
        <v>3.5</v>
      </c>
      <c r="J277" s="15">
        <v>42479.414942129632</v>
      </c>
      <c r="K277" s="15">
        <v>42479.424710648149</v>
      </c>
      <c r="M277">
        <v>1</v>
      </c>
      <c r="N277" t="s">
        <v>1481</v>
      </c>
      <c r="O277" s="17">
        <f t="shared" si="22"/>
        <v>14.06666666502133</v>
      </c>
      <c r="P277">
        <f>COUNTIF(A1:A277,A277)</f>
        <v>1</v>
      </c>
      <c r="Q277" s="39">
        <f t="shared" si="23"/>
        <v>42479</v>
      </c>
    </row>
    <row r="278" spans="1:17" hidden="1" x14ac:dyDescent="0.3">
      <c r="A278" t="str">
        <f t="shared" si="21"/>
        <v>SectionC_Exam2011103617</v>
      </c>
      <c r="B278" t="s">
        <v>870</v>
      </c>
      <c r="C278" t="s">
        <v>818</v>
      </c>
      <c r="D278">
        <v>2011</v>
      </c>
      <c r="E278">
        <v>10</v>
      </c>
      <c r="F278">
        <v>3</v>
      </c>
      <c r="G278">
        <v>6</v>
      </c>
      <c r="H278">
        <v>17</v>
      </c>
      <c r="I278">
        <v>0</v>
      </c>
      <c r="J278" s="15">
        <v>42473.421631944446</v>
      </c>
      <c r="K278" s="15">
        <v>42473.42527777778</v>
      </c>
      <c r="M278">
        <v>1</v>
      </c>
      <c r="N278" t="s">
        <v>1439</v>
      </c>
      <c r="O278" s="17">
        <f t="shared" si="22"/>
        <v>5.2500000013969839</v>
      </c>
      <c r="P278">
        <f>COUNTIF(A180:A278,A278)</f>
        <v>1</v>
      </c>
      <c r="Q278" s="39">
        <f t="shared" si="23"/>
        <v>42473</v>
      </c>
    </row>
    <row r="279" spans="1:17" hidden="1" x14ac:dyDescent="0.3">
      <c r="A279" t="str">
        <f t="shared" si="21"/>
        <v>SectionC_Exam201193516</v>
      </c>
      <c r="B279" t="s">
        <v>870</v>
      </c>
      <c r="C279" t="s">
        <v>818</v>
      </c>
      <c r="D279">
        <v>2011</v>
      </c>
      <c r="E279">
        <v>9</v>
      </c>
      <c r="F279">
        <v>3</v>
      </c>
      <c r="G279">
        <v>5</v>
      </c>
      <c r="H279">
        <v>16</v>
      </c>
      <c r="I279">
        <v>3</v>
      </c>
      <c r="J279" s="15">
        <v>42476.489085648151</v>
      </c>
      <c r="K279" s="15">
        <v>42476.497430555559</v>
      </c>
      <c r="N279" t="s">
        <v>1461</v>
      </c>
      <c r="O279" s="17">
        <f t="shared" si="22"/>
        <v>12.016666667768732</v>
      </c>
      <c r="P279">
        <f>COUNTIF(A2:A279,A279)</f>
        <v>1</v>
      </c>
      <c r="Q279" s="39">
        <f t="shared" si="23"/>
        <v>42476</v>
      </c>
    </row>
    <row r="280" spans="1:17" hidden="1" x14ac:dyDescent="0.3">
      <c r="A280" t="str">
        <f t="shared" si="21"/>
        <v>SectionC_Exam20021253336</v>
      </c>
      <c r="B280" t="s">
        <v>870</v>
      </c>
      <c r="C280" t="s">
        <v>766</v>
      </c>
      <c r="D280">
        <v>2002</v>
      </c>
      <c r="E280">
        <v>12</v>
      </c>
      <c r="F280">
        <v>5</v>
      </c>
      <c r="G280">
        <v>33</v>
      </c>
      <c r="H280">
        <v>36</v>
      </c>
      <c r="I280">
        <v>3</v>
      </c>
      <c r="J280" s="15">
        <v>42477.928518518522</v>
      </c>
      <c r="K280" s="15">
        <v>42477.93277777778</v>
      </c>
      <c r="M280">
        <v>1</v>
      </c>
      <c r="N280" t="s">
        <v>1462</v>
      </c>
      <c r="O280" s="17">
        <f t="shared" si="22"/>
        <v>6.1333333316724747</v>
      </c>
      <c r="P280">
        <f>COUNTIF(A2:A280,A280)</f>
        <v>1</v>
      </c>
      <c r="Q280" s="39">
        <f t="shared" si="23"/>
        <v>42477</v>
      </c>
    </row>
    <row r="281" spans="1:17" hidden="1" x14ac:dyDescent="0.3">
      <c r="A281" t="str">
        <f t="shared" si="21"/>
        <v>SectionC_Exam20053817274</v>
      </c>
      <c r="B281" t="s">
        <v>870</v>
      </c>
      <c r="C281" t="s">
        <v>764</v>
      </c>
      <c r="D281">
        <v>2005</v>
      </c>
      <c r="E281">
        <v>38</v>
      </c>
      <c r="F281">
        <v>1</v>
      </c>
      <c r="G281">
        <v>72</v>
      </c>
      <c r="H281">
        <v>74</v>
      </c>
      <c r="I281">
        <v>0</v>
      </c>
      <c r="J281" s="15">
        <v>42478.393969907411</v>
      </c>
      <c r="K281" s="15">
        <v>42478.395057870373</v>
      </c>
      <c r="M281">
        <v>1</v>
      </c>
      <c r="N281" t="s">
        <v>1463</v>
      </c>
      <c r="O281" s="17">
        <f t="shared" si="22"/>
        <v>1.5666666661854833</v>
      </c>
      <c r="P281">
        <f>COUNTIF(A2:A281,A281)</f>
        <v>1</v>
      </c>
      <c r="Q281" s="39">
        <f t="shared" si="23"/>
        <v>42478</v>
      </c>
    </row>
    <row r="282" spans="1:17" hidden="1" x14ac:dyDescent="0.3">
      <c r="A282" t="str">
        <f t="shared" si="21"/>
        <v>SectionC_Exam2012852325</v>
      </c>
      <c r="B282" t="s">
        <v>870</v>
      </c>
      <c r="C282" t="s">
        <v>837</v>
      </c>
      <c r="D282">
        <v>2012</v>
      </c>
      <c r="E282">
        <v>8</v>
      </c>
      <c r="F282">
        <v>5</v>
      </c>
      <c r="G282">
        <v>23</v>
      </c>
      <c r="H282">
        <v>25</v>
      </c>
      <c r="I282">
        <v>3</v>
      </c>
      <c r="J282" s="15">
        <v>42478.55228009259</v>
      </c>
      <c r="K282" s="15">
        <v>42478.572314814817</v>
      </c>
      <c r="M282">
        <v>1</v>
      </c>
      <c r="N282" t="s">
        <v>1474</v>
      </c>
      <c r="O282" s="17">
        <f t="shared" si="22"/>
        <v>28.850000007078052</v>
      </c>
      <c r="P282">
        <f>COUNTIF(A1:A282,A282)</f>
        <v>1</v>
      </c>
      <c r="Q282" s="39">
        <f t="shared" si="23"/>
        <v>42478</v>
      </c>
    </row>
    <row r="283" spans="1:17" hidden="1" x14ac:dyDescent="0.3">
      <c r="A283" t="str">
        <f t="shared" si="21"/>
        <v>SectionC_SampleQTIA6226</v>
      </c>
      <c r="B283" t="s">
        <v>867</v>
      </c>
      <c r="C283" t="s">
        <v>818</v>
      </c>
      <c r="D283" t="s">
        <v>196</v>
      </c>
      <c r="E283">
        <v>6</v>
      </c>
      <c r="F283">
        <v>2</v>
      </c>
      <c r="G283">
        <v>2</v>
      </c>
      <c r="H283">
        <v>6</v>
      </c>
      <c r="I283">
        <v>0.5</v>
      </c>
      <c r="J283" s="15">
        <v>42448.389108796298</v>
      </c>
      <c r="K283" s="15">
        <v>42448.40121527778</v>
      </c>
      <c r="M283">
        <v>1</v>
      </c>
      <c r="N283" t="s">
        <v>1107</v>
      </c>
      <c r="O283" s="17">
        <f t="shared" si="22"/>
        <v>17.433333332883194</v>
      </c>
      <c r="P283">
        <f>COUNTIF(A238:A283,A283)</f>
        <v>1</v>
      </c>
      <c r="Q283" s="39">
        <f t="shared" si="23"/>
        <v>42448</v>
      </c>
    </row>
    <row r="284" spans="1:17" hidden="1" x14ac:dyDescent="0.3">
      <c r="A284" t="str">
        <f t="shared" si="21"/>
        <v>SectionC_Exam201292.57275</v>
      </c>
      <c r="B284" t="s">
        <v>870</v>
      </c>
      <c r="C284" t="s">
        <v>764</v>
      </c>
      <c r="D284">
        <v>2012</v>
      </c>
      <c r="E284">
        <v>9</v>
      </c>
      <c r="F284">
        <v>2.5</v>
      </c>
      <c r="G284">
        <v>72</v>
      </c>
      <c r="H284">
        <v>75</v>
      </c>
      <c r="I284">
        <v>1.5</v>
      </c>
      <c r="J284" s="15">
        <v>42478.401284722226</v>
      </c>
      <c r="K284" s="15">
        <v>42478.404895833337</v>
      </c>
      <c r="M284">
        <v>1</v>
      </c>
      <c r="N284" t="s">
        <v>1466</v>
      </c>
      <c r="O284" s="17">
        <f t="shared" si="22"/>
        <v>5.2000000001862645</v>
      </c>
      <c r="P284">
        <f>COUNTIF(A2:A284,A284)</f>
        <v>1</v>
      </c>
      <c r="Q284" s="39">
        <f t="shared" si="23"/>
        <v>42478</v>
      </c>
    </row>
    <row r="285" spans="1:17" hidden="1" x14ac:dyDescent="0.3">
      <c r="A285" t="str">
        <f t="shared" si="21"/>
        <v>SectionC_SampleQTIA2213</v>
      </c>
      <c r="B285" t="s">
        <v>867</v>
      </c>
      <c r="C285" t="s">
        <v>818</v>
      </c>
      <c r="D285" t="s">
        <v>196</v>
      </c>
      <c r="E285">
        <v>2</v>
      </c>
      <c r="F285">
        <v>2</v>
      </c>
      <c r="G285">
        <v>1</v>
      </c>
      <c r="H285">
        <v>3</v>
      </c>
      <c r="I285">
        <v>0</v>
      </c>
      <c r="J285" s="15">
        <v>42454.899641203701</v>
      </c>
      <c r="K285" s="15">
        <v>42454.90834490741</v>
      </c>
      <c r="M285">
        <v>1</v>
      </c>
      <c r="O285" s="17">
        <f t="shared" si="22"/>
        <v>12.533333339961246</v>
      </c>
      <c r="P285">
        <f>COUNTIF(A199:A285,A285)</f>
        <v>1</v>
      </c>
      <c r="Q285" s="39">
        <f t="shared" si="23"/>
        <v>42454</v>
      </c>
    </row>
    <row r="286" spans="1:17" hidden="1" x14ac:dyDescent="0.3">
      <c r="A286" t="str">
        <f t="shared" si="21"/>
        <v>SectionC_Exam2006372116117</v>
      </c>
      <c r="B286" t="s">
        <v>870</v>
      </c>
      <c r="C286" t="s">
        <v>778</v>
      </c>
      <c r="D286">
        <v>2006</v>
      </c>
      <c r="E286">
        <v>37</v>
      </c>
      <c r="F286">
        <v>2</v>
      </c>
      <c r="G286">
        <v>116</v>
      </c>
      <c r="H286">
        <v>117</v>
      </c>
      <c r="I286">
        <v>1.5</v>
      </c>
      <c r="J286" s="15">
        <v>42478.424837962964</v>
      </c>
      <c r="K286" s="15">
        <v>42478.425844907404</v>
      </c>
      <c r="N286" t="s">
        <v>1468</v>
      </c>
      <c r="O286" s="17">
        <f t="shared" si="22"/>
        <v>1.4499999932013452</v>
      </c>
      <c r="P286">
        <f>COUNTIF(A2:A286,A286)</f>
        <v>1</v>
      </c>
      <c r="Q286" s="39">
        <f t="shared" si="23"/>
        <v>42478</v>
      </c>
    </row>
    <row r="287" spans="1:17" hidden="1" x14ac:dyDescent="0.3">
      <c r="A287" t="str">
        <f t="shared" si="21"/>
        <v>SectionC_Exam2011123.753437</v>
      </c>
      <c r="B287" t="s">
        <v>870</v>
      </c>
      <c r="C287" t="s">
        <v>766</v>
      </c>
      <c r="D287">
        <v>2011</v>
      </c>
      <c r="E287">
        <v>12</v>
      </c>
      <c r="F287">
        <v>3.75</v>
      </c>
      <c r="G287">
        <v>34</v>
      </c>
      <c r="H287">
        <v>37</v>
      </c>
      <c r="I287">
        <v>3.75</v>
      </c>
      <c r="J287" s="15">
        <v>42478.426874999997</v>
      </c>
      <c r="K287" s="15">
        <v>42478.430613425924</v>
      </c>
      <c r="M287">
        <v>1</v>
      </c>
      <c r="N287" t="s">
        <v>1469</v>
      </c>
      <c r="O287" s="17">
        <f t="shared" si="22"/>
        <v>5.3833333344664425</v>
      </c>
      <c r="P287">
        <f>COUNTIF(A2:A287,A287)</f>
        <v>1</v>
      </c>
      <c r="Q287" s="39">
        <f t="shared" si="23"/>
        <v>42478</v>
      </c>
    </row>
    <row r="288" spans="1:17" hidden="1" x14ac:dyDescent="0.3">
      <c r="A288" t="str">
        <f t="shared" si="21"/>
        <v>SectionC_SampleQTIA1213</v>
      </c>
      <c r="B288" t="s">
        <v>867</v>
      </c>
      <c r="C288" t="s">
        <v>818</v>
      </c>
      <c r="D288" t="s">
        <v>196</v>
      </c>
      <c r="E288">
        <v>1</v>
      </c>
      <c r="F288">
        <v>2</v>
      </c>
      <c r="G288">
        <v>1</v>
      </c>
      <c r="H288">
        <v>3</v>
      </c>
      <c r="I288">
        <v>2</v>
      </c>
      <c r="J288" s="15">
        <v>42473.425925925927</v>
      </c>
      <c r="K288" s="15">
        <v>42473.428078703706</v>
      </c>
      <c r="O288" s="17">
        <f t="shared" si="22"/>
        <v>3.1000000017229468</v>
      </c>
      <c r="P288">
        <f>COUNTIF(A45:A288,A288)</f>
        <v>1</v>
      </c>
      <c r="Q288" s="39">
        <f t="shared" si="23"/>
        <v>42473</v>
      </c>
    </row>
    <row r="289" spans="1:17" hidden="1" x14ac:dyDescent="0.3">
      <c r="A289" t="str">
        <f t="shared" si="21"/>
        <v>SectionC_SampleQTIA121617</v>
      </c>
      <c r="B289" t="s">
        <v>867</v>
      </c>
      <c r="C289" t="s">
        <v>766</v>
      </c>
      <c r="D289" t="s">
        <v>196</v>
      </c>
      <c r="E289">
        <v>1</v>
      </c>
      <c r="F289">
        <v>2</v>
      </c>
      <c r="G289">
        <v>16</v>
      </c>
      <c r="H289">
        <v>17</v>
      </c>
      <c r="I289">
        <v>2</v>
      </c>
      <c r="J289" s="15">
        <v>42478.532986111109</v>
      </c>
      <c r="K289" s="15">
        <v>42478.535914351851</v>
      </c>
      <c r="O289" s="17">
        <f t="shared" si="22"/>
        <v>4.2166666674893349</v>
      </c>
      <c r="P289">
        <f>COUNTIF(A2:A289,A289)</f>
        <v>1</v>
      </c>
      <c r="Q289" s="39">
        <f t="shared" si="23"/>
        <v>42478</v>
      </c>
    </row>
    <row r="290" spans="1:17" hidden="1" x14ac:dyDescent="0.3">
      <c r="A290" t="str">
        <f t="shared" si="21"/>
        <v>SectionC_Exam2006361.57274</v>
      </c>
      <c r="B290" t="s">
        <v>870</v>
      </c>
      <c r="C290" t="s">
        <v>764</v>
      </c>
      <c r="D290">
        <v>2006</v>
      </c>
      <c r="E290">
        <v>36</v>
      </c>
      <c r="F290">
        <v>1.5</v>
      </c>
      <c r="G290">
        <v>72</v>
      </c>
      <c r="H290">
        <v>74</v>
      </c>
      <c r="I290">
        <v>1.25</v>
      </c>
      <c r="J290" s="15">
        <v>42478.535914351851</v>
      </c>
      <c r="K290" s="15">
        <v>42478.538240740738</v>
      </c>
      <c r="M290">
        <v>1</v>
      </c>
      <c r="N290" t="s">
        <v>1470</v>
      </c>
      <c r="O290" s="17">
        <f t="shared" si="22"/>
        <v>3.3499999972991645</v>
      </c>
      <c r="P290">
        <f>COUNTIF(A2:A290,A290)</f>
        <v>1</v>
      </c>
      <c r="Q290" s="39">
        <f t="shared" si="23"/>
        <v>42478</v>
      </c>
    </row>
    <row r="291" spans="1:17" hidden="1" x14ac:dyDescent="0.3">
      <c r="A291" t="str">
        <f t="shared" si="21"/>
        <v>SectionC_Exam20014413336</v>
      </c>
      <c r="B291" t="s">
        <v>870</v>
      </c>
      <c r="C291" t="s">
        <v>766</v>
      </c>
      <c r="D291">
        <v>2001</v>
      </c>
      <c r="E291">
        <v>44</v>
      </c>
      <c r="F291">
        <v>1</v>
      </c>
      <c r="G291">
        <v>33</v>
      </c>
      <c r="H291">
        <v>36</v>
      </c>
      <c r="I291">
        <v>1</v>
      </c>
      <c r="J291" s="15">
        <v>42478.538240740738</v>
      </c>
      <c r="K291" s="15">
        <v>42478.538576388892</v>
      </c>
      <c r="O291" s="17">
        <f t="shared" si="22"/>
        <v>0.48333334154449403</v>
      </c>
      <c r="P291">
        <f>COUNTIF(A2:A291,A291)</f>
        <v>1</v>
      </c>
      <c r="Q291" s="39">
        <f t="shared" si="23"/>
        <v>42478</v>
      </c>
    </row>
    <row r="292" spans="1:17" hidden="1" x14ac:dyDescent="0.3">
      <c r="A292" t="str">
        <f t="shared" si="21"/>
        <v>SectionC_SampleQTIA4214</v>
      </c>
      <c r="B292" t="s">
        <v>867</v>
      </c>
      <c r="C292" t="s">
        <v>818</v>
      </c>
      <c r="D292" t="s">
        <v>196</v>
      </c>
      <c r="E292">
        <v>4</v>
      </c>
      <c r="F292">
        <v>2</v>
      </c>
      <c r="G292">
        <v>1</v>
      </c>
      <c r="H292">
        <v>4</v>
      </c>
      <c r="I292">
        <v>2</v>
      </c>
      <c r="J292" s="15">
        <v>42476.468587962961</v>
      </c>
      <c r="K292" s="15">
        <v>42476.473738425928</v>
      </c>
      <c r="O292" s="17">
        <f t="shared" si="22"/>
        <v>7.4166666716337204</v>
      </c>
      <c r="P292">
        <f>COUNTIF(A17:A292,A292)</f>
        <v>1</v>
      </c>
      <c r="Q292" s="39">
        <f t="shared" si="23"/>
        <v>42476</v>
      </c>
    </row>
    <row r="293" spans="1:17" hidden="1" x14ac:dyDescent="0.3">
      <c r="A293" t="str">
        <f t="shared" si="21"/>
        <v>SectionC_Exam20034527274</v>
      </c>
      <c r="B293" s="210" t="s">
        <v>870</v>
      </c>
      <c r="C293" s="210" t="s">
        <v>764</v>
      </c>
      <c r="D293" s="210">
        <v>2003</v>
      </c>
      <c r="E293" s="210">
        <v>45</v>
      </c>
      <c r="F293" s="210">
        <v>2</v>
      </c>
      <c r="G293" s="210">
        <v>72</v>
      </c>
      <c r="H293" s="210">
        <v>74</v>
      </c>
      <c r="I293" s="210">
        <v>1</v>
      </c>
      <c r="J293" s="211">
        <v>42478.547210648147</v>
      </c>
      <c r="K293" s="211">
        <v>42478.549884259257</v>
      </c>
      <c r="L293" s="210"/>
      <c r="M293" s="210">
        <v>1</v>
      </c>
      <c r="N293" s="210" t="s">
        <v>1472</v>
      </c>
      <c r="O293" s="212">
        <f t="shared" si="22"/>
        <v>3.849999998928979</v>
      </c>
      <c r="P293" s="210">
        <f>COUNTIF(A2:A293,A293)</f>
        <v>1</v>
      </c>
      <c r="Q293" s="213">
        <f t="shared" si="23"/>
        <v>42478</v>
      </c>
    </row>
    <row r="294" spans="1:17" hidden="1" x14ac:dyDescent="0.3">
      <c r="A294" t="str">
        <f t="shared" si="21"/>
        <v>SectionC_Exam200981.253337</v>
      </c>
      <c r="B294" t="s">
        <v>870</v>
      </c>
      <c r="C294" t="s">
        <v>766</v>
      </c>
      <c r="D294">
        <v>2009</v>
      </c>
      <c r="E294">
        <v>8</v>
      </c>
      <c r="F294">
        <v>1.25</v>
      </c>
      <c r="G294">
        <v>33</v>
      </c>
      <c r="H294">
        <v>37</v>
      </c>
      <c r="I294">
        <v>1.25</v>
      </c>
      <c r="J294" s="15">
        <v>42478.549884259257</v>
      </c>
      <c r="K294" s="15">
        <v>42478.550995370373</v>
      </c>
      <c r="O294" s="17">
        <f t="shared" si="22"/>
        <v>1.6000000073108822</v>
      </c>
      <c r="P294">
        <f>COUNTIF(A2:A294,A294)</f>
        <v>1</v>
      </c>
      <c r="Q294" s="39">
        <f t="shared" si="23"/>
        <v>42478</v>
      </c>
    </row>
    <row r="295" spans="1:17" hidden="1" x14ac:dyDescent="0.3">
      <c r="A295" t="str">
        <f t="shared" si="21"/>
        <v>SectionC_SampleQTIA7227</v>
      </c>
      <c r="B295" t="s">
        <v>867</v>
      </c>
      <c r="C295" t="s">
        <v>818</v>
      </c>
      <c r="D295" t="s">
        <v>196</v>
      </c>
      <c r="E295">
        <v>7</v>
      </c>
      <c r="F295">
        <v>2</v>
      </c>
      <c r="G295">
        <v>2</v>
      </c>
      <c r="H295">
        <v>7</v>
      </c>
      <c r="I295">
        <v>0</v>
      </c>
      <c r="J295" s="15">
        <v>42478.395057870373</v>
      </c>
      <c r="K295" s="15">
        <v>42478.397766203707</v>
      </c>
      <c r="M295">
        <v>1</v>
      </c>
      <c r="N295" t="s">
        <v>1464</v>
      </c>
      <c r="O295" s="17">
        <f t="shared" si="22"/>
        <v>3.9000000001396984</v>
      </c>
      <c r="P295">
        <f>COUNTIF(A17:A295,A295)</f>
        <v>1</v>
      </c>
      <c r="Q295" s="39">
        <f t="shared" si="23"/>
        <v>42478</v>
      </c>
    </row>
    <row r="296" spans="1:17" hidden="1" x14ac:dyDescent="0.3">
      <c r="A296" t="str">
        <f t="shared" si="21"/>
        <v>SectionC_SampleQTIA5225</v>
      </c>
      <c r="B296" t="s">
        <v>867</v>
      </c>
      <c r="C296" t="s">
        <v>818</v>
      </c>
      <c r="D296" t="s">
        <v>196</v>
      </c>
      <c r="E296">
        <v>5</v>
      </c>
      <c r="F296">
        <v>2</v>
      </c>
      <c r="G296">
        <v>2</v>
      </c>
      <c r="H296">
        <v>5</v>
      </c>
      <c r="I296">
        <v>1.5</v>
      </c>
      <c r="J296" s="15">
        <v>42478.749780092592</v>
      </c>
      <c r="K296" s="15">
        <v>42478.759236111109</v>
      </c>
      <c r="M296">
        <v>1</v>
      </c>
      <c r="O296" s="17">
        <f t="shared" si="22"/>
        <v>13.616666664602235</v>
      </c>
      <c r="P296">
        <f>COUNTIF(A15:A296,A296)</f>
        <v>1</v>
      </c>
      <c r="Q296" s="39">
        <f t="shared" si="23"/>
        <v>42478</v>
      </c>
    </row>
    <row r="297" spans="1:17" hidden="1" x14ac:dyDescent="0.3">
      <c r="A297" t="str">
        <f t="shared" si="21"/>
        <v>SectionC_SampleQTIA121921</v>
      </c>
      <c r="B297" t="s">
        <v>867</v>
      </c>
      <c r="C297" t="s">
        <v>762</v>
      </c>
      <c r="D297" t="s">
        <v>196</v>
      </c>
      <c r="E297">
        <v>1</v>
      </c>
      <c r="F297">
        <v>2</v>
      </c>
      <c r="G297">
        <v>19</v>
      </c>
      <c r="H297">
        <v>21</v>
      </c>
      <c r="I297">
        <v>2</v>
      </c>
      <c r="J297" s="15">
        <v>42478.726099537038</v>
      </c>
      <c r="K297" s="15">
        <v>42478.73541666667</v>
      </c>
      <c r="O297" s="17">
        <f t="shared" si="22"/>
        <v>13.416666670236737</v>
      </c>
      <c r="P297">
        <f>COUNTIF(A2:A297,A297)</f>
        <v>1</v>
      </c>
      <c r="Q297" s="39">
        <f t="shared" si="23"/>
        <v>42478</v>
      </c>
    </row>
    <row r="298" spans="1:17" hidden="1" x14ac:dyDescent="0.3">
      <c r="A298" t="str">
        <f t="shared" si="21"/>
        <v>SectionC_Exam2012112.54749</v>
      </c>
      <c r="B298" t="s">
        <v>870</v>
      </c>
      <c r="C298" t="s">
        <v>765</v>
      </c>
      <c r="D298">
        <v>2012</v>
      </c>
      <c r="E298">
        <v>11</v>
      </c>
      <c r="F298">
        <v>2.5</v>
      </c>
      <c r="G298">
        <v>47</v>
      </c>
      <c r="H298">
        <v>49</v>
      </c>
      <c r="I298">
        <v>0</v>
      </c>
      <c r="J298" s="15">
        <v>42478.73541666667</v>
      </c>
      <c r="K298" s="15">
        <v>42478.743611111109</v>
      </c>
      <c r="M298">
        <v>1</v>
      </c>
      <c r="N298" t="s">
        <v>1475</v>
      </c>
      <c r="O298" s="17">
        <f t="shared" si="22"/>
        <v>11.799999992363155</v>
      </c>
      <c r="P298">
        <f>COUNTIF(A2:A298,A298)</f>
        <v>1</v>
      </c>
      <c r="Q298" s="39">
        <f t="shared" si="23"/>
        <v>42478</v>
      </c>
    </row>
    <row r="299" spans="1:17" hidden="1" x14ac:dyDescent="0.3">
      <c r="A299" t="str">
        <f t="shared" si="21"/>
        <v>SectionC_Exam20083814648</v>
      </c>
      <c r="B299" t="s">
        <v>870</v>
      </c>
      <c r="C299" t="s">
        <v>765</v>
      </c>
      <c r="D299">
        <v>2008</v>
      </c>
      <c r="E299">
        <v>38</v>
      </c>
      <c r="F299">
        <v>1</v>
      </c>
      <c r="G299">
        <v>46</v>
      </c>
      <c r="H299">
        <v>48</v>
      </c>
      <c r="I299">
        <v>0.5</v>
      </c>
      <c r="J299" s="15">
        <v>42478.743611111109</v>
      </c>
      <c r="K299" s="15">
        <v>42478.745578703703</v>
      </c>
      <c r="M299">
        <v>1</v>
      </c>
      <c r="N299" t="s">
        <v>1476</v>
      </c>
      <c r="O299" s="17">
        <f t="shared" si="22"/>
        <v>2.8333333355840296</v>
      </c>
      <c r="P299">
        <f>COUNTIF(A2:A299,A299)</f>
        <v>1</v>
      </c>
      <c r="Q299" s="39">
        <f t="shared" si="23"/>
        <v>42478</v>
      </c>
    </row>
    <row r="300" spans="1:17" hidden="1" x14ac:dyDescent="0.3">
      <c r="A300" t="str">
        <f t="shared" si="21"/>
        <v>SectionC_Exam2011111.54648</v>
      </c>
      <c r="B300" t="s">
        <v>870</v>
      </c>
      <c r="C300" t="s">
        <v>765</v>
      </c>
      <c r="D300">
        <v>2011</v>
      </c>
      <c r="E300">
        <v>11</v>
      </c>
      <c r="F300">
        <v>1.5</v>
      </c>
      <c r="G300">
        <v>46</v>
      </c>
      <c r="H300">
        <v>48</v>
      </c>
      <c r="I300">
        <v>1</v>
      </c>
      <c r="J300" s="15">
        <v>42478.745578703703</v>
      </c>
      <c r="K300" s="15">
        <v>42478.749780092592</v>
      </c>
      <c r="M300">
        <v>1</v>
      </c>
      <c r="N300" t="s">
        <v>1477</v>
      </c>
      <c r="O300" s="17">
        <f t="shared" si="22"/>
        <v>6.0499999998137355</v>
      </c>
      <c r="P300">
        <f>COUNTIF(A2:A300,A300)</f>
        <v>1</v>
      </c>
      <c r="Q300" s="39">
        <f t="shared" si="23"/>
        <v>42478</v>
      </c>
    </row>
    <row r="301" spans="1:17" hidden="1" x14ac:dyDescent="0.3">
      <c r="A301" t="str">
        <f t="shared" si="21"/>
        <v>SectionC_SampleQTIA3214</v>
      </c>
      <c r="B301" t="s">
        <v>867</v>
      </c>
      <c r="C301" t="s">
        <v>818</v>
      </c>
      <c r="D301" t="s">
        <v>196</v>
      </c>
      <c r="E301">
        <v>3</v>
      </c>
      <c r="F301">
        <v>2</v>
      </c>
      <c r="G301">
        <v>1</v>
      </c>
      <c r="H301">
        <v>4</v>
      </c>
      <c r="I301">
        <v>1</v>
      </c>
      <c r="J301" s="15">
        <v>42479.744756944441</v>
      </c>
      <c r="K301" s="15">
        <v>42479.751423611109</v>
      </c>
      <c r="N301" t="s">
        <v>1484</v>
      </c>
      <c r="O301" s="17">
        <f t="shared" si="22"/>
        <v>9.6000000019557774</v>
      </c>
      <c r="P301">
        <f>COUNTIF(A10:A301,A301)</f>
        <v>1</v>
      </c>
      <c r="Q301" s="39">
        <f t="shared" si="23"/>
        <v>42479</v>
      </c>
    </row>
    <row r="302" spans="1:17" hidden="1" x14ac:dyDescent="0.3">
      <c r="A302" t="str">
        <f t="shared" si="21"/>
        <v>SectionC_Exam20004445159</v>
      </c>
      <c r="B302" t="s">
        <v>870</v>
      </c>
      <c r="C302" t="s">
        <v>762</v>
      </c>
      <c r="D302">
        <v>2000</v>
      </c>
      <c r="E302">
        <v>44</v>
      </c>
      <c r="F302">
        <v>4</v>
      </c>
      <c r="G302">
        <v>51</v>
      </c>
      <c r="H302">
        <v>59</v>
      </c>
      <c r="I302">
        <v>1</v>
      </c>
      <c r="J302" s="15">
        <v>42478.759236111109</v>
      </c>
      <c r="K302" s="15">
        <v>42478.786504629628</v>
      </c>
      <c r="M302">
        <v>1</v>
      </c>
      <c r="N302" t="s">
        <v>1478</v>
      </c>
      <c r="O302" s="17">
        <f t="shared" si="22"/>
        <v>39.266666667535901</v>
      </c>
      <c r="P302">
        <f>COUNTIF(A2:A302,A302)</f>
        <v>1</v>
      </c>
      <c r="Q302" s="39">
        <f t="shared" si="23"/>
        <v>42478</v>
      </c>
    </row>
    <row r="303" spans="1:17" hidden="1" x14ac:dyDescent="0.3">
      <c r="A303" t="str">
        <f t="shared" si="21"/>
        <v>SectionC_Exam2009332.755667</v>
      </c>
      <c r="B303" t="s">
        <v>870</v>
      </c>
      <c r="C303" t="s">
        <v>762</v>
      </c>
      <c r="D303">
        <v>2009</v>
      </c>
      <c r="E303">
        <v>33</v>
      </c>
      <c r="F303">
        <v>2.75</v>
      </c>
      <c r="G303">
        <v>56</v>
      </c>
      <c r="H303">
        <v>67</v>
      </c>
      <c r="I303">
        <v>1.25</v>
      </c>
      <c r="J303" s="15">
        <v>42479.375787037039</v>
      </c>
      <c r="K303" s="15">
        <v>42479.380694444444</v>
      </c>
      <c r="M303">
        <v>1</v>
      </c>
      <c r="N303" t="s">
        <v>1479</v>
      </c>
      <c r="O303" s="17">
        <f t="shared" si="22"/>
        <v>7.066666663158685</v>
      </c>
      <c r="P303">
        <f>COUNTIF(A2:A303,A303)</f>
        <v>1</v>
      </c>
      <c r="Q303" s="39">
        <f t="shared" si="23"/>
        <v>42479</v>
      </c>
    </row>
    <row r="304" spans="1:17" hidden="1" x14ac:dyDescent="0.3">
      <c r="A304" t="str">
        <f t="shared" si="21"/>
        <v>SectionC_Exam20024125363</v>
      </c>
      <c r="B304" t="s">
        <v>870</v>
      </c>
      <c r="C304" t="s">
        <v>762</v>
      </c>
      <c r="D304">
        <v>2002</v>
      </c>
      <c r="E304">
        <v>41</v>
      </c>
      <c r="F304">
        <v>2</v>
      </c>
      <c r="G304">
        <v>53</v>
      </c>
      <c r="H304">
        <v>63</v>
      </c>
      <c r="I304">
        <v>0</v>
      </c>
      <c r="J304" s="15">
        <v>42479.380694444444</v>
      </c>
      <c r="K304" s="15">
        <v>42479.406678240739</v>
      </c>
      <c r="M304">
        <v>1</v>
      </c>
      <c r="N304" t="s">
        <v>1480</v>
      </c>
      <c r="O304" s="17">
        <f t="shared" si="22"/>
        <v>37.416666664648801</v>
      </c>
      <c r="P304">
        <f>COUNTIF(A2:A304,A304)</f>
        <v>1</v>
      </c>
      <c r="Q304" s="39">
        <f t="shared" si="23"/>
        <v>42479</v>
      </c>
    </row>
    <row r="305" spans="1:17" hidden="1" x14ac:dyDescent="0.3">
      <c r="A305" t="str">
        <f t="shared" si="21"/>
        <v>SectionC_Exam2006394.255465</v>
      </c>
      <c r="B305" t="s">
        <v>870</v>
      </c>
      <c r="C305" t="s">
        <v>762</v>
      </c>
      <c r="D305">
        <v>2006</v>
      </c>
      <c r="E305">
        <v>39</v>
      </c>
      <c r="F305">
        <v>4.25</v>
      </c>
      <c r="G305">
        <v>54</v>
      </c>
      <c r="H305">
        <v>65</v>
      </c>
      <c r="I305">
        <v>4</v>
      </c>
      <c r="J305" s="15">
        <v>42479.406678240739</v>
      </c>
      <c r="K305" s="15">
        <v>42479.414942129632</v>
      </c>
      <c r="O305" s="17">
        <f t="shared" si="22"/>
        <v>11.900000005261973</v>
      </c>
      <c r="P305">
        <f>COUNTIF(A2:A305,A305)</f>
        <v>1</v>
      </c>
      <c r="Q305" s="39">
        <f t="shared" si="23"/>
        <v>42479</v>
      </c>
    </row>
    <row r="306" spans="1:17" hidden="1" x14ac:dyDescent="0.3">
      <c r="A306" t="str">
        <f t="shared" si="21"/>
        <v>SectionC_SampleQTIA12810</v>
      </c>
      <c r="B306" t="s">
        <v>867</v>
      </c>
      <c r="C306" s="123" t="s">
        <v>837</v>
      </c>
      <c r="D306" t="s">
        <v>196</v>
      </c>
      <c r="E306">
        <v>1</v>
      </c>
      <c r="F306">
        <v>2</v>
      </c>
      <c r="G306">
        <v>8</v>
      </c>
      <c r="H306">
        <v>10</v>
      </c>
      <c r="I306">
        <v>1.5</v>
      </c>
      <c r="J306" s="15">
        <v>42455.519930555558</v>
      </c>
      <c r="K306" s="15">
        <v>42455.521909722222</v>
      </c>
      <c r="O306" s="17">
        <f t="shared" si="22"/>
        <v>2.84999999566935</v>
      </c>
      <c r="P306">
        <f>COUNTIF(A215:A306,A306)</f>
        <v>1</v>
      </c>
      <c r="Q306" s="39">
        <f t="shared" si="23"/>
        <v>42455</v>
      </c>
    </row>
    <row r="307" spans="1:17" hidden="1" x14ac:dyDescent="0.3">
      <c r="A307" t="str">
        <f t="shared" si="21"/>
        <v>SectionC_SampleQTIA52914</v>
      </c>
      <c r="B307" t="s">
        <v>867</v>
      </c>
      <c r="C307" t="s">
        <v>837</v>
      </c>
      <c r="D307" t="s">
        <v>196</v>
      </c>
      <c r="E307">
        <v>5</v>
      </c>
      <c r="F307">
        <v>2</v>
      </c>
      <c r="G307">
        <v>9</v>
      </c>
      <c r="H307">
        <v>14</v>
      </c>
      <c r="I307">
        <v>2</v>
      </c>
      <c r="J307" s="15">
        <v>42478.397766203707</v>
      </c>
      <c r="K307" s="15">
        <v>42478.401284722226</v>
      </c>
      <c r="N307" t="s">
        <v>1465</v>
      </c>
      <c r="O307" s="17">
        <f t="shared" si="22"/>
        <v>5.0666666671168059</v>
      </c>
      <c r="P307">
        <f>COUNTIF(A26:A307,A307)</f>
        <v>1</v>
      </c>
      <c r="Q307" s="39">
        <f t="shared" si="23"/>
        <v>42478</v>
      </c>
    </row>
    <row r="308" spans="1:17" hidden="1" x14ac:dyDescent="0.3">
      <c r="A308" t="str">
        <f t="shared" si="21"/>
        <v>SectionC_SampleQTIA22810</v>
      </c>
      <c r="B308" t="s">
        <v>867</v>
      </c>
      <c r="C308" t="s">
        <v>837</v>
      </c>
      <c r="D308" t="s">
        <v>196</v>
      </c>
      <c r="E308">
        <v>2</v>
      </c>
      <c r="F308">
        <v>2</v>
      </c>
      <c r="G308">
        <v>8</v>
      </c>
      <c r="H308">
        <v>10</v>
      </c>
      <c r="I308">
        <v>0</v>
      </c>
      <c r="J308" s="15">
        <v>42478.404895833337</v>
      </c>
      <c r="K308" s="15">
        <v>42478.424837962964</v>
      </c>
      <c r="M308">
        <v>1</v>
      </c>
      <c r="N308" t="s">
        <v>1467</v>
      </c>
      <c r="O308" s="17">
        <f t="shared" si="22"/>
        <v>28.716666663531214</v>
      </c>
      <c r="P308">
        <f>COUNTIF(A25:A308,A308)</f>
        <v>1</v>
      </c>
      <c r="Q308" s="39">
        <f t="shared" si="23"/>
        <v>42478</v>
      </c>
    </row>
    <row r="309" spans="1:17" hidden="1" x14ac:dyDescent="0.3">
      <c r="A309" t="str">
        <f t="shared" si="21"/>
        <v>SectionC_SampleQTIA32812</v>
      </c>
      <c r="B309" t="s">
        <v>867</v>
      </c>
      <c r="C309" t="s">
        <v>837</v>
      </c>
      <c r="D309" t="s">
        <v>196</v>
      </c>
      <c r="E309">
        <v>3</v>
      </c>
      <c r="F309">
        <v>2</v>
      </c>
      <c r="G309">
        <v>8</v>
      </c>
      <c r="H309">
        <v>12</v>
      </c>
      <c r="I309">
        <v>2</v>
      </c>
      <c r="J309" s="15">
        <v>42478.430613425924</v>
      </c>
      <c r="K309" s="15">
        <v>42478.439479166664</v>
      </c>
      <c r="O309" s="17">
        <f t="shared" si="22"/>
        <v>12.766666664974764</v>
      </c>
      <c r="P309">
        <f>COUNTIF(A23:A309,A309)</f>
        <v>1</v>
      </c>
      <c r="Q309" s="39">
        <f t="shared" si="23"/>
        <v>42478</v>
      </c>
    </row>
    <row r="310" spans="1:17" hidden="1" x14ac:dyDescent="0.3">
      <c r="A310" t="str">
        <f t="shared" si="21"/>
        <v>SectionC_SampleQTIA42913</v>
      </c>
      <c r="B310" t="s">
        <v>867</v>
      </c>
      <c r="C310" t="s">
        <v>837</v>
      </c>
      <c r="D310" t="s">
        <v>196</v>
      </c>
      <c r="E310">
        <v>4</v>
      </c>
      <c r="F310">
        <v>2</v>
      </c>
      <c r="G310">
        <v>9</v>
      </c>
      <c r="H310">
        <v>13</v>
      </c>
      <c r="I310">
        <v>1.5</v>
      </c>
      <c r="J310" s="15">
        <v>42478.538576388892</v>
      </c>
      <c r="K310" s="15">
        <v>42478.547210648147</v>
      </c>
      <c r="M310">
        <v>1</v>
      </c>
      <c r="N310" t="s">
        <v>1471</v>
      </c>
      <c r="O310" s="17">
        <f t="shared" si="22"/>
        <v>12.433333327062428</v>
      </c>
      <c r="P310">
        <f>COUNTIF(A20:A310,A310)</f>
        <v>1</v>
      </c>
      <c r="Q310" s="39">
        <f t="shared" si="23"/>
        <v>42478</v>
      </c>
    </row>
    <row r="311" spans="1:17" hidden="1" x14ac:dyDescent="0.3">
      <c r="A311" t="str">
        <f t="shared" si="21"/>
        <v>SectionC_SampleQTIA62915</v>
      </c>
      <c r="B311" t="s">
        <v>867</v>
      </c>
      <c r="C311" t="s">
        <v>837</v>
      </c>
      <c r="D311" t="s">
        <v>196</v>
      </c>
      <c r="E311">
        <v>6</v>
      </c>
      <c r="F311">
        <v>2</v>
      </c>
      <c r="G311">
        <v>9</v>
      </c>
      <c r="H311">
        <v>15</v>
      </c>
      <c r="I311">
        <v>1</v>
      </c>
      <c r="J311" s="15">
        <v>42478.550995370373</v>
      </c>
      <c r="K311" s="15">
        <v>42478.55228009259</v>
      </c>
      <c r="M311">
        <v>1</v>
      </c>
      <c r="N311" t="s">
        <v>1473</v>
      </c>
      <c r="O311" s="17">
        <f t="shared" si="22"/>
        <v>1.849999992409721</v>
      </c>
      <c r="P311">
        <f>COUNTIF(A18:A311,A311)</f>
        <v>1</v>
      </c>
      <c r="Q311" s="39">
        <f t="shared" si="23"/>
        <v>42478</v>
      </c>
    </row>
    <row r="312" spans="1:17" hidden="1" x14ac:dyDescent="0.3">
      <c r="A312" t="str">
        <f t="shared" ref="A312:A351" si="24">(B312&amp;D312&amp;E312&amp;F312&amp;G312&amp;H312)</f>
        <v>SectionC_Exam2010284.2584102</v>
      </c>
      <c r="B312" t="s">
        <v>870</v>
      </c>
      <c r="C312" t="s">
        <v>770</v>
      </c>
      <c r="D312">
        <v>2010</v>
      </c>
      <c r="E312">
        <v>28</v>
      </c>
      <c r="F312">
        <v>4.25</v>
      </c>
      <c r="G312">
        <v>84</v>
      </c>
      <c r="H312">
        <v>102</v>
      </c>
      <c r="I312">
        <v>3</v>
      </c>
      <c r="J312" s="15">
        <v>42480.729594907411</v>
      </c>
      <c r="K312" s="15">
        <v>42480.741736111115</v>
      </c>
      <c r="M312">
        <v>1</v>
      </c>
      <c r="N312" t="s">
        <v>1492</v>
      </c>
      <c r="O312" s="17">
        <f t="shared" ref="O312:O351" si="25">(K312-J312)*60*24</f>
        <v>17.483333334093913</v>
      </c>
      <c r="P312">
        <f>COUNTIF(A1:A312,A312)</f>
        <v>1</v>
      </c>
      <c r="Q312" s="39">
        <f t="shared" ref="Q312:Q351" si="26">DATE(YEAR(J312),MONTH(J312),DAY(J312))</f>
        <v>42480</v>
      </c>
    </row>
    <row r="313" spans="1:17" hidden="1" x14ac:dyDescent="0.3">
      <c r="A313" t="str">
        <f t="shared" si="24"/>
        <v>SectionC_Exam201027582100</v>
      </c>
      <c r="B313" t="s">
        <v>870</v>
      </c>
      <c r="C313" t="s">
        <v>770</v>
      </c>
      <c r="D313">
        <v>2010</v>
      </c>
      <c r="E313">
        <v>27</v>
      </c>
      <c r="F313">
        <v>5</v>
      </c>
      <c r="G313">
        <v>82</v>
      </c>
      <c r="H313">
        <v>100</v>
      </c>
      <c r="I313">
        <v>5</v>
      </c>
      <c r="J313" s="15">
        <v>42480.744016203702</v>
      </c>
      <c r="K313" s="15">
        <v>42480.763206018521</v>
      </c>
      <c r="M313">
        <v>1</v>
      </c>
      <c r="O313" s="17">
        <f t="shared" si="25"/>
        <v>27.633333338890225</v>
      </c>
      <c r="P313">
        <f>COUNTIF(A1:A313,A313)</f>
        <v>1</v>
      </c>
      <c r="Q313" s="39">
        <f t="shared" si="26"/>
        <v>42480</v>
      </c>
    </row>
    <row r="314" spans="1:17" hidden="1" x14ac:dyDescent="0.3">
      <c r="A314" t="str">
        <f t="shared" si="24"/>
        <v>SectionC_Exam2011132.585104</v>
      </c>
      <c r="B314" t="s">
        <v>870</v>
      </c>
      <c r="C314" t="s">
        <v>770</v>
      </c>
      <c r="D314">
        <v>2011</v>
      </c>
      <c r="E314">
        <v>13</v>
      </c>
      <c r="F314">
        <v>2.5</v>
      </c>
      <c r="G314">
        <v>85</v>
      </c>
      <c r="H314">
        <v>104</v>
      </c>
      <c r="I314">
        <v>1.5</v>
      </c>
      <c r="J314" s="15">
        <v>42479.764930555553</v>
      </c>
      <c r="K314" s="15">
        <v>42479.790590277778</v>
      </c>
      <c r="M314">
        <v>1</v>
      </c>
      <c r="O314" s="17">
        <f t="shared" si="25"/>
        <v>36.950000004144385</v>
      </c>
      <c r="P314">
        <f>COUNTIF(A3:A314,A314)</f>
        <v>1</v>
      </c>
      <c r="Q314" s="39">
        <f t="shared" si="26"/>
        <v>42479</v>
      </c>
    </row>
    <row r="315" spans="1:17" hidden="1" x14ac:dyDescent="0.3">
      <c r="A315" t="str">
        <f t="shared" si="24"/>
        <v>SectionC_Exam201114185105</v>
      </c>
      <c r="B315" t="s">
        <v>870</v>
      </c>
      <c r="C315" t="s">
        <v>770</v>
      </c>
      <c r="D315">
        <v>2011</v>
      </c>
      <c r="E315">
        <v>14</v>
      </c>
      <c r="F315">
        <v>1</v>
      </c>
      <c r="G315">
        <v>85</v>
      </c>
      <c r="H315">
        <v>105</v>
      </c>
      <c r="I315">
        <v>0</v>
      </c>
      <c r="J315" s="15">
        <v>42480.713217592594</v>
      </c>
      <c r="K315" s="15">
        <v>42480.724803240744</v>
      </c>
      <c r="M315">
        <v>1</v>
      </c>
      <c r="N315" t="s">
        <v>1490</v>
      </c>
      <c r="O315" s="17">
        <f t="shared" si="25"/>
        <v>16.683333335677162</v>
      </c>
      <c r="P315">
        <f>COUNTIF(A1:A315,A315)</f>
        <v>1</v>
      </c>
      <c r="Q315" s="39">
        <f t="shared" si="26"/>
        <v>42480</v>
      </c>
    </row>
    <row r="316" spans="1:17" x14ac:dyDescent="0.3">
      <c r="A316" t="str">
        <f t="shared" si="24"/>
        <v>SectionD_Exam20014436272</v>
      </c>
      <c r="B316" t="s">
        <v>871</v>
      </c>
      <c r="C316" t="s">
        <v>769</v>
      </c>
      <c r="D316">
        <v>2001</v>
      </c>
      <c r="E316">
        <v>44</v>
      </c>
      <c r="F316">
        <v>3</v>
      </c>
      <c r="G316">
        <v>62</v>
      </c>
      <c r="H316">
        <v>72</v>
      </c>
      <c r="I316">
        <v>1</v>
      </c>
      <c r="J316" s="15">
        <v>42480.414930555555</v>
      </c>
      <c r="K316" s="15">
        <v>42480.426863425928</v>
      </c>
      <c r="M316">
        <v>1</v>
      </c>
      <c r="N316" t="s">
        <v>1488</v>
      </c>
      <c r="O316" s="17">
        <f t="shared" si="25"/>
        <v>17.183333337306976</v>
      </c>
      <c r="P316">
        <f>COUNTIF(A2:A316,A316)</f>
        <v>1</v>
      </c>
      <c r="Q316" s="39">
        <f t="shared" si="26"/>
        <v>42480</v>
      </c>
    </row>
    <row r="317" spans="1:17" x14ac:dyDescent="0.3">
      <c r="A317" t="str">
        <f t="shared" si="24"/>
        <v>SectionD_Exam2007171.56577</v>
      </c>
      <c r="B317" t="s">
        <v>871</v>
      </c>
      <c r="C317" t="s">
        <v>769</v>
      </c>
      <c r="D317">
        <v>2007</v>
      </c>
      <c r="E317">
        <v>17</v>
      </c>
      <c r="F317">
        <v>1.5</v>
      </c>
      <c r="G317">
        <v>65</v>
      </c>
      <c r="H317">
        <v>77</v>
      </c>
      <c r="I317">
        <v>0.25</v>
      </c>
      <c r="J317" s="15">
        <v>42480.426863425928</v>
      </c>
      <c r="K317" s="15">
        <v>42480.429456018515</v>
      </c>
      <c r="M317">
        <v>1</v>
      </c>
      <c r="N317" t="s">
        <v>1489</v>
      </c>
      <c r="O317" s="17">
        <f t="shared" si="25"/>
        <v>3.7333333259448409</v>
      </c>
      <c r="P317">
        <f>COUNTIF(A2:A317,A317)</f>
        <v>1</v>
      </c>
      <c r="Q317" s="39">
        <f t="shared" si="26"/>
        <v>42480</v>
      </c>
    </row>
    <row r="318" spans="1:17" x14ac:dyDescent="0.3">
      <c r="A318" t="str">
        <f t="shared" si="24"/>
        <v>SectionD_SampleQTIA5248</v>
      </c>
      <c r="B318" t="s">
        <v>868</v>
      </c>
      <c r="C318" t="s">
        <v>768</v>
      </c>
      <c r="D318" t="s">
        <v>196</v>
      </c>
      <c r="E318">
        <v>5</v>
      </c>
      <c r="F318">
        <v>2</v>
      </c>
      <c r="G318">
        <v>4</v>
      </c>
      <c r="H318">
        <v>8</v>
      </c>
      <c r="I318">
        <v>1</v>
      </c>
      <c r="J318" s="15">
        <v>42480.429456018515</v>
      </c>
      <c r="K318" s="15">
        <v>42480.43236111111</v>
      </c>
      <c r="M318">
        <v>1</v>
      </c>
      <c r="O318" s="17">
        <f t="shared" si="25"/>
        <v>4.183333336841315</v>
      </c>
      <c r="P318">
        <f>COUNTIF(A2:A318,A318)</f>
        <v>1</v>
      </c>
      <c r="Q318" s="39">
        <f t="shared" si="26"/>
        <v>42480</v>
      </c>
    </row>
    <row r="319" spans="1:17" hidden="1" x14ac:dyDescent="0.3">
      <c r="A319" t="str">
        <f t="shared" si="24"/>
        <v>SectionC_Exam201210286106</v>
      </c>
      <c r="B319" t="s">
        <v>870</v>
      </c>
      <c r="C319" t="s">
        <v>770</v>
      </c>
      <c r="D319">
        <v>2012</v>
      </c>
      <c r="E319">
        <v>10</v>
      </c>
      <c r="F319">
        <v>2</v>
      </c>
      <c r="G319">
        <v>86</v>
      </c>
      <c r="H319">
        <v>106</v>
      </c>
      <c r="I319">
        <v>0</v>
      </c>
      <c r="J319" s="15">
        <v>42480.724803240744</v>
      </c>
      <c r="K319" s="15">
        <v>42480.729594907411</v>
      </c>
      <c r="M319">
        <v>1</v>
      </c>
      <c r="N319" s="215" t="s">
        <v>1491</v>
      </c>
      <c r="O319" s="17">
        <f t="shared" si="25"/>
        <v>6.8999999994412065</v>
      </c>
      <c r="P319">
        <f>COUNTIF(A1:A319,A319)</f>
        <v>1</v>
      </c>
      <c r="Q319" s="39">
        <f t="shared" si="26"/>
        <v>42480</v>
      </c>
    </row>
    <row r="320" spans="1:17" hidden="1" x14ac:dyDescent="0.3">
      <c r="A320" t="str">
        <f t="shared" si="24"/>
        <v>SectionC_Exam201515290111</v>
      </c>
      <c r="B320" t="s">
        <v>870</v>
      </c>
      <c r="C320" t="s">
        <v>770</v>
      </c>
      <c r="D320">
        <v>2015</v>
      </c>
      <c r="E320">
        <v>15</v>
      </c>
      <c r="F320">
        <v>2</v>
      </c>
      <c r="G320">
        <v>90</v>
      </c>
      <c r="H320">
        <v>111</v>
      </c>
      <c r="I320">
        <v>2</v>
      </c>
      <c r="J320" s="15">
        <v>42485.818796296298</v>
      </c>
      <c r="K320" s="15">
        <v>42485.81925925926</v>
      </c>
      <c r="O320" s="17">
        <f t="shared" si="25"/>
        <v>0.66666666534729302</v>
      </c>
      <c r="P320">
        <f>COUNTIF(A1:A320,A320)</f>
        <v>1</v>
      </c>
      <c r="Q320" s="39">
        <f t="shared" si="26"/>
        <v>42485</v>
      </c>
    </row>
    <row r="321" spans="1:17" hidden="1" x14ac:dyDescent="0.3">
      <c r="A321" t="str">
        <f t="shared" si="24"/>
        <v>SectionC_Exam2015182.2592114</v>
      </c>
      <c r="B321" t="s">
        <v>870</v>
      </c>
      <c r="C321" t="s">
        <v>770</v>
      </c>
      <c r="D321">
        <v>2015</v>
      </c>
      <c r="E321">
        <v>18</v>
      </c>
      <c r="F321">
        <v>2.25</v>
      </c>
      <c r="G321">
        <v>92</v>
      </c>
      <c r="H321">
        <v>114</v>
      </c>
      <c r="I321">
        <v>2.25</v>
      </c>
      <c r="J321" s="15">
        <v>42485.889814814815</v>
      </c>
      <c r="K321" s="15">
        <v>42485.890613425923</v>
      </c>
      <c r="O321" s="17">
        <f t="shared" si="25"/>
        <v>1.1499999964144081</v>
      </c>
      <c r="P321">
        <f>COUNTIF(A1:A321,A321)</f>
        <v>1</v>
      </c>
      <c r="Q321" s="39">
        <f t="shared" si="26"/>
        <v>42485</v>
      </c>
    </row>
    <row r="322" spans="1:17" hidden="1" x14ac:dyDescent="0.3">
      <c r="A322" t="str">
        <f t="shared" si="24"/>
        <v>SectionC_Exam2015172.2591113</v>
      </c>
      <c r="B322" t="s">
        <v>870</v>
      </c>
      <c r="C322" t="s">
        <v>770</v>
      </c>
      <c r="D322">
        <v>2015</v>
      </c>
      <c r="E322">
        <v>17</v>
      </c>
      <c r="F322">
        <v>2.25</v>
      </c>
      <c r="G322">
        <v>91</v>
      </c>
      <c r="H322">
        <v>113</v>
      </c>
      <c r="I322">
        <v>1.5</v>
      </c>
      <c r="J322" s="15">
        <v>42486.41983796296</v>
      </c>
      <c r="K322" s="15">
        <v>42486.420138888891</v>
      </c>
      <c r="M322">
        <v>1</v>
      </c>
      <c r="O322" s="17">
        <f t="shared" si="25"/>
        <v>0.43333334033377469</v>
      </c>
      <c r="P322">
        <f>COUNTIF(A1:A322,A322)</f>
        <v>1</v>
      </c>
      <c r="Q322" s="39">
        <f t="shared" si="26"/>
        <v>42486</v>
      </c>
    </row>
    <row r="323" spans="1:17" hidden="1" x14ac:dyDescent="0.3">
      <c r="A323" t="str">
        <f t="shared" si="24"/>
        <v>SectionC_SampleQTIA322630</v>
      </c>
      <c r="B323" t="s">
        <v>867</v>
      </c>
      <c r="C323" t="s">
        <v>770</v>
      </c>
      <c r="D323" t="s">
        <v>196</v>
      </c>
      <c r="E323">
        <v>3</v>
      </c>
      <c r="F323">
        <v>2</v>
      </c>
      <c r="G323">
        <v>26</v>
      </c>
      <c r="H323">
        <v>30</v>
      </c>
      <c r="I323">
        <v>2</v>
      </c>
      <c r="J323" s="15">
        <v>42464.773009259261</v>
      </c>
      <c r="K323" s="15">
        <v>42464.787893518522</v>
      </c>
      <c r="O323" s="17">
        <f t="shared" si="25"/>
        <v>21.433333335444331</v>
      </c>
      <c r="P323">
        <f>COUNTIF(A198:A323,A323)</f>
        <v>1</v>
      </c>
      <c r="Q323" s="39">
        <f t="shared" si="26"/>
        <v>42464</v>
      </c>
    </row>
    <row r="324" spans="1:17" x14ac:dyDescent="0.3">
      <c r="A324" t="str">
        <f t="shared" si="24"/>
        <v>SectionD_SampleQTIA3212</v>
      </c>
      <c r="B324" t="s">
        <v>868</v>
      </c>
      <c r="C324" t="s">
        <v>774</v>
      </c>
      <c r="D324" t="s">
        <v>196</v>
      </c>
      <c r="E324">
        <v>3</v>
      </c>
      <c r="F324">
        <v>2</v>
      </c>
      <c r="G324">
        <v>1</v>
      </c>
      <c r="H324">
        <v>2</v>
      </c>
      <c r="I324">
        <v>1</v>
      </c>
      <c r="J324" s="15">
        <v>42481.362233796295</v>
      </c>
      <c r="K324" s="15">
        <v>42481.363402777781</v>
      </c>
      <c r="M324">
        <v>1</v>
      </c>
      <c r="O324" s="17">
        <f t="shared" si="25"/>
        <v>1.6833333391696215</v>
      </c>
      <c r="P324">
        <f>COUNTIF(A2:A324,A324)</f>
        <v>1</v>
      </c>
      <c r="Q324" s="39">
        <f t="shared" si="26"/>
        <v>42481</v>
      </c>
    </row>
    <row r="325" spans="1:17" x14ac:dyDescent="0.3">
      <c r="A325" t="str">
        <f t="shared" si="24"/>
        <v>SectionD_Exam2006223311</v>
      </c>
      <c r="B325" t="s">
        <v>871</v>
      </c>
      <c r="C325" t="s">
        <v>774</v>
      </c>
      <c r="D325">
        <v>2006</v>
      </c>
      <c r="E325">
        <v>22</v>
      </c>
      <c r="F325">
        <v>3</v>
      </c>
      <c r="G325">
        <v>3</v>
      </c>
      <c r="H325">
        <v>11</v>
      </c>
      <c r="I325">
        <v>1</v>
      </c>
      <c r="J325" s="15">
        <v>42481.363402777781</v>
      </c>
      <c r="K325" s="15">
        <v>42481.371122685188</v>
      </c>
      <c r="M325">
        <v>1</v>
      </c>
      <c r="N325" t="s">
        <v>1493</v>
      </c>
      <c r="O325" s="17">
        <f t="shared" si="25"/>
        <v>11.116666666930541</v>
      </c>
      <c r="P325">
        <f>COUNTIF(A2:A325,A325)</f>
        <v>1</v>
      </c>
      <c r="Q325" s="39">
        <f t="shared" si="26"/>
        <v>42481</v>
      </c>
    </row>
    <row r="326" spans="1:17" x14ac:dyDescent="0.3">
      <c r="A326" t="str">
        <f t="shared" si="24"/>
        <v>SectionD_Exam200983.56779</v>
      </c>
      <c r="B326" t="s">
        <v>871</v>
      </c>
      <c r="C326" t="s">
        <v>769</v>
      </c>
      <c r="D326">
        <v>2009</v>
      </c>
      <c r="E326">
        <v>8</v>
      </c>
      <c r="F326">
        <v>3.5</v>
      </c>
      <c r="G326">
        <v>67</v>
      </c>
      <c r="H326">
        <v>79</v>
      </c>
      <c r="I326">
        <v>2.75</v>
      </c>
      <c r="J326" s="15">
        <v>42481.371122685188</v>
      </c>
      <c r="K326" s="15">
        <v>42481.382337962961</v>
      </c>
      <c r="N326" t="s">
        <v>1494</v>
      </c>
      <c r="O326" s="17">
        <f t="shared" si="25"/>
        <v>16.149999992921948</v>
      </c>
      <c r="P326">
        <f>COUNTIF(A2:A326,A326)</f>
        <v>1</v>
      </c>
      <c r="Q326" s="39">
        <f t="shared" si="26"/>
        <v>42481</v>
      </c>
    </row>
    <row r="327" spans="1:17" x14ac:dyDescent="0.3">
      <c r="A327" t="str">
        <f t="shared" si="24"/>
        <v>SectionD_Exam20041216375</v>
      </c>
      <c r="B327" t="s">
        <v>871</v>
      </c>
      <c r="C327" t="s">
        <v>769</v>
      </c>
      <c r="D327">
        <v>2004</v>
      </c>
      <c r="E327">
        <v>12</v>
      </c>
      <c r="F327">
        <v>1</v>
      </c>
      <c r="G327">
        <v>63</v>
      </c>
      <c r="H327">
        <v>75</v>
      </c>
      <c r="I327">
        <v>1</v>
      </c>
      <c r="J327" s="15">
        <v>42481.382337962961</v>
      </c>
      <c r="K327" s="15">
        <v>42481.384085648147</v>
      </c>
      <c r="O327" s="17">
        <f t="shared" si="25"/>
        <v>2.516666668234393</v>
      </c>
      <c r="P327">
        <f>COUNTIF(A2:A327,A327)</f>
        <v>1</v>
      </c>
      <c r="Q327" s="39">
        <f t="shared" si="26"/>
        <v>42481</v>
      </c>
    </row>
    <row r="328" spans="1:17" hidden="1" x14ac:dyDescent="0.3">
      <c r="A328" t="str">
        <f t="shared" si="24"/>
        <v>SectionC_SampleQTIA422731</v>
      </c>
      <c r="B328" t="s">
        <v>867</v>
      </c>
      <c r="C328" t="s">
        <v>770</v>
      </c>
      <c r="D328" t="s">
        <v>196</v>
      </c>
      <c r="E328">
        <v>4</v>
      </c>
      <c r="F328">
        <v>2</v>
      </c>
      <c r="G328">
        <v>27</v>
      </c>
      <c r="H328">
        <v>31</v>
      </c>
      <c r="I328">
        <v>1</v>
      </c>
      <c r="J328" s="15">
        <v>42464.787893518522</v>
      </c>
      <c r="K328" s="15">
        <v>42464.794756944444</v>
      </c>
      <c r="O328" s="17">
        <f t="shared" si="25"/>
        <v>9.8833333281800151</v>
      </c>
      <c r="P328">
        <f>COUNTIF(A202:A328,A328)</f>
        <v>1</v>
      </c>
      <c r="Q328" s="39">
        <f t="shared" si="26"/>
        <v>42464</v>
      </c>
    </row>
    <row r="329" spans="1:17" x14ac:dyDescent="0.3">
      <c r="A329" t="str">
        <f t="shared" si="24"/>
        <v>SectionD_Exam2012174.52953</v>
      </c>
      <c r="B329" t="s">
        <v>871</v>
      </c>
      <c r="C329" t="s">
        <v>768</v>
      </c>
      <c r="D329">
        <v>2012</v>
      </c>
      <c r="E329">
        <v>17</v>
      </c>
      <c r="F329">
        <v>4.5</v>
      </c>
      <c r="G329">
        <v>29</v>
      </c>
      <c r="H329">
        <v>53</v>
      </c>
      <c r="I329">
        <v>1</v>
      </c>
      <c r="J329" s="15">
        <v>42481.384930555556</v>
      </c>
      <c r="K329" s="15">
        <v>42481.451620370368</v>
      </c>
      <c r="M329">
        <v>1</v>
      </c>
      <c r="N329" t="s">
        <v>1496</v>
      </c>
      <c r="O329" s="17">
        <f t="shared" si="25"/>
        <v>96.033333329251036</v>
      </c>
      <c r="P329">
        <f>COUNTIF(A2:A329,A329)</f>
        <v>1</v>
      </c>
      <c r="Q329" s="39">
        <f t="shared" si="26"/>
        <v>42481</v>
      </c>
    </row>
    <row r="330" spans="1:17" x14ac:dyDescent="0.3">
      <c r="A330" t="str">
        <f t="shared" si="24"/>
        <v>SectionD_SampleQTIA6213</v>
      </c>
      <c r="B330" t="s">
        <v>868</v>
      </c>
      <c r="C330" t="s">
        <v>774</v>
      </c>
      <c r="D330" t="s">
        <v>196</v>
      </c>
      <c r="E330">
        <v>6</v>
      </c>
      <c r="F330">
        <v>2</v>
      </c>
      <c r="G330">
        <v>1</v>
      </c>
      <c r="H330">
        <v>3</v>
      </c>
      <c r="I330">
        <v>1</v>
      </c>
      <c r="J330" s="15">
        <v>42481.451620370368</v>
      </c>
      <c r="K330" s="15">
        <v>42481.457337962966</v>
      </c>
      <c r="M330">
        <v>1</v>
      </c>
      <c r="N330" t="s">
        <v>1497</v>
      </c>
      <c r="O330" s="17">
        <f t="shared" si="25"/>
        <v>8.2333333406131715</v>
      </c>
      <c r="P330">
        <f>COUNTIF(A2:A330,A330)</f>
        <v>1</v>
      </c>
      <c r="Q330" s="39">
        <f t="shared" si="26"/>
        <v>42481</v>
      </c>
    </row>
    <row r="331" spans="1:17" x14ac:dyDescent="0.3">
      <c r="A331" t="str">
        <f t="shared" si="24"/>
        <v>SectionD_Exam2011192.52851</v>
      </c>
      <c r="B331" t="s">
        <v>871</v>
      </c>
      <c r="C331" t="s">
        <v>768</v>
      </c>
      <c r="D331">
        <v>2011</v>
      </c>
      <c r="E331">
        <v>19</v>
      </c>
      <c r="F331">
        <v>2.5</v>
      </c>
      <c r="G331">
        <v>28</v>
      </c>
      <c r="H331">
        <v>51</v>
      </c>
      <c r="I331">
        <v>0</v>
      </c>
      <c r="J331" s="15">
        <v>42481.457337962966</v>
      </c>
      <c r="K331" s="15">
        <v>42481.464039351849</v>
      </c>
      <c r="M331">
        <v>1</v>
      </c>
      <c r="N331" t="s">
        <v>1498</v>
      </c>
      <c r="O331" s="17">
        <f t="shared" si="25"/>
        <v>9.6499999926891178</v>
      </c>
      <c r="P331">
        <f>COUNTIF(A2:A331,A331)</f>
        <v>1</v>
      </c>
      <c r="Q331" s="39">
        <f t="shared" si="26"/>
        <v>42481</v>
      </c>
    </row>
    <row r="332" spans="1:17" x14ac:dyDescent="0.3">
      <c r="A332" t="str">
        <f t="shared" si="24"/>
        <v>SectionD_Exam2012153.75194200</v>
      </c>
      <c r="B332" t="s">
        <v>871</v>
      </c>
      <c r="C332" t="s">
        <v>772</v>
      </c>
      <c r="D332">
        <v>2012</v>
      </c>
      <c r="E332">
        <v>15</v>
      </c>
      <c r="F332">
        <v>3.75</v>
      </c>
      <c r="G332">
        <v>194</v>
      </c>
      <c r="H332">
        <v>200</v>
      </c>
      <c r="I332">
        <v>0</v>
      </c>
      <c r="J332" s="15">
        <v>42481.866944444446</v>
      </c>
      <c r="K332" s="15">
        <v>42481.896215277775</v>
      </c>
      <c r="M332">
        <v>1</v>
      </c>
      <c r="N332" t="s">
        <v>1499</v>
      </c>
      <c r="O332" s="17">
        <f t="shared" si="25"/>
        <v>42.149999993853271</v>
      </c>
      <c r="P332">
        <f>COUNTIF(A2:A332,A332)</f>
        <v>1</v>
      </c>
      <c r="Q332" s="39">
        <f t="shared" si="26"/>
        <v>42481</v>
      </c>
    </row>
    <row r="333" spans="1:17" x14ac:dyDescent="0.3">
      <c r="A333" t="str">
        <f t="shared" si="24"/>
        <v>SectionD_Exam2011202.75123150</v>
      </c>
      <c r="B333" t="s">
        <v>871</v>
      </c>
      <c r="C333" t="s">
        <v>780</v>
      </c>
      <c r="D333">
        <v>2011</v>
      </c>
      <c r="E333">
        <v>20</v>
      </c>
      <c r="F333">
        <v>2.75</v>
      </c>
      <c r="G333">
        <v>123</v>
      </c>
      <c r="H333">
        <v>150</v>
      </c>
      <c r="I333">
        <v>1.5</v>
      </c>
      <c r="J333" s="15">
        <v>42481.896215277775</v>
      </c>
      <c r="K333" s="15">
        <v>42481.908634259256</v>
      </c>
      <c r="M333">
        <v>1</v>
      </c>
      <c r="N333" t="s">
        <v>1500</v>
      </c>
      <c r="O333" s="17">
        <f t="shared" si="25"/>
        <v>17.883333333302289</v>
      </c>
      <c r="P333">
        <f>COUNTIF(A2:A333,A333)</f>
        <v>1</v>
      </c>
      <c r="Q333" s="39">
        <f t="shared" si="26"/>
        <v>42481</v>
      </c>
    </row>
    <row r="334" spans="1:17" x14ac:dyDescent="0.3">
      <c r="A334" t="str">
        <f t="shared" si="24"/>
        <v>SectionD_Exam2000274.51733</v>
      </c>
      <c r="B334" t="s">
        <v>871</v>
      </c>
      <c r="C334" t="s">
        <v>768</v>
      </c>
      <c r="D334">
        <v>2000</v>
      </c>
      <c r="E334">
        <v>27</v>
      </c>
      <c r="F334">
        <v>4.5</v>
      </c>
      <c r="G334">
        <v>17</v>
      </c>
      <c r="H334">
        <v>33</v>
      </c>
      <c r="I334">
        <v>0</v>
      </c>
      <c r="J334" s="15">
        <v>42481.908634259256</v>
      </c>
      <c r="K334" s="15">
        <v>42482.555138888885</v>
      </c>
      <c r="O334" s="17">
        <f t="shared" si="25"/>
        <v>930.96666666562669</v>
      </c>
      <c r="P334">
        <f>COUNTIF(A2:A334,A334)</f>
        <v>1</v>
      </c>
      <c r="Q334" s="39">
        <f t="shared" si="26"/>
        <v>42481</v>
      </c>
    </row>
    <row r="335" spans="1:17" x14ac:dyDescent="0.3">
      <c r="A335" t="str">
        <f t="shared" si="24"/>
        <v>SectionD_Exam20022726273</v>
      </c>
      <c r="B335" t="s">
        <v>871</v>
      </c>
      <c r="C335" t="s">
        <v>769</v>
      </c>
      <c r="D335">
        <v>2002</v>
      </c>
      <c r="E335">
        <v>27</v>
      </c>
      <c r="F335">
        <v>2</v>
      </c>
      <c r="G335">
        <v>62</v>
      </c>
      <c r="H335">
        <v>73</v>
      </c>
      <c r="I335">
        <v>0</v>
      </c>
      <c r="J335" s="15">
        <v>42482.555138888885</v>
      </c>
      <c r="K335" s="15">
        <v>42482.555173611108</v>
      </c>
      <c r="O335" s="17">
        <f t="shared" si="25"/>
        <v>5.0000001210719347E-2</v>
      </c>
      <c r="P335">
        <f>COUNTIF(A2:A335,A335)</f>
        <v>1</v>
      </c>
      <c r="Q335" s="39">
        <f t="shared" si="26"/>
        <v>42482</v>
      </c>
    </row>
    <row r="336" spans="1:17" x14ac:dyDescent="0.3">
      <c r="A336" t="str">
        <f t="shared" si="24"/>
        <v>SectionD_Exam200116118</v>
      </c>
      <c r="B336" t="s">
        <v>871</v>
      </c>
      <c r="C336" t="s">
        <v>774</v>
      </c>
      <c r="D336">
        <v>2001</v>
      </c>
      <c r="E336">
        <v>16</v>
      </c>
      <c r="F336">
        <v>1</v>
      </c>
      <c r="G336">
        <v>1</v>
      </c>
      <c r="H336">
        <v>8</v>
      </c>
      <c r="I336">
        <v>0</v>
      </c>
      <c r="J336" s="15">
        <v>42482.555173611108</v>
      </c>
      <c r="K336" s="15">
        <v>42482.555231481485</v>
      </c>
      <c r="M336">
        <v>1</v>
      </c>
      <c r="N336" t="s">
        <v>1509</v>
      </c>
      <c r="O336" s="17">
        <f t="shared" si="25"/>
        <v>8.3333342336118221E-2</v>
      </c>
      <c r="P336">
        <f>COUNTIF(A2:A336,A336)</f>
        <v>1</v>
      </c>
      <c r="Q336" s="39">
        <f t="shared" si="26"/>
        <v>42482</v>
      </c>
    </row>
    <row r="337" spans="1:17" x14ac:dyDescent="0.3">
      <c r="A337" t="str">
        <f t="shared" si="24"/>
        <v>SectionD_SampleQTIA125052</v>
      </c>
      <c r="B337" t="s">
        <v>868</v>
      </c>
      <c r="C337" t="s">
        <v>772</v>
      </c>
      <c r="D337" t="s">
        <v>196</v>
      </c>
      <c r="E337">
        <v>1</v>
      </c>
      <c r="F337">
        <v>2</v>
      </c>
      <c r="G337">
        <v>50</v>
      </c>
      <c r="H337">
        <v>52</v>
      </c>
      <c r="I337">
        <v>0</v>
      </c>
      <c r="J337" s="15">
        <v>42482.555231481485</v>
      </c>
      <c r="K337" s="15">
        <v>42482.555312500001</v>
      </c>
      <c r="M337">
        <v>1</v>
      </c>
      <c r="N337" t="s">
        <v>1510</v>
      </c>
      <c r="O337" s="17">
        <f t="shared" si="25"/>
        <v>0.11666666250675917</v>
      </c>
      <c r="P337">
        <f>COUNTIF(A2:A337,A337)</f>
        <v>1</v>
      </c>
      <c r="Q337" s="39">
        <f t="shared" si="26"/>
        <v>42482</v>
      </c>
    </row>
    <row r="338" spans="1:17" x14ac:dyDescent="0.3">
      <c r="A338" t="str">
        <f t="shared" si="24"/>
        <v>SectionD_Exam201082193199</v>
      </c>
      <c r="B338" t="s">
        <v>871</v>
      </c>
      <c r="C338" t="s">
        <v>772</v>
      </c>
      <c r="D338">
        <v>2010</v>
      </c>
      <c r="E338">
        <v>8</v>
      </c>
      <c r="F338">
        <v>2</v>
      </c>
      <c r="G338">
        <v>193</v>
      </c>
      <c r="H338">
        <v>199</v>
      </c>
      <c r="I338">
        <v>0</v>
      </c>
      <c r="J338" s="15">
        <v>42482.555312500001</v>
      </c>
      <c r="K338" s="15">
        <v>42482.555393518516</v>
      </c>
      <c r="O338" s="17">
        <f t="shared" si="25"/>
        <v>0.11666666250675917</v>
      </c>
      <c r="P338">
        <f>COUNTIF(A2:A338,A338)</f>
        <v>1</v>
      </c>
      <c r="Q338" s="39">
        <f t="shared" si="26"/>
        <v>42482</v>
      </c>
    </row>
    <row r="339" spans="1:17" x14ac:dyDescent="0.3">
      <c r="A339" t="str">
        <f t="shared" si="24"/>
        <v>SectionD_Exam2008154.5119146</v>
      </c>
      <c r="B339" t="s">
        <v>871</v>
      </c>
      <c r="C339" t="s">
        <v>780</v>
      </c>
      <c r="D339">
        <v>2008</v>
      </c>
      <c r="E339">
        <v>15</v>
      </c>
      <c r="F339">
        <v>4.5</v>
      </c>
      <c r="G339">
        <v>119</v>
      </c>
      <c r="H339">
        <v>146</v>
      </c>
      <c r="I339">
        <v>0</v>
      </c>
      <c r="J339" s="15">
        <v>42482.555393518516</v>
      </c>
      <c r="K339" s="15">
        <v>42482.555439814816</v>
      </c>
      <c r="M339">
        <v>1</v>
      </c>
      <c r="O339" s="17">
        <f t="shared" si="25"/>
        <v>6.6666671773418784E-2</v>
      </c>
      <c r="P339">
        <f>COUNTIF(A2:A339,A339)</f>
        <v>1</v>
      </c>
      <c r="Q339" s="39">
        <f t="shared" si="26"/>
        <v>42482</v>
      </c>
    </row>
    <row r="340" spans="1:17" hidden="1" x14ac:dyDescent="0.3">
      <c r="A340" t="str">
        <f t="shared" si="24"/>
        <v>SectionC_SampleQTIA522732</v>
      </c>
      <c r="B340" t="s">
        <v>867</v>
      </c>
      <c r="C340" t="s">
        <v>770</v>
      </c>
      <c r="D340" t="s">
        <v>196</v>
      </c>
      <c r="E340">
        <v>5</v>
      </c>
      <c r="F340">
        <v>2</v>
      </c>
      <c r="G340">
        <v>27</v>
      </c>
      <c r="H340">
        <v>32</v>
      </c>
      <c r="I340">
        <v>1.75</v>
      </c>
      <c r="J340" s="15">
        <v>42464.887488425928</v>
      </c>
      <c r="K340" s="15">
        <v>42464.892164351855</v>
      </c>
      <c r="O340" s="17">
        <f t="shared" si="25"/>
        <v>6.7333333357237279</v>
      </c>
      <c r="P340">
        <f>COUNTIF(A212:A340,A340)</f>
        <v>1</v>
      </c>
      <c r="Q340" s="39">
        <f t="shared" si="26"/>
        <v>42464</v>
      </c>
    </row>
    <row r="341" spans="1:17" x14ac:dyDescent="0.3">
      <c r="A341" t="str">
        <f t="shared" si="24"/>
        <v>SectionD_Exam2006174.5116141</v>
      </c>
      <c r="B341" t="s">
        <v>871</v>
      </c>
      <c r="C341" t="s">
        <v>780</v>
      </c>
      <c r="D341">
        <v>2006</v>
      </c>
      <c r="E341">
        <v>17</v>
      </c>
      <c r="F341">
        <v>4.5</v>
      </c>
      <c r="G341">
        <v>116</v>
      </c>
      <c r="H341">
        <v>141</v>
      </c>
      <c r="I341">
        <v>0</v>
      </c>
      <c r="J341" s="15">
        <v>42485.81925925926</v>
      </c>
      <c r="K341" s="15">
        <v>42485.869155092594</v>
      </c>
      <c r="M341">
        <v>1</v>
      </c>
      <c r="N341" t="s">
        <v>1511</v>
      </c>
      <c r="O341" s="17">
        <f t="shared" si="25"/>
        <v>71.850000000558794</v>
      </c>
      <c r="P341">
        <f>COUNTIF(A2:A341,A341)</f>
        <v>1</v>
      </c>
      <c r="Q341" s="39">
        <f t="shared" si="26"/>
        <v>42485</v>
      </c>
    </row>
    <row r="342" spans="1:17" x14ac:dyDescent="0.3">
      <c r="A342" t="str">
        <f t="shared" si="24"/>
        <v>SectionD_Exam2007193117143</v>
      </c>
      <c r="B342" t="s">
        <v>871</v>
      </c>
      <c r="C342" t="s">
        <v>780</v>
      </c>
      <c r="D342">
        <v>2007</v>
      </c>
      <c r="E342">
        <v>19</v>
      </c>
      <c r="F342">
        <v>3</v>
      </c>
      <c r="G342">
        <v>117</v>
      </c>
      <c r="H342">
        <v>143</v>
      </c>
      <c r="I342">
        <v>0</v>
      </c>
      <c r="J342" s="15">
        <v>42485.869155092594</v>
      </c>
      <c r="K342" s="15">
        <v>42485.875034722223</v>
      </c>
      <c r="M342">
        <v>1</v>
      </c>
      <c r="N342" t="s">
        <v>1512</v>
      </c>
      <c r="O342" s="17">
        <f t="shared" si="25"/>
        <v>8.4666666656266898</v>
      </c>
      <c r="P342">
        <f>COUNTIF(A2:A342,A342)</f>
        <v>1</v>
      </c>
      <c r="Q342" s="39">
        <f t="shared" si="26"/>
        <v>42485</v>
      </c>
    </row>
    <row r="343" spans="1:17" x14ac:dyDescent="0.3">
      <c r="A343" t="str">
        <f t="shared" si="24"/>
        <v>SectionD_Exam20011716172</v>
      </c>
      <c r="B343" t="s">
        <v>871</v>
      </c>
      <c r="C343" t="s">
        <v>769</v>
      </c>
      <c r="D343">
        <v>2001</v>
      </c>
      <c r="E343">
        <v>17</v>
      </c>
      <c r="F343">
        <v>1</v>
      </c>
      <c r="G343">
        <v>61</v>
      </c>
      <c r="H343">
        <v>72</v>
      </c>
      <c r="I343">
        <v>1</v>
      </c>
      <c r="J343" s="15">
        <v>42485.875034722223</v>
      </c>
      <c r="K343" s="15">
        <v>42485.877534722225</v>
      </c>
      <c r="O343" s="17">
        <f t="shared" si="25"/>
        <v>3.6000000033527613</v>
      </c>
      <c r="P343">
        <f>COUNTIF(A2:A343,A343)</f>
        <v>1</v>
      </c>
      <c r="Q343" s="39">
        <f t="shared" si="26"/>
        <v>42485</v>
      </c>
    </row>
    <row r="344" spans="1:17" x14ac:dyDescent="0.3">
      <c r="A344" t="str">
        <f t="shared" si="24"/>
        <v>SectionD_Exam2010153.5122149</v>
      </c>
      <c r="B344" t="s">
        <v>871</v>
      </c>
      <c r="C344" t="s">
        <v>780</v>
      </c>
      <c r="D344">
        <v>2010</v>
      </c>
      <c r="E344">
        <v>15</v>
      </c>
      <c r="F344">
        <v>3.5</v>
      </c>
      <c r="G344">
        <v>122</v>
      </c>
      <c r="H344">
        <v>149</v>
      </c>
      <c r="I344">
        <v>1.5</v>
      </c>
      <c r="J344" s="15">
        <v>42485.877534722225</v>
      </c>
      <c r="K344" s="15">
        <v>42485.88658564815</v>
      </c>
      <c r="M344">
        <v>1</v>
      </c>
      <c r="N344" t="s">
        <v>1513</v>
      </c>
      <c r="O344" s="17">
        <f t="shared" si="25"/>
        <v>13.033333331113681</v>
      </c>
      <c r="P344">
        <f>COUNTIF(A2:A344,A344)</f>
        <v>1</v>
      </c>
      <c r="Q344" s="39">
        <f t="shared" si="26"/>
        <v>42485</v>
      </c>
    </row>
    <row r="345" spans="1:17" x14ac:dyDescent="0.3">
      <c r="A345" t="str">
        <f t="shared" si="24"/>
        <v>SectionD_SampleQTIA2247</v>
      </c>
      <c r="B345" t="s">
        <v>868</v>
      </c>
      <c r="C345" t="s">
        <v>768</v>
      </c>
      <c r="D345" t="s">
        <v>196</v>
      </c>
      <c r="E345">
        <v>2</v>
      </c>
      <c r="F345">
        <v>2</v>
      </c>
      <c r="G345">
        <v>4</v>
      </c>
      <c r="H345">
        <v>7</v>
      </c>
      <c r="I345">
        <v>0</v>
      </c>
      <c r="J345" s="15">
        <v>42485.88658564815</v>
      </c>
      <c r="K345" s="15">
        <v>42485.88853009259</v>
      </c>
      <c r="M345">
        <v>1</v>
      </c>
      <c r="O345" s="17">
        <f t="shared" si="25"/>
        <v>2.7999999944586307</v>
      </c>
      <c r="P345">
        <f>COUNTIF(A2:A345,A345)</f>
        <v>1</v>
      </c>
      <c r="Q345" s="39">
        <f t="shared" si="26"/>
        <v>42485</v>
      </c>
    </row>
    <row r="346" spans="1:17" x14ac:dyDescent="0.3">
      <c r="A346" t="str">
        <f t="shared" si="24"/>
        <v>SectionD_SampleQTIA224144</v>
      </c>
      <c r="B346" t="s">
        <v>868</v>
      </c>
      <c r="C346" t="s">
        <v>773</v>
      </c>
      <c r="D346" t="s">
        <v>196</v>
      </c>
      <c r="E346">
        <v>2</v>
      </c>
      <c r="F346">
        <v>2</v>
      </c>
      <c r="G346">
        <v>41</v>
      </c>
      <c r="H346">
        <v>44</v>
      </c>
      <c r="I346">
        <v>2</v>
      </c>
      <c r="J346" s="15">
        <v>42485.88853009259</v>
      </c>
      <c r="K346" s="15">
        <v>42485.889814814815</v>
      </c>
      <c r="O346" s="17">
        <f t="shared" si="25"/>
        <v>1.8500000028871</v>
      </c>
      <c r="P346">
        <f>COUNTIF(A2:A346,A346)</f>
        <v>1</v>
      </c>
      <c r="Q346" s="39">
        <f t="shared" si="26"/>
        <v>42485</v>
      </c>
    </row>
    <row r="347" spans="1:17" hidden="1" x14ac:dyDescent="0.3">
      <c r="A347" t="str">
        <f t="shared" si="24"/>
        <v>SectionC_SampleQTIA122528</v>
      </c>
      <c r="B347" t="s">
        <v>867</v>
      </c>
      <c r="C347" t="s">
        <v>770</v>
      </c>
      <c r="D347" t="s">
        <v>196</v>
      </c>
      <c r="E347">
        <v>1</v>
      </c>
      <c r="F347">
        <v>2</v>
      </c>
      <c r="G347">
        <v>25</v>
      </c>
      <c r="H347">
        <v>28</v>
      </c>
      <c r="I347">
        <v>0</v>
      </c>
      <c r="J347" s="15">
        <v>42464.892164351855</v>
      </c>
      <c r="K347" s="15">
        <v>42464.895555555559</v>
      </c>
      <c r="M347">
        <v>1</v>
      </c>
      <c r="N347" t="s">
        <v>1282</v>
      </c>
      <c r="O347" s="17">
        <f t="shared" si="25"/>
        <v>4.883333332836628</v>
      </c>
      <c r="P347">
        <f>COUNTIF(A218:A347,A347)</f>
        <v>1</v>
      </c>
      <c r="Q347" s="39">
        <f t="shared" si="26"/>
        <v>42464</v>
      </c>
    </row>
    <row r="348" spans="1:17" x14ac:dyDescent="0.3">
      <c r="A348" t="str">
        <f t="shared" si="24"/>
        <v>SectionD_SampleQTIA325052</v>
      </c>
      <c r="B348" t="s">
        <v>868</v>
      </c>
      <c r="C348" t="s">
        <v>772</v>
      </c>
      <c r="D348" t="s">
        <v>196</v>
      </c>
      <c r="E348">
        <v>3</v>
      </c>
      <c r="F348">
        <v>2</v>
      </c>
      <c r="G348">
        <v>50</v>
      </c>
      <c r="H348">
        <v>52</v>
      </c>
      <c r="I348">
        <v>2</v>
      </c>
      <c r="J348" s="15">
        <v>42486.395983796298</v>
      </c>
      <c r="K348" s="15">
        <v>42486.396828703706</v>
      </c>
      <c r="O348" s="17">
        <f t="shared" si="25"/>
        <v>1.2166666681878269</v>
      </c>
      <c r="P348">
        <f>COUNTIF(A2:A348,A348)</f>
        <v>1</v>
      </c>
      <c r="Q348" s="39">
        <f t="shared" si="26"/>
        <v>42486</v>
      </c>
    </row>
    <row r="349" spans="1:17" x14ac:dyDescent="0.3">
      <c r="A349" t="str">
        <f t="shared" si="24"/>
        <v>SectionD_Exam2007131.56577</v>
      </c>
      <c r="B349" t="s">
        <v>871</v>
      </c>
      <c r="C349" t="s">
        <v>769</v>
      </c>
      <c r="D349">
        <v>2007</v>
      </c>
      <c r="E349">
        <v>13</v>
      </c>
      <c r="F349">
        <v>1.5</v>
      </c>
      <c r="G349">
        <v>65</v>
      </c>
      <c r="H349">
        <v>77</v>
      </c>
      <c r="I349">
        <v>0</v>
      </c>
      <c r="J349" s="15">
        <v>42486.396828703706</v>
      </c>
      <c r="K349" s="15">
        <v>42486.400416666664</v>
      </c>
      <c r="M349">
        <v>1</v>
      </c>
      <c r="N349" t="s">
        <v>1514</v>
      </c>
      <c r="O349" s="17">
        <f t="shared" si="25"/>
        <v>5.1666666590608656</v>
      </c>
      <c r="P349">
        <f>COUNTIF(A2:A349,A349)</f>
        <v>1</v>
      </c>
      <c r="Q349" s="39">
        <f t="shared" si="26"/>
        <v>42486</v>
      </c>
    </row>
    <row r="350" spans="1:17" x14ac:dyDescent="0.3">
      <c r="A350" t="str">
        <f t="shared" si="24"/>
        <v>SectionD_Exam200884.252341</v>
      </c>
      <c r="B350" t="s">
        <v>871</v>
      </c>
      <c r="C350" t="s">
        <v>768</v>
      </c>
      <c r="D350">
        <v>2008</v>
      </c>
      <c r="E350">
        <v>8</v>
      </c>
      <c r="F350">
        <v>4.25</v>
      </c>
      <c r="G350">
        <v>23</v>
      </c>
      <c r="H350">
        <v>41</v>
      </c>
      <c r="I350">
        <v>3</v>
      </c>
      <c r="J350" s="15">
        <v>42486.400416666664</v>
      </c>
      <c r="K350" s="15">
        <v>42486.41983796296</v>
      </c>
      <c r="M350">
        <v>1</v>
      </c>
      <c r="N350" t="s">
        <v>1515</v>
      </c>
      <c r="O350" s="17">
        <f t="shared" si="25"/>
        <v>27.966666666325182</v>
      </c>
      <c r="P350">
        <f>COUNTIF(A2:A350,A350)</f>
        <v>1</v>
      </c>
      <c r="Q350" s="39">
        <f t="shared" si="26"/>
        <v>42486</v>
      </c>
    </row>
    <row r="351" spans="1:17" hidden="1" x14ac:dyDescent="0.3">
      <c r="A351" t="str">
        <f t="shared" si="24"/>
        <v>SectionC_SampleQTIA222529</v>
      </c>
      <c r="B351" t="s">
        <v>867</v>
      </c>
      <c r="C351" t="s">
        <v>770</v>
      </c>
      <c r="D351" t="s">
        <v>196</v>
      </c>
      <c r="E351">
        <v>2</v>
      </c>
      <c r="F351">
        <v>2</v>
      </c>
      <c r="G351">
        <v>25</v>
      </c>
      <c r="H351">
        <v>29</v>
      </c>
      <c r="I351">
        <v>2</v>
      </c>
      <c r="J351" s="15">
        <v>42481.384085648147</v>
      </c>
      <c r="K351" s="15">
        <v>42481.384930555556</v>
      </c>
      <c r="N351" t="s">
        <v>1495</v>
      </c>
      <c r="O351" s="17">
        <f t="shared" si="25"/>
        <v>1.2166666681878269</v>
      </c>
      <c r="P351">
        <f>COUNTIF(A25:A351,A351)</f>
        <v>1</v>
      </c>
      <c r="Q351" s="39">
        <f t="shared" si="26"/>
        <v>42481</v>
      </c>
    </row>
    <row r="352" spans="1:17" x14ac:dyDescent="0.3">
      <c r="A352" t="str">
        <f t="shared" ref="A352:A356" si="27">(B352&amp;D352&amp;E352&amp;F352&amp;G352&amp;H352)</f>
        <v>SectionD_Exam20052036475</v>
      </c>
      <c r="B352" t="s">
        <v>871</v>
      </c>
      <c r="C352" t="s">
        <v>769</v>
      </c>
      <c r="D352">
        <v>2005</v>
      </c>
      <c r="E352">
        <v>20</v>
      </c>
      <c r="F352">
        <v>3</v>
      </c>
      <c r="G352">
        <v>64</v>
      </c>
      <c r="H352">
        <v>75</v>
      </c>
      <c r="I352">
        <v>2</v>
      </c>
      <c r="J352" s="15">
        <v>42486.420138888891</v>
      </c>
      <c r="K352" s="15">
        <v>42486.423113425924</v>
      </c>
      <c r="M352">
        <v>1</v>
      </c>
      <c r="N352" t="s">
        <v>1516</v>
      </c>
      <c r="O352" s="17">
        <f t="shared" ref="O352:O356" si="28">(K352-J352)*60*24</f>
        <v>4.2833333287853748</v>
      </c>
      <c r="P352">
        <f>COUNTIF(A2:A352,A352)</f>
        <v>1</v>
      </c>
      <c r="Q352" s="39">
        <f t="shared" ref="Q352:Q356" si="29">DATE(YEAR(J352),MONTH(J352),DAY(J352))</f>
        <v>42486</v>
      </c>
    </row>
    <row r="353" spans="1:17" x14ac:dyDescent="0.3">
      <c r="A353" t="str">
        <f t="shared" si="27"/>
        <v>SectionD_SampleQTIA625053</v>
      </c>
      <c r="B353" t="s">
        <v>868</v>
      </c>
      <c r="C353" t="s">
        <v>772</v>
      </c>
      <c r="D353" t="s">
        <v>196</v>
      </c>
      <c r="E353">
        <v>6</v>
      </c>
      <c r="F353">
        <v>2</v>
      </c>
      <c r="G353">
        <v>50</v>
      </c>
      <c r="H353">
        <v>53</v>
      </c>
      <c r="I353">
        <v>2</v>
      </c>
      <c r="J353" s="15">
        <v>42486.423113425924</v>
      </c>
      <c r="K353" s="15">
        <v>42486.425949074073</v>
      </c>
      <c r="O353" s="17">
        <f t="shared" si="28"/>
        <v>4.0833333344198763</v>
      </c>
      <c r="P353">
        <f>COUNTIF(A2:A353,A353)</f>
        <v>1</v>
      </c>
      <c r="Q353" s="39">
        <f t="shared" si="29"/>
        <v>42486</v>
      </c>
    </row>
    <row r="354" spans="1:17" x14ac:dyDescent="0.3">
      <c r="A354" t="str">
        <f t="shared" si="27"/>
        <v>SectionD_SampleQTIA225052</v>
      </c>
      <c r="B354" t="s">
        <v>868</v>
      </c>
      <c r="C354" t="s">
        <v>772</v>
      </c>
      <c r="D354" t="s">
        <v>196</v>
      </c>
      <c r="E354">
        <v>2</v>
      </c>
      <c r="F354">
        <v>2</v>
      </c>
      <c r="G354">
        <v>50</v>
      </c>
      <c r="H354">
        <v>52</v>
      </c>
      <c r="I354">
        <v>1</v>
      </c>
      <c r="J354" s="15">
        <v>42486.425949074073</v>
      </c>
      <c r="K354" s="15">
        <v>42486.426435185182</v>
      </c>
      <c r="M354">
        <v>1</v>
      </c>
      <c r="N354" t="s">
        <v>1517</v>
      </c>
      <c r="O354" s="17">
        <f t="shared" si="28"/>
        <v>0.69999999599531293</v>
      </c>
      <c r="P354">
        <f>COUNTIF(A2:A354,A354)</f>
        <v>1</v>
      </c>
      <c r="Q354" s="39">
        <f t="shared" si="29"/>
        <v>42486</v>
      </c>
    </row>
    <row r="355" spans="1:17" x14ac:dyDescent="0.3">
      <c r="A355" t="str">
        <f t="shared" si="27"/>
        <v>SectionD_SampleQTIA121415</v>
      </c>
      <c r="B355" t="s">
        <v>868</v>
      </c>
      <c r="C355" t="s">
        <v>769</v>
      </c>
      <c r="D355" t="s">
        <v>196</v>
      </c>
      <c r="E355">
        <v>1</v>
      </c>
      <c r="F355">
        <v>2</v>
      </c>
      <c r="G355">
        <v>14</v>
      </c>
      <c r="H355">
        <v>15</v>
      </c>
      <c r="I355">
        <v>2</v>
      </c>
      <c r="J355" s="15">
        <v>42486.426435185182</v>
      </c>
      <c r="K355" s="15">
        <v>42486.427407407406</v>
      </c>
      <c r="O355" s="17">
        <f t="shared" si="28"/>
        <v>1.4000000024680048</v>
      </c>
      <c r="P355">
        <f>COUNTIF(A2:A355,A355)</f>
        <v>1</v>
      </c>
      <c r="Q355" s="39">
        <f t="shared" si="29"/>
        <v>42486</v>
      </c>
    </row>
    <row r="356" spans="1:17" x14ac:dyDescent="0.3">
      <c r="A356" t="str">
        <f t="shared" si="27"/>
        <v>SectionD_Exam200892.52343</v>
      </c>
      <c r="B356" t="s">
        <v>871</v>
      </c>
      <c r="C356" t="s">
        <v>768</v>
      </c>
      <c r="D356">
        <v>2008</v>
      </c>
      <c r="E356">
        <v>9</v>
      </c>
      <c r="F356">
        <v>2.5</v>
      </c>
      <c r="G356">
        <v>23</v>
      </c>
      <c r="H356">
        <v>43</v>
      </c>
      <c r="I356">
        <v>1</v>
      </c>
      <c r="J356" s="15">
        <v>42486.427407407406</v>
      </c>
      <c r="K356" s="15">
        <v>42486.440069444441</v>
      </c>
      <c r="M356">
        <v>1</v>
      </c>
      <c r="N356" t="s">
        <v>1518</v>
      </c>
      <c r="O356" s="17">
        <f t="shared" si="28"/>
        <v>18.233333331299946</v>
      </c>
      <c r="P356">
        <f>COUNTIF(A2:A356,A356)</f>
        <v>1</v>
      </c>
      <c r="Q356" s="39">
        <f t="shared" si="29"/>
        <v>42486</v>
      </c>
    </row>
    <row r="357" spans="1:17" x14ac:dyDescent="0.3">
      <c r="A357" t="str">
        <f t="shared" ref="A357:A362" si="30">(B357&amp;D357&amp;E357&amp;F357&amp;G357&amp;H357)</f>
        <v>SectionD_Exam2008192413</v>
      </c>
      <c r="B357" t="s">
        <v>871</v>
      </c>
      <c r="C357" t="s">
        <v>774</v>
      </c>
      <c r="D357">
        <v>2008</v>
      </c>
      <c r="E357">
        <v>19</v>
      </c>
      <c r="F357">
        <v>2</v>
      </c>
      <c r="G357">
        <v>4</v>
      </c>
      <c r="H357">
        <v>13</v>
      </c>
      <c r="I357">
        <v>1</v>
      </c>
      <c r="J357" s="15">
        <v>42486.692939814813</v>
      </c>
      <c r="K357" s="15">
        <v>42486.705254629633</v>
      </c>
      <c r="O357" s="17">
        <f t="shared" ref="O357:O362" si="31">(K357-J357)*60*24</f>
        <v>17.73333334014751</v>
      </c>
      <c r="P357">
        <f>COUNTIF(A2:A357,A357)</f>
        <v>1</v>
      </c>
      <c r="Q357" s="39">
        <f t="shared" ref="Q357:Q362" si="32">DATE(YEAR(J357),MONTH(J357),DAY(J357))</f>
        <v>42486</v>
      </c>
    </row>
    <row r="358" spans="1:17" x14ac:dyDescent="0.3">
      <c r="A358" t="str">
        <f t="shared" si="30"/>
        <v>SectionD_Exam2007213412</v>
      </c>
      <c r="B358" t="s">
        <v>871</v>
      </c>
      <c r="C358" t="s">
        <v>774</v>
      </c>
      <c r="D358">
        <v>2007</v>
      </c>
      <c r="E358">
        <v>21</v>
      </c>
      <c r="F358">
        <v>3</v>
      </c>
      <c r="G358">
        <v>4</v>
      </c>
      <c r="H358">
        <v>12</v>
      </c>
      <c r="I358">
        <v>1</v>
      </c>
      <c r="J358" s="15">
        <v>42486.705254629633</v>
      </c>
      <c r="K358" s="15">
        <v>42486.762870370374</v>
      </c>
      <c r="M358">
        <v>1</v>
      </c>
      <c r="N358" t="s">
        <v>1519</v>
      </c>
      <c r="O358" s="17">
        <f t="shared" si="31"/>
        <v>82.966666667489335</v>
      </c>
      <c r="P358">
        <f>COUNTIF(A2:A358,A358)</f>
        <v>1</v>
      </c>
      <c r="Q358" s="39">
        <f t="shared" si="32"/>
        <v>42486</v>
      </c>
    </row>
    <row r="359" spans="1:17" x14ac:dyDescent="0.3">
      <c r="A359" t="str">
        <f t="shared" si="30"/>
        <v>SectionD_Exam2004342164174</v>
      </c>
      <c r="B359" t="s">
        <v>871</v>
      </c>
      <c r="C359" t="s">
        <v>773</v>
      </c>
      <c r="D359">
        <v>2004</v>
      </c>
      <c r="E359">
        <v>34</v>
      </c>
      <c r="F359">
        <v>2</v>
      </c>
      <c r="G359">
        <v>164</v>
      </c>
      <c r="H359">
        <v>174</v>
      </c>
      <c r="I359">
        <v>1</v>
      </c>
      <c r="J359" s="15">
        <v>42486.762870370374</v>
      </c>
      <c r="K359" s="15">
        <v>42486.76390046296</v>
      </c>
      <c r="M359">
        <v>1</v>
      </c>
      <c r="N359" t="s">
        <v>1520</v>
      </c>
      <c r="O359" s="17">
        <f t="shared" si="31"/>
        <v>1.4833333238493651</v>
      </c>
      <c r="P359">
        <f>COUNTIF(A2:A359,A359)</f>
        <v>1</v>
      </c>
      <c r="Q359" s="39">
        <f t="shared" si="32"/>
        <v>42486</v>
      </c>
    </row>
    <row r="360" spans="1:17" x14ac:dyDescent="0.3">
      <c r="A360" t="str">
        <f t="shared" si="30"/>
        <v>SectionD_Exam2012153.75194200</v>
      </c>
      <c r="B360" t="s">
        <v>871</v>
      </c>
      <c r="C360" t="s">
        <v>772</v>
      </c>
      <c r="D360">
        <v>2012</v>
      </c>
      <c r="E360">
        <v>15</v>
      </c>
      <c r="F360">
        <v>3.75</v>
      </c>
      <c r="G360">
        <v>194</v>
      </c>
      <c r="H360">
        <v>200</v>
      </c>
      <c r="I360">
        <v>1.5</v>
      </c>
      <c r="J360" s="15">
        <v>42486.76390046296</v>
      </c>
      <c r="K360" s="15">
        <v>42486.772905092592</v>
      </c>
      <c r="M360">
        <v>1</v>
      </c>
      <c r="N360" t="s">
        <v>1521</v>
      </c>
      <c r="O360" s="17">
        <f t="shared" si="31"/>
        <v>12.966666669817641</v>
      </c>
      <c r="P360">
        <f>COUNTIF(A2:A360,A360)</f>
        <v>2</v>
      </c>
      <c r="Q360" s="39">
        <f t="shared" si="32"/>
        <v>42486</v>
      </c>
    </row>
    <row r="361" spans="1:17" x14ac:dyDescent="0.3">
      <c r="A361" t="str">
        <f t="shared" si="30"/>
        <v>SectionD_Exam2007234166179</v>
      </c>
      <c r="B361" t="s">
        <v>871</v>
      </c>
      <c r="C361" t="s">
        <v>773</v>
      </c>
      <c r="D361">
        <v>2007</v>
      </c>
      <c r="E361">
        <v>23</v>
      </c>
      <c r="F361">
        <v>4</v>
      </c>
      <c r="G361">
        <v>166</v>
      </c>
      <c r="H361">
        <v>179</v>
      </c>
      <c r="I361">
        <v>4</v>
      </c>
      <c r="J361" s="15">
        <v>42486.772905092592</v>
      </c>
      <c r="K361" s="15">
        <v>42486.776898148149</v>
      </c>
      <c r="O361" s="17">
        <f t="shared" si="31"/>
        <v>5.7500000030267984</v>
      </c>
      <c r="P361">
        <f>COUNTIF(A2:A361,A361)</f>
        <v>1</v>
      </c>
      <c r="Q361" s="39">
        <f t="shared" si="32"/>
        <v>42486</v>
      </c>
    </row>
    <row r="362" spans="1:17" x14ac:dyDescent="0.3">
      <c r="A362" t="str">
        <f t="shared" si="30"/>
        <v>SectionD_Exam2009936780</v>
      </c>
      <c r="B362" t="s">
        <v>871</v>
      </c>
      <c r="C362" t="s">
        <v>769</v>
      </c>
      <c r="D362">
        <v>2009</v>
      </c>
      <c r="E362">
        <v>9</v>
      </c>
      <c r="F362">
        <v>3</v>
      </c>
      <c r="G362">
        <v>67</v>
      </c>
      <c r="H362">
        <v>80</v>
      </c>
      <c r="I362">
        <v>1.5</v>
      </c>
      <c r="J362" s="15">
        <v>42486.776898148149</v>
      </c>
      <c r="K362" s="15">
        <v>42486.781238425923</v>
      </c>
      <c r="M362">
        <v>1</v>
      </c>
      <c r="N362" t="s">
        <v>1522</v>
      </c>
      <c r="O362" s="17">
        <f t="shared" si="31"/>
        <v>6.2499999941792339</v>
      </c>
      <c r="P362">
        <f>COUNTIF(A2:A362,A362)</f>
        <v>1</v>
      </c>
      <c r="Q362" s="39">
        <f t="shared" si="32"/>
        <v>42486</v>
      </c>
    </row>
    <row r="363" spans="1:17" x14ac:dyDescent="0.3">
      <c r="A363" t="str">
        <f t="shared" ref="A363:A368" si="33">(B363&amp;D363&amp;E363&amp;F363&amp;G363&amp;H363)</f>
        <v>SectionD_Exam2007182.5117142</v>
      </c>
      <c r="B363" t="s">
        <v>871</v>
      </c>
      <c r="C363" t="s">
        <v>780</v>
      </c>
      <c r="D363">
        <v>2007</v>
      </c>
      <c r="E363">
        <v>18</v>
      </c>
      <c r="F363">
        <v>2.5</v>
      </c>
      <c r="G363">
        <v>117</v>
      </c>
      <c r="H363">
        <v>142</v>
      </c>
      <c r="I363">
        <v>2.5</v>
      </c>
      <c r="J363" s="15">
        <v>42486.962337962963</v>
      </c>
      <c r="K363" s="15">
        <v>42486.968148148146</v>
      </c>
      <c r="O363" s="17">
        <f t="shared" ref="O363:O368" si="34">(K363-J363)*60*24</f>
        <v>8.3666666632052511</v>
      </c>
      <c r="P363">
        <f>COUNTIF(A2:A363,A363)</f>
        <v>1</v>
      </c>
      <c r="Q363" s="39">
        <f t="shared" ref="Q363:Q368" si="35">DATE(YEAR(J363),MONTH(J363),DAY(J363))</f>
        <v>42486</v>
      </c>
    </row>
    <row r="364" spans="1:17" x14ac:dyDescent="0.3">
      <c r="A364" t="str">
        <f t="shared" si="33"/>
        <v>SectionD_Exam20051622037</v>
      </c>
      <c r="B364" t="s">
        <v>871</v>
      </c>
      <c r="C364" t="s">
        <v>768</v>
      </c>
      <c r="D364">
        <v>2005</v>
      </c>
      <c r="E364">
        <v>16</v>
      </c>
      <c r="F364">
        <v>2</v>
      </c>
      <c r="G364">
        <v>20</v>
      </c>
      <c r="H364">
        <v>37</v>
      </c>
      <c r="I364">
        <v>1.5</v>
      </c>
      <c r="J364" s="15">
        <v>42486.968148148146</v>
      </c>
      <c r="K364" s="15">
        <v>42486.969039351854</v>
      </c>
      <c r="M364">
        <v>1</v>
      </c>
      <c r="N364" t="s">
        <v>1523</v>
      </c>
      <c r="O364" s="17">
        <f t="shared" si="34"/>
        <v>1.2833333399612457</v>
      </c>
      <c r="P364">
        <f>COUNTIF(A2:A364,A364)</f>
        <v>1</v>
      </c>
      <c r="Q364" s="39">
        <f t="shared" si="35"/>
        <v>42486</v>
      </c>
    </row>
    <row r="365" spans="1:17" x14ac:dyDescent="0.3">
      <c r="A365" t="str">
        <f t="shared" si="33"/>
        <v>SectionD_SampleQTIA6259</v>
      </c>
      <c r="B365" t="s">
        <v>868</v>
      </c>
      <c r="C365" t="s">
        <v>768</v>
      </c>
      <c r="D365" t="s">
        <v>196</v>
      </c>
      <c r="E365">
        <v>6</v>
      </c>
      <c r="F365">
        <v>2</v>
      </c>
      <c r="G365">
        <v>5</v>
      </c>
      <c r="H365">
        <v>9</v>
      </c>
      <c r="I365">
        <v>1</v>
      </c>
      <c r="J365" s="15">
        <v>42486.969039351854</v>
      </c>
      <c r="K365" s="15">
        <v>42486.971446759257</v>
      </c>
      <c r="M365">
        <v>1</v>
      </c>
      <c r="N365" t="s">
        <v>1524</v>
      </c>
      <c r="O365" s="17">
        <f t="shared" si="34"/>
        <v>3.4666666598059237</v>
      </c>
      <c r="P365">
        <f>COUNTIF(A2:A365,A365)</f>
        <v>1</v>
      </c>
      <c r="Q365" s="39">
        <f t="shared" si="35"/>
        <v>42486</v>
      </c>
    </row>
    <row r="366" spans="1:17" x14ac:dyDescent="0.3">
      <c r="A366" t="str">
        <f t="shared" si="33"/>
        <v>SectionD_Exam2005142116141</v>
      </c>
      <c r="B366" t="s">
        <v>871</v>
      </c>
      <c r="C366" t="s">
        <v>780</v>
      </c>
      <c r="D366">
        <v>2005</v>
      </c>
      <c r="E366">
        <v>14</v>
      </c>
      <c r="F366">
        <v>2</v>
      </c>
      <c r="G366">
        <v>116</v>
      </c>
      <c r="H366">
        <v>141</v>
      </c>
      <c r="I366">
        <v>1</v>
      </c>
      <c r="J366" s="15">
        <v>42486.971446759257</v>
      </c>
      <c r="K366" s="15">
        <v>42486.991782407407</v>
      </c>
      <c r="M366">
        <v>1</v>
      </c>
      <c r="N366" t="s">
        <v>1525</v>
      </c>
      <c r="O366" s="17">
        <f t="shared" si="34"/>
        <v>29.283333336934447</v>
      </c>
      <c r="P366">
        <f>COUNTIF(A2:A366,A366)</f>
        <v>1</v>
      </c>
      <c r="Q366" s="39">
        <f t="shared" si="35"/>
        <v>42486</v>
      </c>
    </row>
    <row r="367" spans="1:17" x14ac:dyDescent="0.3">
      <c r="A367" t="str">
        <f t="shared" si="33"/>
        <v>SectionD_Exam2001434111132</v>
      </c>
      <c r="B367" t="s">
        <v>871</v>
      </c>
      <c r="C367" t="s">
        <v>780</v>
      </c>
      <c r="D367">
        <v>2001</v>
      </c>
      <c r="E367">
        <v>43</v>
      </c>
      <c r="F367">
        <v>4</v>
      </c>
      <c r="G367">
        <v>111</v>
      </c>
      <c r="H367">
        <v>132</v>
      </c>
      <c r="I367">
        <v>2</v>
      </c>
      <c r="J367" s="15">
        <v>42486.991782407407</v>
      </c>
      <c r="K367" s="15">
        <v>42486.997627314813</v>
      </c>
      <c r="M367">
        <v>1</v>
      </c>
      <c r="O367" s="17">
        <f t="shared" si="34"/>
        <v>8.4166666644159704</v>
      </c>
      <c r="P367">
        <f>COUNTIF(A2:A367,A367)</f>
        <v>1</v>
      </c>
      <c r="Q367" s="39">
        <f t="shared" si="35"/>
        <v>42486</v>
      </c>
    </row>
    <row r="368" spans="1:17" x14ac:dyDescent="0.3">
      <c r="A368" t="str">
        <f t="shared" si="33"/>
        <v>SectionD_Exam2008172.56678</v>
      </c>
      <c r="B368" t="s">
        <v>871</v>
      </c>
      <c r="C368" t="s">
        <v>769</v>
      </c>
      <c r="D368">
        <v>2008</v>
      </c>
      <c r="E368">
        <v>17</v>
      </c>
      <c r="F368">
        <v>2.5</v>
      </c>
      <c r="G368">
        <v>66</v>
      </c>
      <c r="H368">
        <v>78</v>
      </c>
      <c r="I368">
        <v>0</v>
      </c>
      <c r="J368" s="15">
        <v>42486.997627314813</v>
      </c>
      <c r="K368" s="15">
        <v>42487.000509259262</v>
      </c>
      <c r="M368">
        <v>1</v>
      </c>
      <c r="O368" s="17">
        <f t="shared" si="34"/>
        <v>4.1500000061932951</v>
      </c>
      <c r="P368">
        <f>COUNTIF(A2:A368,A368)</f>
        <v>1</v>
      </c>
      <c r="Q368" s="39">
        <f t="shared" si="35"/>
        <v>42486</v>
      </c>
    </row>
    <row r="369" spans="1:17" x14ac:dyDescent="0.3">
      <c r="A369" t="str">
        <f t="shared" ref="A369:A384" si="36">(B369&amp;D369&amp;E369&amp;F369&amp;G369&amp;H369)</f>
        <v>SectionD_Exam20081816678</v>
      </c>
      <c r="B369" t="s">
        <v>871</v>
      </c>
      <c r="C369" t="s">
        <v>769</v>
      </c>
      <c r="D369">
        <v>2008</v>
      </c>
      <c r="E369">
        <v>18</v>
      </c>
      <c r="F369">
        <v>1</v>
      </c>
      <c r="G369">
        <v>66</v>
      </c>
      <c r="H369">
        <v>78</v>
      </c>
      <c r="I369">
        <v>1</v>
      </c>
      <c r="J369" s="15">
        <v>42487.736018518517</v>
      </c>
      <c r="K369" s="15">
        <v>42487.736817129633</v>
      </c>
      <c r="O369" s="17">
        <f t="shared" ref="O369:O384" si="37">(K369-J369)*60*24</f>
        <v>1.1500000068917871</v>
      </c>
      <c r="P369">
        <f>COUNTIF(A2:A369,A369)</f>
        <v>1</v>
      </c>
      <c r="Q369" s="39">
        <f t="shared" ref="Q369:Q384" si="38">DATE(YEAR(J369),MONTH(J369),DAY(J369))</f>
        <v>42487</v>
      </c>
    </row>
    <row r="370" spans="1:17" x14ac:dyDescent="0.3">
      <c r="A370" t="str">
        <f t="shared" si="36"/>
        <v>SectionD_SampleQTIA1122839</v>
      </c>
      <c r="B370" t="s">
        <v>868</v>
      </c>
      <c r="C370" t="s">
        <v>780</v>
      </c>
      <c r="D370" t="s">
        <v>196</v>
      </c>
      <c r="E370">
        <v>11</v>
      </c>
      <c r="F370">
        <v>2</v>
      </c>
      <c r="G370">
        <v>28</v>
      </c>
      <c r="H370">
        <v>39</v>
      </c>
      <c r="I370">
        <v>2</v>
      </c>
      <c r="J370" s="15">
        <v>42487.736817129633</v>
      </c>
      <c r="K370" s="15">
        <v>42487.73982638889</v>
      </c>
      <c r="O370" s="17">
        <f t="shared" si="37"/>
        <v>4.3333333299960941</v>
      </c>
      <c r="P370">
        <f>COUNTIF(A2:A370,A370)</f>
        <v>1</v>
      </c>
      <c r="Q370" s="39">
        <f t="shared" si="38"/>
        <v>42487</v>
      </c>
    </row>
    <row r="371" spans="1:17" x14ac:dyDescent="0.3">
      <c r="A371" t="str">
        <f t="shared" si="36"/>
        <v>SectionD_Exam2005222311</v>
      </c>
      <c r="B371" t="s">
        <v>871</v>
      </c>
      <c r="C371" t="s">
        <v>774</v>
      </c>
      <c r="D371">
        <v>2005</v>
      </c>
      <c r="E371">
        <v>22</v>
      </c>
      <c r="F371">
        <v>2</v>
      </c>
      <c r="G371">
        <v>3</v>
      </c>
      <c r="H371">
        <v>11</v>
      </c>
      <c r="I371">
        <v>1.5</v>
      </c>
      <c r="J371" s="15">
        <v>42487.73982638889</v>
      </c>
      <c r="K371" s="15">
        <v>42487.740682870368</v>
      </c>
      <c r="O371" s="17">
        <f t="shared" si="37"/>
        <v>1.2333333282731473</v>
      </c>
      <c r="P371">
        <f>COUNTIF(A2:A371,A371)</f>
        <v>1</v>
      </c>
      <c r="Q371" s="39">
        <f t="shared" si="38"/>
        <v>42487</v>
      </c>
    </row>
    <row r="372" spans="1:17" x14ac:dyDescent="0.3">
      <c r="A372" t="str">
        <f t="shared" si="36"/>
        <v>SectionD_Exam2011152.756881</v>
      </c>
      <c r="B372" t="s">
        <v>871</v>
      </c>
      <c r="C372" t="s">
        <v>769</v>
      </c>
      <c r="D372">
        <v>2011</v>
      </c>
      <c r="E372">
        <v>15</v>
      </c>
      <c r="F372">
        <v>2.75</v>
      </c>
      <c r="G372">
        <v>68</v>
      </c>
      <c r="H372">
        <v>81</v>
      </c>
      <c r="I372">
        <v>1.75</v>
      </c>
      <c r="J372" s="15">
        <v>42487.740682870368</v>
      </c>
      <c r="K372" s="15">
        <v>42487.747974537036</v>
      </c>
      <c r="M372">
        <v>1</v>
      </c>
      <c r="N372" t="s">
        <v>1526</v>
      </c>
      <c r="O372" s="17">
        <f t="shared" si="37"/>
        <v>10.500000002793968</v>
      </c>
      <c r="P372">
        <f>COUNTIF(A2:A372,A372)</f>
        <v>1</v>
      </c>
      <c r="Q372" s="39">
        <f t="shared" si="38"/>
        <v>42487</v>
      </c>
    </row>
    <row r="373" spans="1:17" x14ac:dyDescent="0.3">
      <c r="A373" t="str">
        <f t="shared" si="36"/>
        <v>SectionD_Exam2009152.752545</v>
      </c>
      <c r="B373" t="s">
        <v>871</v>
      </c>
      <c r="C373" t="s">
        <v>768</v>
      </c>
      <c r="D373">
        <v>2009</v>
      </c>
      <c r="E373">
        <v>15</v>
      </c>
      <c r="F373">
        <v>2.75</v>
      </c>
      <c r="G373">
        <v>25</v>
      </c>
      <c r="H373">
        <v>45</v>
      </c>
      <c r="I373">
        <v>1.75</v>
      </c>
      <c r="J373" s="15">
        <v>42487.747974537036</v>
      </c>
      <c r="K373" s="15">
        <v>42487.758831018517</v>
      </c>
      <c r="O373" s="17">
        <f t="shared" si="37"/>
        <v>15.633333331206813</v>
      </c>
      <c r="P373">
        <f>COUNTIF(A2:A373,A373)</f>
        <v>1</v>
      </c>
      <c r="Q373" s="39">
        <f t="shared" si="38"/>
        <v>42487</v>
      </c>
    </row>
    <row r="374" spans="1:17" x14ac:dyDescent="0.3">
      <c r="A374" t="str">
        <f t="shared" si="36"/>
        <v>SectionD_SampleQTIA422432</v>
      </c>
      <c r="B374" t="s">
        <v>868</v>
      </c>
      <c r="C374" t="s">
        <v>780</v>
      </c>
      <c r="D374" t="s">
        <v>196</v>
      </c>
      <c r="E374">
        <v>4</v>
      </c>
      <c r="F374">
        <v>2</v>
      </c>
      <c r="G374">
        <v>24</v>
      </c>
      <c r="H374">
        <v>32</v>
      </c>
      <c r="I374">
        <v>1</v>
      </c>
      <c r="J374" s="15">
        <v>42487.758831018517</v>
      </c>
      <c r="K374" s="15">
        <v>42487.771620370368</v>
      </c>
      <c r="M374">
        <v>1</v>
      </c>
      <c r="N374" t="s">
        <v>1527</v>
      </c>
      <c r="O374" s="17">
        <f t="shared" si="37"/>
        <v>18.416666665580124</v>
      </c>
      <c r="P374">
        <f>COUNTIF(A2:A374,A374)</f>
        <v>1</v>
      </c>
      <c r="Q374" s="39">
        <f t="shared" si="38"/>
        <v>42487</v>
      </c>
    </row>
    <row r="375" spans="1:17" x14ac:dyDescent="0.3">
      <c r="A375" t="str">
        <f t="shared" si="36"/>
        <v>SectionD_Exam20034146374</v>
      </c>
      <c r="B375" t="s">
        <v>871</v>
      </c>
      <c r="C375" t="s">
        <v>769</v>
      </c>
      <c r="D375">
        <v>2003</v>
      </c>
      <c r="E375">
        <v>41</v>
      </c>
      <c r="F375">
        <v>4</v>
      </c>
      <c r="G375">
        <v>63</v>
      </c>
      <c r="H375">
        <v>74</v>
      </c>
      <c r="I375">
        <v>3</v>
      </c>
      <c r="J375" s="15">
        <v>42487.771620370368</v>
      </c>
      <c r="K375" s="15">
        <v>42487.782592592594</v>
      </c>
      <c r="M375">
        <v>1</v>
      </c>
      <c r="N375" t="s">
        <v>1528</v>
      </c>
      <c r="O375" s="17">
        <f t="shared" si="37"/>
        <v>15.800000005401671</v>
      </c>
      <c r="P375">
        <f>COUNTIF(A2:A375,A375)</f>
        <v>1</v>
      </c>
      <c r="Q375" s="39">
        <f t="shared" si="38"/>
        <v>42487</v>
      </c>
    </row>
    <row r="376" spans="1:17" x14ac:dyDescent="0.3">
      <c r="A376" t="str">
        <f t="shared" si="36"/>
        <v>SectionD_Exam2004362115139</v>
      </c>
      <c r="B376" t="s">
        <v>871</v>
      </c>
      <c r="C376" t="s">
        <v>780</v>
      </c>
      <c r="D376">
        <v>2004</v>
      </c>
      <c r="E376">
        <v>36</v>
      </c>
      <c r="F376">
        <v>2</v>
      </c>
      <c r="G376">
        <v>115</v>
      </c>
      <c r="H376">
        <v>139</v>
      </c>
      <c r="I376">
        <v>2</v>
      </c>
      <c r="J376" s="15">
        <v>42487.782592592594</v>
      </c>
      <c r="K376" s="15">
        <v>42487.78665509259</v>
      </c>
      <c r="O376" s="17">
        <f t="shared" si="37"/>
        <v>5.8499999949708581</v>
      </c>
      <c r="P376">
        <f>COUNTIF(A2:A376,A376)</f>
        <v>1</v>
      </c>
      <c r="Q376" s="39">
        <f t="shared" si="38"/>
        <v>42487</v>
      </c>
    </row>
    <row r="377" spans="1:17" x14ac:dyDescent="0.3">
      <c r="A377" t="str">
        <f t="shared" si="36"/>
        <v>SectionD_Exam2004303210</v>
      </c>
      <c r="B377" t="s">
        <v>871</v>
      </c>
      <c r="C377" t="s">
        <v>774</v>
      </c>
      <c r="D377">
        <v>2004</v>
      </c>
      <c r="E377">
        <v>30</v>
      </c>
      <c r="F377">
        <v>3</v>
      </c>
      <c r="G377">
        <v>2</v>
      </c>
      <c r="H377">
        <v>10</v>
      </c>
      <c r="I377">
        <v>3</v>
      </c>
      <c r="J377" s="15">
        <v>42487.78665509259</v>
      </c>
      <c r="K377" s="15">
        <v>42487.789756944447</v>
      </c>
      <c r="O377" s="17">
        <f t="shared" si="37"/>
        <v>4.4666666735429317</v>
      </c>
      <c r="P377">
        <f>COUNTIF(A2:A377,A377)</f>
        <v>1</v>
      </c>
      <c r="Q377" s="39">
        <f t="shared" si="38"/>
        <v>42487</v>
      </c>
    </row>
    <row r="378" spans="1:17" x14ac:dyDescent="0.3">
      <c r="A378" t="str">
        <f t="shared" si="36"/>
        <v>SectionD_Exam2012121.56982</v>
      </c>
      <c r="B378" t="s">
        <v>871</v>
      </c>
      <c r="C378" t="s">
        <v>769</v>
      </c>
      <c r="D378">
        <v>2012</v>
      </c>
      <c r="E378">
        <v>12</v>
      </c>
      <c r="F378">
        <v>1.5</v>
      </c>
      <c r="G378">
        <v>69</v>
      </c>
      <c r="H378">
        <v>82</v>
      </c>
      <c r="I378">
        <v>1</v>
      </c>
      <c r="J378" s="15">
        <v>42487.790763888886</v>
      </c>
      <c r="K378" s="15">
        <v>42487.791886574072</v>
      </c>
      <c r="M378">
        <v>1</v>
      </c>
      <c r="N378" t="s">
        <v>1528</v>
      </c>
      <c r="O378" s="17">
        <f t="shared" si="37"/>
        <v>1.6166666673962027</v>
      </c>
      <c r="P378">
        <f>COUNTIF(A2:A378,A378)</f>
        <v>1</v>
      </c>
      <c r="Q378" s="39">
        <f t="shared" si="38"/>
        <v>42487</v>
      </c>
    </row>
    <row r="379" spans="1:17" x14ac:dyDescent="0.3">
      <c r="A379" t="str">
        <f t="shared" si="36"/>
        <v>SectionD_SampleQTIA102611</v>
      </c>
      <c r="B379" t="s">
        <v>868</v>
      </c>
      <c r="C379" t="s">
        <v>768</v>
      </c>
      <c r="D379" t="s">
        <v>196</v>
      </c>
      <c r="E379">
        <v>10</v>
      </c>
      <c r="F379">
        <v>2</v>
      </c>
      <c r="G379">
        <v>6</v>
      </c>
      <c r="H379">
        <v>11</v>
      </c>
      <c r="I379">
        <v>1</v>
      </c>
      <c r="J379" s="15">
        <v>42487.791886574072</v>
      </c>
      <c r="K379" s="15">
        <v>42487.811909722222</v>
      </c>
      <c r="N379" t="s">
        <v>1529</v>
      </c>
      <c r="O379" s="17">
        <f t="shared" si="37"/>
        <v>28.833333336515352</v>
      </c>
      <c r="P379">
        <f>COUNTIF(A2:A379,A379)</f>
        <v>1</v>
      </c>
      <c r="Q379" s="39">
        <f t="shared" si="38"/>
        <v>42487</v>
      </c>
    </row>
    <row r="380" spans="1:17" x14ac:dyDescent="0.3">
      <c r="A380" t="str">
        <f t="shared" si="36"/>
        <v>SectionD_Exam2002212112134</v>
      </c>
      <c r="B380" t="s">
        <v>871</v>
      </c>
      <c r="C380" t="s">
        <v>780</v>
      </c>
      <c r="D380">
        <v>2002</v>
      </c>
      <c r="E380">
        <v>21</v>
      </c>
      <c r="F380">
        <v>2</v>
      </c>
      <c r="G380">
        <v>112</v>
      </c>
      <c r="H380">
        <v>134</v>
      </c>
      <c r="I380">
        <v>0</v>
      </c>
      <c r="J380" s="15">
        <v>42487.811909722222</v>
      </c>
      <c r="K380" s="15">
        <v>42487.81690972222</v>
      </c>
      <c r="M380">
        <v>1</v>
      </c>
      <c r="N380" t="s">
        <v>1530</v>
      </c>
      <c r="O380" s="17">
        <f t="shared" si="37"/>
        <v>7.1999999962281436</v>
      </c>
      <c r="P380">
        <f>COUNTIF(A2:A380,A380)</f>
        <v>1</v>
      </c>
      <c r="Q380" s="39">
        <f t="shared" si="38"/>
        <v>42487</v>
      </c>
    </row>
    <row r="381" spans="1:17" x14ac:dyDescent="0.3">
      <c r="A381" t="str">
        <f t="shared" si="36"/>
        <v>SectionD_Exam201092.56881</v>
      </c>
      <c r="B381" t="s">
        <v>871</v>
      </c>
      <c r="C381" t="s">
        <v>769</v>
      </c>
      <c r="D381">
        <v>2010</v>
      </c>
      <c r="E381">
        <v>9</v>
      </c>
      <c r="F381">
        <v>2.5</v>
      </c>
      <c r="G381">
        <v>68</v>
      </c>
      <c r="H381">
        <v>81</v>
      </c>
      <c r="I381">
        <v>2.5</v>
      </c>
      <c r="J381" s="15">
        <v>42487.81690972222</v>
      </c>
      <c r="K381" s="15">
        <v>42487.819247685184</v>
      </c>
      <c r="O381" s="17">
        <f t="shared" si="37"/>
        <v>3.366666667861864</v>
      </c>
      <c r="P381">
        <f>COUNTIF(A2:A381,A381)</f>
        <v>1</v>
      </c>
      <c r="Q381" s="39">
        <f t="shared" si="38"/>
        <v>42487</v>
      </c>
    </row>
    <row r="382" spans="1:17" x14ac:dyDescent="0.3">
      <c r="A382" t="str">
        <f t="shared" si="36"/>
        <v>SectionD_Exam2009112168180</v>
      </c>
      <c r="B382" t="s">
        <v>871</v>
      </c>
      <c r="C382" t="s">
        <v>773</v>
      </c>
      <c r="D382">
        <v>2009</v>
      </c>
      <c r="E382">
        <v>11</v>
      </c>
      <c r="F382">
        <v>2</v>
      </c>
      <c r="G382">
        <v>168</v>
      </c>
      <c r="H382">
        <v>180</v>
      </c>
      <c r="I382">
        <v>1</v>
      </c>
      <c r="J382" s="15">
        <v>42487.819247685184</v>
      </c>
      <c r="K382" s="15">
        <v>42487.821030092593</v>
      </c>
      <c r="M382">
        <v>1</v>
      </c>
      <c r="N382" t="s">
        <v>1531</v>
      </c>
      <c r="O382" s="17">
        <f t="shared" si="37"/>
        <v>2.5666666694451123</v>
      </c>
      <c r="P382">
        <f>COUNTIF(A2:A382,A382)</f>
        <v>1</v>
      </c>
      <c r="Q382" s="39">
        <f t="shared" si="38"/>
        <v>42487</v>
      </c>
    </row>
    <row r="383" spans="1:17" x14ac:dyDescent="0.3">
      <c r="A383" t="str">
        <f t="shared" si="36"/>
        <v>SectionD_Exam2011173169183</v>
      </c>
      <c r="B383" t="s">
        <v>871</v>
      </c>
      <c r="C383" t="s">
        <v>773</v>
      </c>
      <c r="D383">
        <v>2011</v>
      </c>
      <c r="E383">
        <v>17</v>
      </c>
      <c r="F383">
        <v>3</v>
      </c>
      <c r="G383">
        <v>169</v>
      </c>
      <c r="H383">
        <v>183</v>
      </c>
      <c r="I383">
        <v>3</v>
      </c>
      <c r="J383" s="15">
        <v>42487.821030092593</v>
      </c>
      <c r="K383" s="15">
        <v>42487.82472222222</v>
      </c>
      <c r="O383" s="17">
        <f t="shared" si="37"/>
        <v>5.3166666626930237</v>
      </c>
      <c r="P383">
        <f>COUNTIF(A2:A383,A383)</f>
        <v>1</v>
      </c>
      <c r="Q383" s="39">
        <f t="shared" si="38"/>
        <v>42487</v>
      </c>
    </row>
    <row r="384" spans="1:17" x14ac:dyDescent="0.3">
      <c r="A384" t="str">
        <f t="shared" si="36"/>
        <v>SectionD_Exam2006193165176</v>
      </c>
      <c r="B384" t="s">
        <v>871</v>
      </c>
      <c r="C384" t="s">
        <v>773</v>
      </c>
      <c r="D384">
        <v>2006</v>
      </c>
      <c r="E384">
        <v>19</v>
      </c>
      <c r="F384">
        <v>3</v>
      </c>
      <c r="G384">
        <v>165</v>
      </c>
      <c r="H384">
        <v>176</v>
      </c>
      <c r="I384">
        <v>2</v>
      </c>
      <c r="J384" s="15">
        <v>42487.82472222222</v>
      </c>
      <c r="K384" s="15">
        <v>42487.826018518521</v>
      </c>
      <c r="M384">
        <v>1</v>
      </c>
      <c r="N384" t="s">
        <v>1532</v>
      </c>
      <c r="O384" s="17">
        <f t="shared" si="37"/>
        <v>1.8666666734497994</v>
      </c>
      <c r="P384">
        <f>COUNTIF(A2:A384,A384)</f>
        <v>1</v>
      </c>
      <c r="Q384" s="39">
        <f t="shared" si="38"/>
        <v>42487</v>
      </c>
    </row>
    <row r="385" spans="1:17" x14ac:dyDescent="0.3">
      <c r="A385" t="str">
        <f t="shared" ref="A385:A391" si="39">(B385&amp;D385&amp;E385&amp;F385&amp;G385&amp;H385)</f>
        <v>SectionD_SampleQTIA522432</v>
      </c>
      <c r="B385" t="s">
        <v>868</v>
      </c>
      <c r="C385" t="s">
        <v>780</v>
      </c>
      <c r="D385" t="s">
        <v>196</v>
      </c>
      <c r="E385">
        <v>5</v>
      </c>
      <c r="F385">
        <v>2</v>
      </c>
      <c r="G385">
        <v>24</v>
      </c>
      <c r="H385">
        <v>32</v>
      </c>
      <c r="I385">
        <v>2</v>
      </c>
      <c r="J385" s="15">
        <v>42487.898831018516</v>
      </c>
      <c r="K385" s="15">
        <v>42487.900300925925</v>
      </c>
      <c r="O385" s="17">
        <f t="shared" ref="O385:O391" si="40">(K385-J385)*60*24</f>
        <v>2.1166666690260172</v>
      </c>
      <c r="P385">
        <f>COUNTIF(A2:A385,A385)</f>
        <v>1</v>
      </c>
      <c r="Q385" s="39">
        <f t="shared" ref="Q385:Q391" si="41">DATE(YEAR(J385),MONTH(J385),DAY(J385))</f>
        <v>42487</v>
      </c>
    </row>
    <row r="386" spans="1:17" x14ac:dyDescent="0.3">
      <c r="A386" t="str">
        <f t="shared" si="39"/>
        <v>SectionD_Exam2006183.56476</v>
      </c>
      <c r="B386" t="s">
        <v>871</v>
      </c>
      <c r="C386" t="s">
        <v>769</v>
      </c>
      <c r="D386">
        <v>2006</v>
      </c>
      <c r="E386">
        <v>18</v>
      </c>
      <c r="F386">
        <v>3.5</v>
      </c>
      <c r="G386">
        <v>64</v>
      </c>
      <c r="H386">
        <v>76</v>
      </c>
      <c r="I386">
        <v>0</v>
      </c>
      <c r="J386" s="15">
        <v>42487.900300925925</v>
      </c>
      <c r="K386" s="15">
        <v>42487.911516203705</v>
      </c>
      <c r="M386">
        <v>1</v>
      </c>
      <c r="N386" t="s">
        <v>1533</v>
      </c>
      <c r="O386" s="17">
        <f t="shared" si="40"/>
        <v>16.150000003399327</v>
      </c>
      <c r="P386">
        <f>COUNTIF(A2:A386,A386)</f>
        <v>1</v>
      </c>
      <c r="Q386" s="39">
        <f t="shared" si="41"/>
        <v>42487</v>
      </c>
    </row>
    <row r="387" spans="1:17" x14ac:dyDescent="0.3">
      <c r="A387" t="str">
        <f t="shared" si="39"/>
        <v>SectionD_SampleQTIA424246</v>
      </c>
      <c r="B387" t="s">
        <v>868</v>
      </c>
      <c r="C387" t="s">
        <v>773</v>
      </c>
      <c r="D387" t="s">
        <v>196</v>
      </c>
      <c r="E387">
        <v>4</v>
      </c>
      <c r="F387">
        <v>2</v>
      </c>
      <c r="G387">
        <v>42</v>
      </c>
      <c r="H387">
        <v>46</v>
      </c>
      <c r="I387">
        <v>2</v>
      </c>
      <c r="J387" s="15">
        <v>42487.911516203705</v>
      </c>
      <c r="K387" s="15">
        <v>42487.928969907407</v>
      </c>
      <c r="N387" t="s">
        <v>1534</v>
      </c>
      <c r="O387" s="17">
        <f t="shared" si="40"/>
        <v>25.133333330741152</v>
      </c>
      <c r="P387">
        <f>COUNTIF(A2:A387,A387)</f>
        <v>1</v>
      </c>
      <c r="Q387" s="39">
        <f t="shared" si="41"/>
        <v>42487</v>
      </c>
    </row>
    <row r="388" spans="1:17" x14ac:dyDescent="0.3">
      <c r="A388" t="str">
        <f t="shared" si="39"/>
        <v>SectionD_Exam20071542240</v>
      </c>
      <c r="B388" t="s">
        <v>871</v>
      </c>
      <c r="C388" t="s">
        <v>768</v>
      </c>
      <c r="D388">
        <v>2007</v>
      </c>
      <c r="E388">
        <v>15</v>
      </c>
      <c r="F388">
        <v>4</v>
      </c>
      <c r="G388">
        <v>22</v>
      </c>
      <c r="H388">
        <v>40</v>
      </c>
      <c r="I388">
        <v>2</v>
      </c>
      <c r="J388" s="15">
        <v>42487.928969907407</v>
      </c>
      <c r="K388" s="15">
        <v>42487.935844907406</v>
      </c>
      <c r="M388">
        <v>1</v>
      </c>
      <c r="N388" t="s">
        <v>1535</v>
      </c>
      <c r="O388" s="17">
        <f t="shared" si="40"/>
        <v>9.8999999987427145</v>
      </c>
      <c r="P388">
        <f>COUNTIF(A2:A388,A388)</f>
        <v>1</v>
      </c>
      <c r="Q388" s="39">
        <f t="shared" si="41"/>
        <v>42487</v>
      </c>
    </row>
    <row r="389" spans="1:17" x14ac:dyDescent="0.3">
      <c r="A389" t="str">
        <f t="shared" si="39"/>
        <v>SectionD_Exam20025118</v>
      </c>
      <c r="B389" t="s">
        <v>871</v>
      </c>
      <c r="C389" t="s">
        <v>774</v>
      </c>
      <c r="D389">
        <v>2002</v>
      </c>
      <c r="E389">
        <v>5</v>
      </c>
      <c r="F389">
        <v>1</v>
      </c>
      <c r="G389">
        <v>1</v>
      </c>
      <c r="H389">
        <v>8</v>
      </c>
      <c r="I389">
        <v>1</v>
      </c>
      <c r="J389" s="15">
        <v>42487.935844907406</v>
      </c>
      <c r="K389" s="15">
        <v>42487.936388888891</v>
      </c>
      <c r="O389" s="17">
        <f t="shared" si="40"/>
        <v>0.78333333833143115</v>
      </c>
      <c r="P389">
        <f>COUNTIF(A2:A389,A389)</f>
        <v>1</v>
      </c>
      <c r="Q389" s="39">
        <f t="shared" si="41"/>
        <v>42487</v>
      </c>
    </row>
    <row r="390" spans="1:17" x14ac:dyDescent="0.3">
      <c r="A390" t="str">
        <f t="shared" si="39"/>
        <v>SectionD_SampleQTIA321416</v>
      </c>
      <c r="B390" t="s">
        <v>868</v>
      </c>
      <c r="C390" t="s">
        <v>769</v>
      </c>
      <c r="D390" t="s">
        <v>196</v>
      </c>
      <c r="E390">
        <v>3</v>
      </c>
      <c r="F390">
        <v>2</v>
      </c>
      <c r="G390">
        <v>14</v>
      </c>
      <c r="H390">
        <v>16</v>
      </c>
      <c r="I390">
        <v>1</v>
      </c>
      <c r="J390" s="15">
        <v>42487.936388888891</v>
      </c>
      <c r="K390" s="15">
        <v>42487.939872685187</v>
      </c>
      <c r="M390">
        <v>1</v>
      </c>
      <c r="N390" t="s">
        <v>1528</v>
      </c>
      <c r="O390" s="17">
        <f t="shared" si="40"/>
        <v>5.0166666659060866</v>
      </c>
      <c r="P390">
        <f>COUNTIF(A2:A390,A390)</f>
        <v>1</v>
      </c>
      <c r="Q390" s="39">
        <f t="shared" si="41"/>
        <v>42487</v>
      </c>
    </row>
    <row r="391" spans="1:17" x14ac:dyDescent="0.3">
      <c r="A391" t="str">
        <f t="shared" si="39"/>
        <v>SectionD_SampleQTIA4247</v>
      </c>
      <c r="B391" t="s">
        <v>868</v>
      </c>
      <c r="C391" t="s">
        <v>768</v>
      </c>
      <c r="D391" t="s">
        <v>196</v>
      </c>
      <c r="E391">
        <v>4</v>
      </c>
      <c r="F391">
        <v>2</v>
      </c>
      <c r="G391">
        <v>4</v>
      </c>
      <c r="H391">
        <v>7</v>
      </c>
      <c r="I391">
        <v>1</v>
      </c>
      <c r="J391" s="15">
        <v>42487.939872685187</v>
      </c>
      <c r="K391" s="15">
        <v>42487.941006944442</v>
      </c>
      <c r="M391">
        <v>1</v>
      </c>
      <c r="N391" t="s">
        <v>1536</v>
      </c>
      <c r="O391" s="17">
        <f t="shared" si="40"/>
        <v>1.6333333274815232</v>
      </c>
      <c r="P391">
        <f>COUNTIF(A2:A391,A391)</f>
        <v>1</v>
      </c>
      <c r="Q391" s="39">
        <f t="shared" si="41"/>
        <v>42487</v>
      </c>
    </row>
    <row r="392" spans="1:17" x14ac:dyDescent="0.3">
      <c r="A392" t="str">
        <f t="shared" ref="A392:A399" si="42">(B392&amp;D392&amp;E392&amp;F392&amp;G392&amp;H392)</f>
        <v>SectionD_SampleQTIA221415</v>
      </c>
      <c r="B392" t="s">
        <v>868</v>
      </c>
      <c r="C392" t="s">
        <v>769</v>
      </c>
      <c r="D392" t="s">
        <v>196</v>
      </c>
      <c r="E392">
        <v>2</v>
      </c>
      <c r="F392">
        <v>2</v>
      </c>
      <c r="G392">
        <v>14</v>
      </c>
      <c r="H392">
        <v>15</v>
      </c>
      <c r="I392">
        <v>1</v>
      </c>
      <c r="J392" s="15">
        <v>42488.743449074071</v>
      </c>
      <c r="K392" s="15">
        <v>42488.744456018518</v>
      </c>
      <c r="M392">
        <v>1</v>
      </c>
      <c r="N392" t="s">
        <v>1537</v>
      </c>
      <c r="O392" s="17">
        <f t="shared" ref="O392:O399" si="43">(K392-J392)*60*24</f>
        <v>1.4500000036787242</v>
      </c>
      <c r="P392">
        <f>COUNTIF(A2:A392,A392)</f>
        <v>1</v>
      </c>
      <c r="Q392" s="39">
        <f t="shared" ref="Q392:Q399" si="44">DATE(YEAR(J392),MONTH(J392),DAY(J392))</f>
        <v>42488</v>
      </c>
    </row>
    <row r="393" spans="1:17" x14ac:dyDescent="0.3">
      <c r="A393" t="str">
        <f t="shared" si="42"/>
        <v>SectionD_SampleQTIA721821</v>
      </c>
      <c r="B393" t="s">
        <v>868</v>
      </c>
      <c r="C393" t="s">
        <v>777</v>
      </c>
      <c r="D393" t="s">
        <v>196</v>
      </c>
      <c r="E393">
        <v>7</v>
      </c>
      <c r="F393">
        <v>2</v>
      </c>
      <c r="G393">
        <v>18</v>
      </c>
      <c r="H393">
        <v>21</v>
      </c>
      <c r="I393">
        <v>1</v>
      </c>
      <c r="J393" s="15">
        <v>42488.744456018518</v>
      </c>
      <c r="K393" s="15">
        <v>42488.74527777778</v>
      </c>
      <c r="M393">
        <v>1</v>
      </c>
      <c r="N393" t="s">
        <v>1538</v>
      </c>
      <c r="O393" s="17">
        <f t="shared" si="43"/>
        <v>1.183333337539807</v>
      </c>
      <c r="P393">
        <f>COUNTIF(A2:A393,A393)</f>
        <v>1</v>
      </c>
      <c r="Q393" s="39">
        <f t="shared" si="44"/>
        <v>42488</v>
      </c>
    </row>
    <row r="394" spans="1:17" x14ac:dyDescent="0.3">
      <c r="A394" t="str">
        <f t="shared" si="42"/>
        <v>SectionD_SampleQTIA4212</v>
      </c>
      <c r="B394" t="s">
        <v>868</v>
      </c>
      <c r="C394" t="s">
        <v>774</v>
      </c>
      <c r="D394" t="s">
        <v>196</v>
      </c>
      <c r="E394">
        <v>4</v>
      </c>
      <c r="F394">
        <v>2</v>
      </c>
      <c r="G394">
        <v>1</v>
      </c>
      <c r="H394">
        <v>2</v>
      </c>
      <c r="I394">
        <v>0</v>
      </c>
      <c r="J394" s="15">
        <v>42488.74527777778</v>
      </c>
      <c r="K394" s="15">
        <v>42488.747546296298</v>
      </c>
      <c r="M394">
        <v>1</v>
      </c>
      <c r="N394" t="s">
        <v>1539</v>
      </c>
      <c r="O394" s="17">
        <f t="shared" si="43"/>
        <v>3.2666666654404253</v>
      </c>
      <c r="P394">
        <f>COUNTIF(A2:A394,A394)</f>
        <v>1</v>
      </c>
      <c r="Q394" s="39">
        <f t="shared" si="44"/>
        <v>42488</v>
      </c>
    </row>
    <row r="395" spans="1:17" x14ac:dyDescent="0.3">
      <c r="A395" t="str">
        <f t="shared" si="42"/>
        <v>SectionD_Exam201116293103</v>
      </c>
      <c r="B395" t="s">
        <v>871</v>
      </c>
      <c r="C395" t="s">
        <v>777</v>
      </c>
      <c r="D395">
        <v>2011</v>
      </c>
      <c r="E395">
        <v>16</v>
      </c>
      <c r="F395">
        <v>2</v>
      </c>
      <c r="G395">
        <v>93</v>
      </c>
      <c r="H395">
        <v>103</v>
      </c>
      <c r="I395">
        <v>1</v>
      </c>
      <c r="J395" s="15">
        <v>42488.747546296298</v>
      </c>
      <c r="K395" s="15">
        <v>42488.749560185184</v>
      </c>
      <c r="M395">
        <v>1</v>
      </c>
      <c r="N395" t="s">
        <v>1540</v>
      </c>
      <c r="O395" s="17">
        <f t="shared" si="43"/>
        <v>2.8999999968800694</v>
      </c>
      <c r="P395">
        <f>COUNTIF(A2:A395,A395)</f>
        <v>1</v>
      </c>
      <c r="Q395" s="39">
        <f t="shared" si="44"/>
        <v>42488</v>
      </c>
    </row>
    <row r="396" spans="1:17" x14ac:dyDescent="0.3">
      <c r="A396" t="str">
        <f t="shared" si="42"/>
        <v>SectionD_Exam20022231834</v>
      </c>
      <c r="B396" t="s">
        <v>871</v>
      </c>
      <c r="C396" t="s">
        <v>768</v>
      </c>
      <c r="D396">
        <v>2002</v>
      </c>
      <c r="E396">
        <v>22</v>
      </c>
      <c r="F396">
        <v>3</v>
      </c>
      <c r="G396">
        <v>18</v>
      </c>
      <c r="H396">
        <v>34</v>
      </c>
      <c r="I396">
        <v>3</v>
      </c>
      <c r="J396" s="15">
        <v>42488.749560185184</v>
      </c>
      <c r="K396" s="15">
        <v>42488.752708333333</v>
      </c>
      <c r="O396" s="17">
        <f t="shared" si="43"/>
        <v>4.5333333348389715</v>
      </c>
      <c r="P396">
        <f>COUNTIF(A2:A396,A396)</f>
        <v>1</v>
      </c>
      <c r="Q396" s="39">
        <f t="shared" si="44"/>
        <v>42488</v>
      </c>
    </row>
    <row r="397" spans="1:17" x14ac:dyDescent="0.3">
      <c r="A397" t="str">
        <f t="shared" si="42"/>
        <v>SectionD_Exam2010102121147</v>
      </c>
      <c r="B397" t="s">
        <v>871</v>
      </c>
      <c r="C397" t="s">
        <v>780</v>
      </c>
      <c r="D397">
        <v>2010</v>
      </c>
      <c r="E397">
        <v>10</v>
      </c>
      <c r="F397">
        <v>2</v>
      </c>
      <c r="G397">
        <v>121</v>
      </c>
      <c r="H397">
        <v>147</v>
      </c>
      <c r="I397">
        <v>2</v>
      </c>
      <c r="J397" s="15">
        <v>42488.752708333333</v>
      </c>
      <c r="K397" s="15">
        <v>42488.757395833331</v>
      </c>
      <c r="O397" s="17">
        <f t="shared" si="43"/>
        <v>6.7499999958090484</v>
      </c>
      <c r="P397">
        <f>COUNTIF(A2:A397,A397)</f>
        <v>1</v>
      </c>
      <c r="Q397" s="39">
        <f t="shared" si="44"/>
        <v>42488</v>
      </c>
    </row>
    <row r="398" spans="1:17" x14ac:dyDescent="0.3">
      <c r="A398" t="str">
        <f t="shared" si="42"/>
        <v>SectionD_Exam2012163.5513</v>
      </c>
      <c r="B398" t="s">
        <v>871</v>
      </c>
      <c r="C398" t="s">
        <v>774</v>
      </c>
      <c r="D398">
        <v>2012</v>
      </c>
      <c r="E398">
        <v>16</v>
      </c>
      <c r="F398">
        <v>3.5</v>
      </c>
      <c r="G398">
        <v>5</v>
      </c>
      <c r="H398">
        <v>13</v>
      </c>
      <c r="I398">
        <v>0</v>
      </c>
      <c r="J398" s="15">
        <v>42488.757395833331</v>
      </c>
      <c r="K398" s="15">
        <v>42488.760891203703</v>
      </c>
      <c r="M398">
        <v>1</v>
      </c>
      <c r="N398" t="s">
        <v>1541</v>
      </c>
      <c r="O398" s="17">
        <f t="shared" si="43"/>
        <v>5.033333336468786</v>
      </c>
      <c r="P398">
        <f>COUNTIF(A2:A398,A398)</f>
        <v>1</v>
      </c>
      <c r="Q398" s="39">
        <f t="shared" si="44"/>
        <v>42488</v>
      </c>
    </row>
    <row r="399" spans="1:17" x14ac:dyDescent="0.3">
      <c r="A399" t="str">
        <f t="shared" si="42"/>
        <v>SectionD_Exam2012134170184</v>
      </c>
      <c r="B399" t="s">
        <v>871</v>
      </c>
      <c r="C399" t="s">
        <v>773</v>
      </c>
      <c r="D399">
        <v>2012</v>
      </c>
      <c r="E399">
        <v>13</v>
      </c>
      <c r="F399">
        <v>4</v>
      </c>
      <c r="G399">
        <v>170</v>
      </c>
      <c r="H399">
        <v>184</v>
      </c>
      <c r="I399">
        <v>3.5</v>
      </c>
      <c r="J399" s="15">
        <v>42488.760891203703</v>
      </c>
      <c r="K399" s="15">
        <v>42488.774270833332</v>
      </c>
      <c r="M399">
        <v>1</v>
      </c>
      <c r="N399" t="s">
        <v>1542</v>
      </c>
      <c r="O399" s="17">
        <f t="shared" si="43"/>
        <v>19.266666665207595</v>
      </c>
      <c r="P399">
        <f>COUNTIF(A2:A399,A399)</f>
        <v>1</v>
      </c>
      <c r="Q399" s="39">
        <f t="shared" si="44"/>
        <v>42488</v>
      </c>
    </row>
    <row r="400" spans="1:17" x14ac:dyDescent="0.3">
      <c r="A400" t="str">
        <f t="shared" ref="A400:A409" si="45">(B400&amp;D400&amp;E400&amp;F400&amp;G400&amp;H400)</f>
        <v>SectionD_SampleQTIA921821</v>
      </c>
      <c r="B400" t="s">
        <v>868</v>
      </c>
      <c r="C400" t="s">
        <v>777</v>
      </c>
      <c r="D400" t="s">
        <v>196</v>
      </c>
      <c r="E400">
        <v>9</v>
      </c>
      <c r="F400">
        <v>2</v>
      </c>
      <c r="G400">
        <v>18</v>
      </c>
      <c r="H400">
        <v>21</v>
      </c>
      <c r="I400">
        <v>2</v>
      </c>
      <c r="J400" s="15">
        <v>42492.808182870373</v>
      </c>
      <c r="K400" s="15">
        <v>42492.812303240738</v>
      </c>
      <c r="O400" s="17">
        <f t="shared" ref="O400:O409" si="46">(K400-J400)*60*24</f>
        <v>5.9333333268295974</v>
      </c>
      <c r="P400">
        <f>COUNTIF(A2:A400,A400)</f>
        <v>1</v>
      </c>
      <c r="Q400" s="39">
        <f t="shared" ref="Q400:Q409" si="47">DATE(YEAR(J400),MONTH(J400),DAY(J400))</f>
        <v>42492</v>
      </c>
    </row>
    <row r="401" spans="1:17" x14ac:dyDescent="0.3">
      <c r="A401" t="str">
        <f t="shared" si="45"/>
        <v>SectionD_Exam20043131935</v>
      </c>
      <c r="B401" t="s">
        <v>871</v>
      </c>
      <c r="C401" t="s">
        <v>768</v>
      </c>
      <c r="D401">
        <v>2004</v>
      </c>
      <c r="E401">
        <v>31</v>
      </c>
      <c r="F401">
        <v>3</v>
      </c>
      <c r="G401">
        <v>19</v>
      </c>
      <c r="H401">
        <v>35</v>
      </c>
      <c r="I401">
        <v>3</v>
      </c>
      <c r="J401" s="15">
        <v>42492.812303240738</v>
      </c>
      <c r="K401" s="15">
        <v>42492.820914351854</v>
      </c>
      <c r="O401" s="17">
        <f t="shared" si="46"/>
        <v>12.400000006891787</v>
      </c>
      <c r="P401">
        <f>COUNTIF(A2:A401,A401)</f>
        <v>1</v>
      </c>
      <c r="Q401" s="39">
        <f t="shared" si="47"/>
        <v>42492</v>
      </c>
    </row>
    <row r="402" spans="1:17" x14ac:dyDescent="0.3">
      <c r="A402" t="str">
        <f t="shared" si="45"/>
        <v>SectionD_Exam2006202165177</v>
      </c>
      <c r="B402" t="s">
        <v>871</v>
      </c>
      <c r="C402" t="s">
        <v>773</v>
      </c>
      <c r="D402">
        <v>2006</v>
      </c>
      <c r="E402">
        <v>20</v>
      </c>
      <c r="F402">
        <v>2</v>
      </c>
      <c r="G402">
        <v>165</v>
      </c>
      <c r="H402">
        <v>177</v>
      </c>
      <c r="I402">
        <v>1</v>
      </c>
      <c r="J402" s="15">
        <v>42492.820914351854</v>
      </c>
      <c r="K402" s="15">
        <v>42492.885254629633</v>
      </c>
      <c r="M402">
        <v>1</v>
      </c>
      <c r="O402" s="17">
        <f t="shared" si="46"/>
        <v>92.650000001303852</v>
      </c>
      <c r="P402">
        <f>COUNTIF(A2:A402,A402)</f>
        <v>1</v>
      </c>
      <c r="Q402" s="39">
        <f t="shared" si="47"/>
        <v>42492</v>
      </c>
    </row>
    <row r="403" spans="1:17" x14ac:dyDescent="0.3">
      <c r="A403" t="str">
        <f t="shared" si="45"/>
        <v>SectionD_Exam2003452114138</v>
      </c>
      <c r="B403" t="s">
        <v>871</v>
      </c>
      <c r="C403" t="s">
        <v>780</v>
      </c>
      <c r="D403">
        <v>2003</v>
      </c>
      <c r="E403">
        <v>45</v>
      </c>
      <c r="F403">
        <v>2</v>
      </c>
      <c r="G403">
        <v>114</v>
      </c>
      <c r="H403">
        <v>138</v>
      </c>
      <c r="I403">
        <v>0</v>
      </c>
      <c r="J403" s="15">
        <v>42492.885254629633</v>
      </c>
      <c r="K403" s="15">
        <v>42492.889131944445</v>
      </c>
      <c r="M403">
        <v>1</v>
      </c>
      <c r="O403" s="17">
        <f t="shared" si="46"/>
        <v>5.5833333288319409</v>
      </c>
      <c r="P403">
        <f>COUNTIF(A2:A403,A403)</f>
        <v>1</v>
      </c>
      <c r="Q403" s="39">
        <f t="shared" si="47"/>
        <v>42492</v>
      </c>
    </row>
    <row r="404" spans="1:17" x14ac:dyDescent="0.3">
      <c r="A404" t="str">
        <f t="shared" si="45"/>
        <v>SectionD_Exam200316119</v>
      </c>
      <c r="B404" t="s">
        <v>871</v>
      </c>
      <c r="C404" t="s">
        <v>774</v>
      </c>
      <c r="D404">
        <v>2003</v>
      </c>
      <c r="E404">
        <v>16</v>
      </c>
      <c r="F404">
        <v>1</v>
      </c>
      <c r="G404">
        <v>1</v>
      </c>
      <c r="H404">
        <v>9</v>
      </c>
      <c r="I404">
        <v>1</v>
      </c>
      <c r="J404" s="15">
        <v>42492.889131944445</v>
      </c>
      <c r="K404" s="15">
        <v>42492.889664351853</v>
      </c>
      <c r="O404" s="17">
        <f t="shared" si="46"/>
        <v>0.76666666776873171</v>
      </c>
      <c r="P404">
        <f>COUNTIF(A2:A404,A404)</f>
        <v>1</v>
      </c>
      <c r="Q404" s="39">
        <f t="shared" si="47"/>
        <v>42492</v>
      </c>
    </row>
    <row r="405" spans="1:17" x14ac:dyDescent="0.3">
      <c r="A405" t="str">
        <f t="shared" si="45"/>
        <v>SectionD_Exam200410129</v>
      </c>
      <c r="B405" t="s">
        <v>871</v>
      </c>
      <c r="C405" t="s">
        <v>774</v>
      </c>
      <c r="D405">
        <v>2004</v>
      </c>
      <c r="E405">
        <v>10</v>
      </c>
      <c r="F405">
        <v>1</v>
      </c>
      <c r="G405">
        <v>2</v>
      </c>
      <c r="H405">
        <v>9</v>
      </c>
      <c r="I405">
        <v>0</v>
      </c>
      <c r="J405" s="15">
        <v>42492.889664351853</v>
      </c>
      <c r="K405" s="15">
        <v>42492.890381944446</v>
      </c>
      <c r="M405">
        <v>1</v>
      </c>
      <c r="O405" s="17">
        <f t="shared" si="46"/>
        <v>1.0333333339076489</v>
      </c>
      <c r="P405">
        <f>COUNTIF(A2:A405,A405)</f>
        <v>1</v>
      </c>
      <c r="Q405" s="39">
        <f t="shared" si="47"/>
        <v>42492</v>
      </c>
    </row>
    <row r="406" spans="1:17" x14ac:dyDescent="0.3">
      <c r="A406" t="str">
        <f t="shared" si="45"/>
        <v>SectionD_SampleQTIA321719</v>
      </c>
      <c r="B406" t="s">
        <v>868</v>
      </c>
      <c r="C406" t="s">
        <v>777</v>
      </c>
      <c r="D406" t="s">
        <v>196</v>
      </c>
      <c r="E406">
        <v>3</v>
      </c>
      <c r="F406">
        <v>2</v>
      </c>
      <c r="G406">
        <v>17</v>
      </c>
      <c r="H406">
        <v>19</v>
      </c>
      <c r="I406">
        <v>2</v>
      </c>
      <c r="J406" s="15">
        <v>42492.890381944446</v>
      </c>
      <c r="K406" s="15">
        <v>42492.891655092593</v>
      </c>
      <c r="M406">
        <v>1</v>
      </c>
      <c r="O406" s="17">
        <f t="shared" si="46"/>
        <v>1.8333333323244005</v>
      </c>
      <c r="P406">
        <f>COUNTIF(A2:A406,A406)</f>
        <v>1</v>
      </c>
      <c r="Q406" s="39">
        <f t="shared" si="47"/>
        <v>42492</v>
      </c>
    </row>
    <row r="407" spans="1:17" x14ac:dyDescent="0.3">
      <c r="A407" t="str">
        <f t="shared" si="45"/>
        <v>SectionD_SampleQTIA7213</v>
      </c>
      <c r="B407" t="s">
        <v>868</v>
      </c>
      <c r="C407" t="s">
        <v>774</v>
      </c>
      <c r="D407" t="s">
        <v>196</v>
      </c>
      <c r="E407">
        <v>7</v>
      </c>
      <c r="F407">
        <v>2</v>
      </c>
      <c r="G407">
        <v>1</v>
      </c>
      <c r="H407">
        <v>3</v>
      </c>
      <c r="I407">
        <v>0</v>
      </c>
      <c r="J407" s="15">
        <v>42492.891655092593</v>
      </c>
      <c r="K407" s="15">
        <v>42492.893680555557</v>
      </c>
      <c r="M407">
        <v>1</v>
      </c>
      <c r="N407" t="s">
        <v>1544</v>
      </c>
      <c r="O407" s="17">
        <f t="shared" si="46"/>
        <v>2.9166666674427688</v>
      </c>
      <c r="P407">
        <f>COUNTIF(A2:A407,A407)</f>
        <v>1</v>
      </c>
      <c r="Q407" s="39">
        <f t="shared" si="47"/>
        <v>42492</v>
      </c>
    </row>
    <row r="408" spans="1:17" x14ac:dyDescent="0.3">
      <c r="A408" t="str">
        <f t="shared" si="45"/>
        <v>SectionD_Exam2009123.5168180</v>
      </c>
      <c r="B408" t="s">
        <v>871</v>
      </c>
      <c r="C408" t="s">
        <v>773</v>
      </c>
      <c r="D408">
        <v>2009</v>
      </c>
      <c r="E408">
        <v>12</v>
      </c>
      <c r="F408">
        <v>3.5</v>
      </c>
      <c r="G408">
        <v>168</v>
      </c>
      <c r="H408">
        <v>180</v>
      </c>
      <c r="I408">
        <v>3.5</v>
      </c>
      <c r="J408" s="15">
        <v>42492.893680555557</v>
      </c>
      <c r="K408" s="15">
        <v>42492.897199074076</v>
      </c>
      <c r="O408" s="17">
        <f t="shared" si="46"/>
        <v>5.0666666671168059</v>
      </c>
      <c r="P408">
        <f>COUNTIF(A2:A408,A408)</f>
        <v>1</v>
      </c>
      <c r="Q408" s="39">
        <f t="shared" si="47"/>
        <v>42492</v>
      </c>
    </row>
    <row r="409" spans="1:17" x14ac:dyDescent="0.3">
      <c r="A409" t="str">
        <f t="shared" si="45"/>
        <v>SectionD_SampleQTIA5212</v>
      </c>
      <c r="B409" t="s">
        <v>868</v>
      </c>
      <c r="C409" t="s">
        <v>774</v>
      </c>
      <c r="D409" t="s">
        <v>196</v>
      </c>
      <c r="E409">
        <v>5</v>
      </c>
      <c r="F409">
        <v>2</v>
      </c>
      <c r="G409">
        <v>1</v>
      </c>
      <c r="H409">
        <v>2</v>
      </c>
      <c r="I409">
        <v>2</v>
      </c>
      <c r="J409" s="15">
        <v>42492.897199074076</v>
      </c>
      <c r="K409" s="15">
        <v>42492.898958333331</v>
      </c>
      <c r="O409" s="17">
        <f t="shared" si="46"/>
        <v>2.5333333283197135</v>
      </c>
      <c r="P409">
        <f>COUNTIF(A2:A409,A409)</f>
        <v>1</v>
      </c>
      <c r="Q409" s="39">
        <f t="shared" si="47"/>
        <v>42492</v>
      </c>
    </row>
    <row r="410" spans="1:17" ht="115.2" x14ac:dyDescent="0.3">
      <c r="A410" t="str">
        <f t="shared" ref="A410:A456" si="48">(B410&amp;D410&amp;E410&amp;F410&amp;G410&amp;H410)</f>
        <v>SectionD_SampleQTIA822534</v>
      </c>
      <c r="B410" t="s">
        <v>868</v>
      </c>
      <c r="C410" t="s">
        <v>780</v>
      </c>
      <c r="D410" t="s">
        <v>196</v>
      </c>
      <c r="E410">
        <v>8</v>
      </c>
      <c r="F410">
        <v>2</v>
      </c>
      <c r="G410">
        <v>25</v>
      </c>
      <c r="H410">
        <v>34</v>
      </c>
      <c r="I410">
        <v>1</v>
      </c>
      <c r="J410" s="15">
        <v>42493.543206018519</v>
      </c>
      <c r="K410" s="15">
        <v>42493.575266203705</v>
      </c>
      <c r="M410">
        <v>1</v>
      </c>
      <c r="N410" s="104" t="s">
        <v>1545</v>
      </c>
      <c r="O410" s="17">
        <f t="shared" ref="O410:O456" si="49">(K410-J410)*60*24</f>
        <v>46.166666666977108</v>
      </c>
      <c r="P410">
        <f>COUNTIF(A2:A410,A410)</f>
        <v>1</v>
      </c>
      <c r="Q410" s="39">
        <f t="shared" ref="Q410:Q456" si="50">DATE(YEAR(J410),MONTH(J410),DAY(J410))</f>
        <v>42493</v>
      </c>
    </row>
    <row r="411" spans="1:17" x14ac:dyDescent="0.3">
      <c r="A411" t="str">
        <f t="shared" si="48"/>
        <v>SectionD_SampleQTIA1222940</v>
      </c>
      <c r="B411" t="s">
        <v>868</v>
      </c>
      <c r="C411" t="s">
        <v>780</v>
      </c>
      <c r="D411" t="s">
        <v>196</v>
      </c>
      <c r="E411">
        <v>12</v>
      </c>
      <c r="F411">
        <v>2</v>
      </c>
      <c r="G411">
        <v>29</v>
      </c>
      <c r="H411">
        <v>40</v>
      </c>
      <c r="I411">
        <v>2</v>
      </c>
      <c r="J411" s="15">
        <v>42493.575266203705</v>
      </c>
      <c r="K411" s="15">
        <v>42493.578368055554</v>
      </c>
      <c r="O411" s="17">
        <f t="shared" si="49"/>
        <v>4.4666666630655527</v>
      </c>
      <c r="P411">
        <f>COUNTIF(A2:A411,A411)</f>
        <v>1</v>
      </c>
      <c r="Q411" s="39">
        <f t="shared" si="50"/>
        <v>42493</v>
      </c>
    </row>
    <row r="412" spans="1:17" x14ac:dyDescent="0.3">
      <c r="A412" t="str">
        <f t="shared" si="48"/>
        <v>SectionD_Exam2001403110132</v>
      </c>
      <c r="B412" t="s">
        <v>871</v>
      </c>
      <c r="C412" t="s">
        <v>780</v>
      </c>
      <c r="D412">
        <v>2001</v>
      </c>
      <c r="E412">
        <v>40</v>
      </c>
      <c r="F412">
        <v>3</v>
      </c>
      <c r="G412">
        <v>110</v>
      </c>
      <c r="H412">
        <v>132</v>
      </c>
      <c r="I412">
        <v>3</v>
      </c>
      <c r="J412" s="15">
        <v>42493.578368055554</v>
      </c>
      <c r="K412" s="15">
        <v>42493.585821759261</v>
      </c>
      <c r="O412" s="17">
        <f t="shared" si="49"/>
        <v>10.733333338284865</v>
      </c>
      <c r="P412">
        <f>COUNTIF(A2:A412,A412)</f>
        <v>1</v>
      </c>
      <c r="Q412" s="39">
        <f t="shared" si="50"/>
        <v>42493</v>
      </c>
    </row>
    <row r="413" spans="1:17" x14ac:dyDescent="0.3">
      <c r="A413" t="str">
        <f t="shared" si="48"/>
        <v>SectionD_Exam20062122139</v>
      </c>
      <c r="B413" t="s">
        <v>871</v>
      </c>
      <c r="C413" t="s">
        <v>768</v>
      </c>
      <c r="D413">
        <v>2006</v>
      </c>
      <c r="E413">
        <v>21</v>
      </c>
      <c r="F413">
        <v>2</v>
      </c>
      <c r="G413">
        <v>21</v>
      </c>
      <c r="H413">
        <v>39</v>
      </c>
      <c r="I413">
        <v>2</v>
      </c>
      <c r="J413" s="15">
        <v>42493.585821759261</v>
      </c>
      <c r="K413" s="15">
        <v>42493.587106481478</v>
      </c>
      <c r="O413" s="17">
        <f t="shared" si="49"/>
        <v>1.849999992409721</v>
      </c>
      <c r="P413">
        <f>COUNTIF(A2:A413,A413)</f>
        <v>1</v>
      </c>
      <c r="Q413" s="39">
        <f t="shared" si="50"/>
        <v>42493</v>
      </c>
    </row>
    <row r="414" spans="1:17" x14ac:dyDescent="0.3">
      <c r="A414" t="str">
        <f t="shared" si="48"/>
        <v>SectionD_SampleQTIA221719</v>
      </c>
      <c r="B414" t="s">
        <v>868</v>
      </c>
      <c r="C414" t="s">
        <v>777</v>
      </c>
      <c r="D414" t="s">
        <v>196</v>
      </c>
      <c r="E414">
        <v>2</v>
      </c>
      <c r="F414">
        <v>2</v>
      </c>
      <c r="G414">
        <v>17</v>
      </c>
      <c r="H414">
        <v>19</v>
      </c>
      <c r="I414">
        <v>2</v>
      </c>
      <c r="J414" s="15">
        <v>42493.587106481478</v>
      </c>
      <c r="K414" s="15">
        <v>42493.587847222225</v>
      </c>
      <c r="O414" s="17">
        <f t="shared" si="49"/>
        <v>1.0666666750330478</v>
      </c>
      <c r="P414">
        <f>COUNTIF(A2:A414,A414)</f>
        <v>1</v>
      </c>
      <c r="Q414" s="39">
        <f t="shared" si="50"/>
        <v>42493</v>
      </c>
    </row>
    <row r="415" spans="1:17" x14ac:dyDescent="0.3">
      <c r="A415" t="str">
        <f t="shared" si="48"/>
        <v>SectionD_Exam2009752443</v>
      </c>
      <c r="B415" t="s">
        <v>871</v>
      </c>
      <c r="C415" t="s">
        <v>768</v>
      </c>
      <c r="D415">
        <v>2009</v>
      </c>
      <c r="E415">
        <v>7</v>
      </c>
      <c r="F415">
        <v>5</v>
      </c>
      <c r="G415">
        <v>24</v>
      </c>
      <c r="H415">
        <v>43</v>
      </c>
      <c r="I415">
        <v>3.5</v>
      </c>
      <c r="J415" s="15">
        <v>42493.587847222225</v>
      </c>
      <c r="K415" s="15">
        <v>42493.610902777778</v>
      </c>
      <c r="O415" s="17">
        <f t="shared" si="49"/>
        <v>33.199999997159466</v>
      </c>
      <c r="P415">
        <f>COUNTIF(A2:A415,A415)</f>
        <v>1</v>
      </c>
      <c r="Q415" s="39">
        <f t="shared" si="50"/>
        <v>42493</v>
      </c>
    </row>
    <row r="416" spans="1:17" x14ac:dyDescent="0.3">
      <c r="A416" t="str">
        <f t="shared" si="48"/>
        <v>SectionD_SampleQTIA3247</v>
      </c>
      <c r="B416" t="s">
        <v>868</v>
      </c>
      <c r="C416" t="s">
        <v>768</v>
      </c>
      <c r="D416" t="s">
        <v>196</v>
      </c>
      <c r="E416">
        <v>3</v>
      </c>
      <c r="F416">
        <v>2</v>
      </c>
      <c r="G416">
        <v>4</v>
      </c>
      <c r="H416">
        <v>7</v>
      </c>
      <c r="I416">
        <v>1</v>
      </c>
      <c r="J416" s="15">
        <v>42493.610902777778</v>
      </c>
      <c r="K416" s="15">
        <v>42493.612754629627</v>
      </c>
      <c r="O416" s="17">
        <f t="shared" si="49"/>
        <v>2.6666666613891721</v>
      </c>
      <c r="P416">
        <f>COUNTIF(A2:A416,A416)</f>
        <v>1</v>
      </c>
      <c r="Q416" s="39">
        <f t="shared" si="50"/>
        <v>42493</v>
      </c>
    </row>
    <row r="417" spans="1:17" x14ac:dyDescent="0.3">
      <c r="A417" t="str">
        <f t="shared" si="48"/>
        <v>SectionD_SampleQTIA2212</v>
      </c>
      <c r="B417" t="s">
        <v>868</v>
      </c>
      <c r="C417" t="s">
        <v>774</v>
      </c>
      <c r="D417" t="s">
        <v>196</v>
      </c>
      <c r="E417">
        <v>2</v>
      </c>
      <c r="F417">
        <v>2</v>
      </c>
      <c r="G417">
        <v>1</v>
      </c>
      <c r="H417">
        <v>2</v>
      </c>
      <c r="I417">
        <v>2</v>
      </c>
      <c r="J417" s="15">
        <v>42493.612754629627</v>
      </c>
      <c r="K417" s="15">
        <v>42493.612986111111</v>
      </c>
      <c r="O417" s="17">
        <f t="shared" si="49"/>
        <v>0.33333333791233599</v>
      </c>
      <c r="P417">
        <f>COUNTIF(A2:A417,A417)</f>
        <v>1</v>
      </c>
      <c r="Q417" s="39">
        <f t="shared" si="50"/>
        <v>42493</v>
      </c>
    </row>
    <row r="418" spans="1:17" x14ac:dyDescent="0.3">
      <c r="A418" t="str">
        <f t="shared" si="48"/>
        <v>SectionD_Exam2005132.5115140</v>
      </c>
      <c r="B418" t="s">
        <v>871</v>
      </c>
      <c r="C418" t="s">
        <v>780</v>
      </c>
      <c r="D418">
        <v>2005</v>
      </c>
      <c r="E418">
        <v>13</v>
      </c>
      <c r="F418">
        <v>2.5</v>
      </c>
      <c r="G418">
        <v>115</v>
      </c>
      <c r="H418">
        <v>140</v>
      </c>
      <c r="I418">
        <v>2</v>
      </c>
      <c r="J418" s="15">
        <v>42493.652141203704</v>
      </c>
      <c r="K418" s="15">
        <v>42493.666597222225</v>
      </c>
      <c r="O418" s="17">
        <f t="shared" si="49"/>
        <v>20.816666671307757</v>
      </c>
      <c r="P418">
        <f>COUNTIF(A2:A418,A418)</f>
        <v>1</v>
      </c>
      <c r="Q418" s="39">
        <f t="shared" si="50"/>
        <v>42493</v>
      </c>
    </row>
    <row r="419" spans="1:17" x14ac:dyDescent="0.3">
      <c r="A419" t="str">
        <f t="shared" si="48"/>
        <v>SectionD_Exam20001118796</v>
      </c>
      <c r="B419" t="s">
        <v>871</v>
      </c>
      <c r="C419" t="s">
        <v>777</v>
      </c>
      <c r="D419">
        <v>2000</v>
      </c>
      <c r="E419">
        <v>11</v>
      </c>
      <c r="F419">
        <v>1</v>
      </c>
      <c r="G419">
        <v>87</v>
      </c>
      <c r="H419">
        <v>96</v>
      </c>
      <c r="I419">
        <v>1</v>
      </c>
      <c r="J419" s="15">
        <v>42493.666597222225</v>
      </c>
      <c r="K419" s="15">
        <v>42493.667037037034</v>
      </c>
      <c r="O419" s="17">
        <f t="shared" si="49"/>
        <v>0.63333332422189415</v>
      </c>
      <c r="P419">
        <f>COUNTIF(A2:A419,A419)</f>
        <v>1</v>
      </c>
      <c r="Q419" s="39">
        <f t="shared" si="50"/>
        <v>42493</v>
      </c>
    </row>
    <row r="420" spans="1:17" x14ac:dyDescent="0.3">
      <c r="A420" t="str">
        <f t="shared" si="48"/>
        <v>SectionD_Exam2010722545</v>
      </c>
      <c r="B420" t="s">
        <v>871</v>
      </c>
      <c r="C420" t="s">
        <v>768</v>
      </c>
      <c r="D420">
        <v>2010</v>
      </c>
      <c r="E420">
        <v>7</v>
      </c>
      <c r="F420">
        <v>2</v>
      </c>
      <c r="G420">
        <v>25</v>
      </c>
      <c r="H420">
        <v>45</v>
      </c>
      <c r="I420">
        <v>1</v>
      </c>
      <c r="J420" s="15">
        <v>42493.667037037034</v>
      </c>
      <c r="K420" s="15">
        <v>42493.671249999999</v>
      </c>
      <c r="O420" s="17">
        <f t="shared" si="49"/>
        <v>6.0666666703764349</v>
      </c>
      <c r="P420">
        <f>COUNTIF(A2:A420,A420)</f>
        <v>1</v>
      </c>
      <c r="Q420" s="39">
        <f t="shared" si="50"/>
        <v>42493</v>
      </c>
    </row>
    <row r="421" spans="1:17" x14ac:dyDescent="0.3">
      <c r="A421" t="str">
        <f t="shared" si="48"/>
        <v>SectionD_Exam200714392101</v>
      </c>
      <c r="B421" t="s">
        <v>871</v>
      </c>
      <c r="C421" t="s">
        <v>777</v>
      </c>
      <c r="D421">
        <v>2007</v>
      </c>
      <c r="E421">
        <v>14</v>
      </c>
      <c r="F421">
        <v>3</v>
      </c>
      <c r="G421">
        <v>92</v>
      </c>
      <c r="H421">
        <v>101</v>
      </c>
      <c r="I421">
        <v>2</v>
      </c>
      <c r="J421" s="15">
        <v>42493.671249999999</v>
      </c>
      <c r="K421" s="15">
        <v>42493.672418981485</v>
      </c>
      <c r="O421" s="17">
        <f t="shared" si="49"/>
        <v>1.6833333391696215</v>
      </c>
      <c r="P421">
        <f>COUNTIF(A2:A421,A421)</f>
        <v>1</v>
      </c>
      <c r="Q421" s="39">
        <f t="shared" si="50"/>
        <v>42493</v>
      </c>
    </row>
    <row r="422" spans="1:17" x14ac:dyDescent="0.3">
      <c r="A422" t="str">
        <f t="shared" si="48"/>
        <v>SectionD_Exam20001018796</v>
      </c>
      <c r="B422" t="s">
        <v>871</v>
      </c>
      <c r="C422" t="s">
        <v>777</v>
      </c>
      <c r="D422">
        <v>2000</v>
      </c>
      <c r="E422">
        <v>10</v>
      </c>
      <c r="F422">
        <v>1</v>
      </c>
      <c r="G422">
        <v>87</v>
      </c>
      <c r="H422">
        <v>96</v>
      </c>
      <c r="I422">
        <v>1</v>
      </c>
      <c r="J422" s="15">
        <v>42493.672418981485</v>
      </c>
      <c r="K422" s="15">
        <v>42493.673634259256</v>
      </c>
      <c r="O422" s="17">
        <f t="shared" si="49"/>
        <v>1.7499999899882823</v>
      </c>
      <c r="P422">
        <f>COUNTIF(A2:A422,A422)</f>
        <v>1</v>
      </c>
      <c r="Q422" s="39">
        <f t="shared" si="50"/>
        <v>42493</v>
      </c>
    </row>
    <row r="423" spans="1:17" x14ac:dyDescent="0.3">
      <c r="A423" t="str">
        <f t="shared" si="48"/>
        <v>SectionD_Exam20051812037</v>
      </c>
      <c r="B423" t="s">
        <v>871</v>
      </c>
      <c r="C423" t="s">
        <v>768</v>
      </c>
      <c r="D423">
        <v>2005</v>
      </c>
      <c r="E423">
        <v>18</v>
      </c>
      <c r="F423">
        <v>1</v>
      </c>
      <c r="G423">
        <v>20</v>
      </c>
      <c r="H423">
        <v>37</v>
      </c>
      <c r="I423">
        <v>0.75</v>
      </c>
      <c r="J423" s="15">
        <v>42493.673634259256</v>
      </c>
      <c r="K423" s="15">
        <v>42493.676087962966</v>
      </c>
      <c r="O423" s="17">
        <f t="shared" si="49"/>
        <v>3.5333333420567214</v>
      </c>
      <c r="P423">
        <f>COUNTIF(A2:A423,A423)</f>
        <v>1</v>
      </c>
      <c r="Q423" s="39">
        <f t="shared" si="50"/>
        <v>42493</v>
      </c>
    </row>
    <row r="424" spans="1:17" x14ac:dyDescent="0.3">
      <c r="A424" t="str">
        <f t="shared" si="48"/>
        <v>SectionD_Exam20011518897</v>
      </c>
      <c r="B424" t="s">
        <v>871</v>
      </c>
      <c r="C424" t="s">
        <v>777</v>
      </c>
      <c r="D424">
        <v>2001</v>
      </c>
      <c r="E424">
        <v>15</v>
      </c>
      <c r="F424">
        <v>1</v>
      </c>
      <c r="G424">
        <v>88</v>
      </c>
      <c r="H424">
        <v>97</v>
      </c>
      <c r="I424">
        <v>0</v>
      </c>
      <c r="J424" s="15">
        <v>42493.676087962966</v>
      </c>
      <c r="K424" s="15">
        <v>42493.677152777775</v>
      </c>
      <c r="O424" s="17">
        <f t="shared" si="49"/>
        <v>1.5333333250600845</v>
      </c>
      <c r="P424">
        <f>COUNTIF(A2:A424,A424)</f>
        <v>1</v>
      </c>
      <c r="Q424" s="39">
        <f t="shared" si="50"/>
        <v>42493</v>
      </c>
    </row>
    <row r="425" spans="1:17" x14ac:dyDescent="0.3">
      <c r="A425" t="str">
        <f t="shared" si="48"/>
        <v>SectionD_Exam20061632038</v>
      </c>
      <c r="B425" t="s">
        <v>871</v>
      </c>
      <c r="C425" t="s">
        <v>768</v>
      </c>
      <c r="D425">
        <v>2006</v>
      </c>
      <c r="E425">
        <v>16</v>
      </c>
      <c r="F425">
        <v>3</v>
      </c>
      <c r="G425">
        <v>20</v>
      </c>
      <c r="H425">
        <v>38</v>
      </c>
      <c r="I425">
        <v>2</v>
      </c>
      <c r="J425" s="15">
        <v>42493.677152777775</v>
      </c>
      <c r="K425" s="15">
        <v>42493.687199074076</v>
      </c>
      <c r="O425" s="17">
        <f t="shared" si="49"/>
        <v>14.466666674707085</v>
      </c>
      <c r="P425">
        <f>COUNTIF(A2:A425,A425)</f>
        <v>1</v>
      </c>
      <c r="Q425" s="39">
        <f t="shared" si="50"/>
        <v>42493</v>
      </c>
    </row>
    <row r="426" spans="1:17" x14ac:dyDescent="0.3">
      <c r="A426" t="str">
        <f t="shared" si="48"/>
        <v>SectionD_SampleQTIA1212</v>
      </c>
      <c r="B426" t="s">
        <v>868</v>
      </c>
      <c r="C426" t="s">
        <v>774</v>
      </c>
      <c r="D426" t="s">
        <v>196</v>
      </c>
      <c r="E426">
        <v>1</v>
      </c>
      <c r="F426">
        <v>2</v>
      </c>
      <c r="G426">
        <v>1</v>
      </c>
      <c r="H426">
        <v>2</v>
      </c>
      <c r="I426">
        <v>2</v>
      </c>
      <c r="J426" s="15">
        <v>42493.687199074076</v>
      </c>
      <c r="K426" s="15">
        <v>42493.687430555554</v>
      </c>
      <c r="O426" s="17">
        <f t="shared" si="49"/>
        <v>0.33333332743495703</v>
      </c>
      <c r="P426">
        <f>COUNTIF(A2:A426,A426)</f>
        <v>1</v>
      </c>
      <c r="Q426" s="39">
        <f t="shared" si="50"/>
        <v>42493</v>
      </c>
    </row>
    <row r="427" spans="1:17" x14ac:dyDescent="0.3">
      <c r="A427" t="str">
        <f t="shared" si="48"/>
        <v>SectionD_Exam20111842749</v>
      </c>
      <c r="B427" t="s">
        <v>871</v>
      </c>
      <c r="C427" t="s">
        <v>768</v>
      </c>
      <c r="D427">
        <v>2011</v>
      </c>
      <c r="E427">
        <v>18</v>
      </c>
      <c r="F427">
        <v>4</v>
      </c>
      <c r="G427">
        <v>27</v>
      </c>
      <c r="H427">
        <v>49</v>
      </c>
      <c r="I427">
        <v>3</v>
      </c>
      <c r="J427" s="15">
        <v>42493.687430555554</v>
      </c>
      <c r="K427" s="15">
        <v>42493.70921296296</v>
      </c>
      <c r="O427" s="17">
        <f t="shared" si="49"/>
        <v>31.366666664835066</v>
      </c>
      <c r="P427">
        <f>COUNTIF(A2:A427,A427)</f>
        <v>1</v>
      </c>
      <c r="Q427" s="39">
        <f t="shared" si="50"/>
        <v>42493</v>
      </c>
    </row>
    <row r="428" spans="1:17" x14ac:dyDescent="0.3">
      <c r="A428" t="str">
        <f t="shared" si="48"/>
        <v>SectionD_Exam2002243112134</v>
      </c>
      <c r="B428" t="s">
        <v>871</v>
      </c>
      <c r="C428" t="s">
        <v>780</v>
      </c>
      <c r="D428">
        <v>2002</v>
      </c>
      <c r="E428">
        <v>24</v>
      </c>
      <c r="F428">
        <v>3</v>
      </c>
      <c r="G428">
        <v>112</v>
      </c>
      <c r="H428">
        <v>134</v>
      </c>
      <c r="I428">
        <v>3</v>
      </c>
      <c r="J428" s="15">
        <v>42493.907870370371</v>
      </c>
      <c r="K428" s="15">
        <v>42493.909155092595</v>
      </c>
      <c r="O428" s="17">
        <f t="shared" si="49"/>
        <v>1.8500000028871</v>
      </c>
      <c r="P428">
        <f>COUNTIF(A2:A428,A428)</f>
        <v>1</v>
      </c>
      <c r="Q428" s="39">
        <f t="shared" si="50"/>
        <v>42493</v>
      </c>
    </row>
    <row r="429" spans="1:17" x14ac:dyDescent="0.3">
      <c r="A429" t="str">
        <f t="shared" si="48"/>
        <v>SectionD_Exam20101342647</v>
      </c>
      <c r="B429" t="s">
        <v>871</v>
      </c>
      <c r="C429" t="s">
        <v>768</v>
      </c>
      <c r="D429">
        <v>2010</v>
      </c>
      <c r="E429">
        <v>13</v>
      </c>
      <c r="F429">
        <v>4</v>
      </c>
      <c r="G429">
        <v>26</v>
      </c>
      <c r="H429">
        <v>47</v>
      </c>
      <c r="I429">
        <v>3</v>
      </c>
      <c r="J429" s="15">
        <v>42493.909155092595</v>
      </c>
      <c r="K429" s="15">
        <v>42493.914317129631</v>
      </c>
      <c r="O429" s="17">
        <f t="shared" si="49"/>
        <v>7.4333333317190409</v>
      </c>
      <c r="P429">
        <f>COUNTIF(A2:A429,A429)</f>
        <v>1</v>
      </c>
      <c r="Q429" s="39">
        <f t="shared" si="50"/>
        <v>42493</v>
      </c>
    </row>
    <row r="430" spans="1:17" x14ac:dyDescent="0.3">
      <c r="A430" t="str">
        <f t="shared" si="48"/>
        <v>SectionD_Exam2002418897</v>
      </c>
      <c r="B430" t="s">
        <v>871</v>
      </c>
      <c r="C430" t="s">
        <v>777</v>
      </c>
      <c r="D430">
        <v>2002</v>
      </c>
      <c r="E430">
        <v>4</v>
      </c>
      <c r="F430">
        <v>1</v>
      </c>
      <c r="G430">
        <v>88</v>
      </c>
      <c r="H430">
        <v>97</v>
      </c>
      <c r="I430">
        <v>1</v>
      </c>
      <c r="J430" s="15">
        <v>42493.914317129631</v>
      </c>
      <c r="K430" s="15">
        <v>42493.914606481485</v>
      </c>
      <c r="O430" s="17">
        <f t="shared" si="49"/>
        <v>0.41666666977107525</v>
      </c>
      <c r="P430">
        <f>COUNTIF(A2:A430,A430)</f>
        <v>1</v>
      </c>
      <c r="Q430" s="39">
        <f t="shared" si="50"/>
        <v>42493</v>
      </c>
    </row>
    <row r="431" spans="1:17" x14ac:dyDescent="0.3">
      <c r="A431" t="str">
        <f t="shared" si="48"/>
        <v>SectionD_SampleQTIA121719</v>
      </c>
      <c r="B431" t="s">
        <v>868</v>
      </c>
      <c r="C431" t="s">
        <v>777</v>
      </c>
      <c r="D431" t="s">
        <v>196</v>
      </c>
      <c r="E431">
        <v>1</v>
      </c>
      <c r="F431">
        <v>2</v>
      </c>
      <c r="G431">
        <v>17</v>
      </c>
      <c r="H431">
        <v>19</v>
      </c>
      <c r="I431">
        <v>2</v>
      </c>
      <c r="J431" s="15">
        <v>42493.914606481485</v>
      </c>
      <c r="K431" s="15">
        <v>42493.915451388886</v>
      </c>
      <c r="O431" s="17">
        <f t="shared" si="49"/>
        <v>1.2166666577104479</v>
      </c>
      <c r="P431">
        <f>COUNTIF(A2:A431,A431)</f>
        <v>1</v>
      </c>
      <c r="Q431" s="39">
        <f t="shared" si="50"/>
        <v>42493</v>
      </c>
    </row>
    <row r="432" spans="1:17" x14ac:dyDescent="0.3">
      <c r="A432" t="str">
        <f t="shared" si="48"/>
        <v>SectionD_SampleQTIA722433</v>
      </c>
      <c r="B432" t="s">
        <v>868</v>
      </c>
      <c r="C432" t="s">
        <v>780</v>
      </c>
      <c r="D432" t="s">
        <v>196</v>
      </c>
      <c r="E432">
        <v>7</v>
      </c>
      <c r="F432">
        <v>2</v>
      </c>
      <c r="G432">
        <v>24</v>
      </c>
      <c r="H432">
        <v>33</v>
      </c>
      <c r="I432">
        <v>0</v>
      </c>
      <c r="J432" s="15">
        <v>42493.915451388886</v>
      </c>
      <c r="K432" s="15">
        <v>42493.916747685187</v>
      </c>
      <c r="O432" s="17">
        <f t="shared" si="49"/>
        <v>1.8666666734497994</v>
      </c>
      <c r="P432">
        <f>COUNTIF(A2:A432,A432)</f>
        <v>1</v>
      </c>
      <c r="Q432" s="39">
        <f t="shared" si="50"/>
        <v>42493</v>
      </c>
    </row>
    <row r="433" spans="1:17" x14ac:dyDescent="0.3">
      <c r="A433" t="str">
        <f t="shared" si="48"/>
        <v>SectionD_Exam2008122.5118144</v>
      </c>
      <c r="B433" t="s">
        <v>871</v>
      </c>
      <c r="C433" t="s">
        <v>780</v>
      </c>
      <c r="D433">
        <v>2008</v>
      </c>
      <c r="E433">
        <v>12</v>
      </c>
      <c r="F433">
        <v>2.5</v>
      </c>
      <c r="G433">
        <v>118</v>
      </c>
      <c r="H433">
        <v>144</v>
      </c>
      <c r="I433">
        <v>2</v>
      </c>
      <c r="J433" s="15">
        <v>42493.916747685187</v>
      </c>
      <c r="K433" s="15">
        <v>42493.918055555558</v>
      </c>
      <c r="O433" s="17">
        <f t="shared" si="49"/>
        <v>1.8833333335351199</v>
      </c>
      <c r="P433">
        <f>COUNTIF(A2:A433,A433)</f>
        <v>1</v>
      </c>
      <c r="Q433" s="39">
        <f t="shared" si="50"/>
        <v>42493</v>
      </c>
    </row>
    <row r="434" spans="1:17" x14ac:dyDescent="0.3">
      <c r="A434" t="str">
        <f t="shared" si="48"/>
        <v>SectionD_SampleQTIA421720</v>
      </c>
      <c r="B434" t="s">
        <v>868</v>
      </c>
      <c r="C434" t="s">
        <v>777</v>
      </c>
      <c r="D434" t="s">
        <v>196</v>
      </c>
      <c r="E434">
        <v>4</v>
      </c>
      <c r="F434">
        <v>2</v>
      </c>
      <c r="G434">
        <v>17</v>
      </c>
      <c r="H434">
        <v>20</v>
      </c>
      <c r="I434">
        <v>1</v>
      </c>
      <c r="J434" s="15">
        <v>42493.918055555558</v>
      </c>
      <c r="K434" s="15">
        <v>42493.918425925927</v>
      </c>
      <c r="O434" s="17">
        <f t="shared" si="49"/>
        <v>0.53333333227783442</v>
      </c>
      <c r="P434">
        <f>COUNTIF(A2:A434,A434)</f>
        <v>1</v>
      </c>
      <c r="Q434" s="39">
        <f t="shared" si="50"/>
        <v>42493</v>
      </c>
    </row>
    <row r="435" spans="1:17" x14ac:dyDescent="0.3">
      <c r="A435" t="str">
        <f t="shared" si="48"/>
        <v>SectionD_Exam2008144119145</v>
      </c>
      <c r="B435" t="s">
        <v>871</v>
      </c>
      <c r="C435" t="s">
        <v>780</v>
      </c>
      <c r="D435">
        <v>2008</v>
      </c>
      <c r="E435">
        <v>14</v>
      </c>
      <c r="F435">
        <v>4</v>
      </c>
      <c r="G435">
        <v>119</v>
      </c>
      <c r="H435">
        <v>145</v>
      </c>
      <c r="I435">
        <v>4</v>
      </c>
      <c r="J435" s="15">
        <v>42493.918425925927</v>
      </c>
      <c r="K435" s="15">
        <v>42493.920347222222</v>
      </c>
      <c r="O435" s="17">
        <f t="shared" si="49"/>
        <v>2.7666666638106108</v>
      </c>
      <c r="P435">
        <f>COUNTIF(A2:A435,A435)</f>
        <v>1</v>
      </c>
      <c r="Q435" s="39">
        <f t="shared" si="50"/>
        <v>42493</v>
      </c>
    </row>
    <row r="436" spans="1:17" x14ac:dyDescent="0.3">
      <c r="A436" t="str">
        <f t="shared" si="48"/>
        <v>SectionD_Exam200813293102</v>
      </c>
      <c r="B436" t="s">
        <v>871</v>
      </c>
      <c r="C436" t="s">
        <v>777</v>
      </c>
      <c r="D436">
        <v>2008</v>
      </c>
      <c r="E436">
        <v>13</v>
      </c>
      <c r="F436">
        <v>2</v>
      </c>
      <c r="G436">
        <v>93</v>
      </c>
      <c r="H436">
        <v>102</v>
      </c>
      <c r="I436">
        <v>1.5</v>
      </c>
      <c r="J436" s="15">
        <v>42493.920347222222</v>
      </c>
      <c r="K436" s="15">
        <v>42493.922395833331</v>
      </c>
      <c r="O436" s="17">
        <f t="shared" si="49"/>
        <v>2.9499999980907887</v>
      </c>
      <c r="P436">
        <f>COUNTIF(A2:A436,A436)</f>
        <v>1</v>
      </c>
      <c r="Q436" s="39">
        <f t="shared" si="50"/>
        <v>42493</v>
      </c>
    </row>
    <row r="437" spans="1:17" x14ac:dyDescent="0.3">
      <c r="A437" t="str">
        <f t="shared" si="48"/>
        <v>SectionD_SampleQTIA922636</v>
      </c>
      <c r="B437" t="s">
        <v>868</v>
      </c>
      <c r="C437" t="s">
        <v>780</v>
      </c>
      <c r="D437" t="s">
        <v>196</v>
      </c>
      <c r="E437">
        <v>9</v>
      </c>
      <c r="F437">
        <v>2</v>
      </c>
      <c r="G437">
        <v>26</v>
      </c>
      <c r="H437">
        <v>36</v>
      </c>
      <c r="I437">
        <v>1</v>
      </c>
      <c r="J437" s="15">
        <v>42493.922395833331</v>
      </c>
      <c r="K437" s="15">
        <v>42493.926006944443</v>
      </c>
      <c r="O437" s="17">
        <f t="shared" si="49"/>
        <v>5.2000000001862645</v>
      </c>
      <c r="P437">
        <f>COUNTIF(A2:A437,A437)</f>
        <v>1</v>
      </c>
      <c r="Q437" s="39">
        <f t="shared" si="50"/>
        <v>42493</v>
      </c>
    </row>
    <row r="438" spans="1:17" x14ac:dyDescent="0.3">
      <c r="A438" t="str">
        <f t="shared" si="48"/>
        <v>SectionD_Exam200916293103</v>
      </c>
      <c r="B438" t="s">
        <v>871</v>
      </c>
      <c r="C438" t="s">
        <v>777</v>
      </c>
      <c r="D438">
        <v>2009</v>
      </c>
      <c r="E438">
        <v>16</v>
      </c>
      <c r="F438">
        <v>2</v>
      </c>
      <c r="G438">
        <v>93</v>
      </c>
      <c r="H438">
        <v>103</v>
      </c>
      <c r="I438">
        <v>2</v>
      </c>
      <c r="J438" s="15">
        <v>42493.926006944443</v>
      </c>
      <c r="K438" s="15">
        <v>42493.927094907405</v>
      </c>
      <c r="O438" s="17">
        <f t="shared" si="49"/>
        <v>1.5666666661854833</v>
      </c>
      <c r="P438">
        <f>COUNTIF(A2:A438,A438)</f>
        <v>1</v>
      </c>
      <c r="Q438" s="39">
        <f t="shared" si="50"/>
        <v>42493</v>
      </c>
    </row>
    <row r="439" spans="1:17" x14ac:dyDescent="0.3">
      <c r="A439" t="str">
        <f t="shared" si="48"/>
        <v>SectionD_SampleQTIA622433</v>
      </c>
      <c r="B439" t="s">
        <v>868</v>
      </c>
      <c r="C439" t="s">
        <v>780</v>
      </c>
      <c r="D439" t="s">
        <v>196</v>
      </c>
      <c r="E439">
        <v>6</v>
      </c>
      <c r="F439">
        <v>2</v>
      </c>
      <c r="G439">
        <v>24</v>
      </c>
      <c r="H439">
        <v>33</v>
      </c>
      <c r="I439">
        <v>1.5</v>
      </c>
      <c r="J439" s="15">
        <v>42493.927094907405</v>
      </c>
      <c r="K439" s="15">
        <v>42493.927615740744</v>
      </c>
      <c r="O439" s="17">
        <f t="shared" si="49"/>
        <v>0.75000000768341124</v>
      </c>
      <c r="P439">
        <f>COUNTIF(A2:A439,A439)</f>
        <v>1</v>
      </c>
      <c r="Q439" s="39">
        <f t="shared" si="50"/>
        <v>42493</v>
      </c>
    </row>
    <row r="440" spans="1:17" x14ac:dyDescent="0.3">
      <c r="A440" t="str">
        <f t="shared" si="48"/>
        <v>SectionD_Exam2003425113136</v>
      </c>
      <c r="B440" t="s">
        <v>871</v>
      </c>
      <c r="C440" t="s">
        <v>780</v>
      </c>
      <c r="D440">
        <v>2003</v>
      </c>
      <c r="E440">
        <v>42</v>
      </c>
      <c r="F440">
        <v>5</v>
      </c>
      <c r="G440">
        <v>113</v>
      </c>
      <c r="H440">
        <v>136</v>
      </c>
      <c r="I440">
        <v>3</v>
      </c>
      <c r="J440" s="15">
        <v>42493.927615740744</v>
      </c>
      <c r="K440" s="15">
        <v>42493.937916666669</v>
      </c>
      <c r="O440" s="17">
        <f t="shared" si="49"/>
        <v>14.833333332790062</v>
      </c>
      <c r="P440">
        <f>COUNTIF(A2:A440,A440)</f>
        <v>1</v>
      </c>
      <c r="Q440" s="39">
        <f t="shared" si="50"/>
        <v>42493</v>
      </c>
    </row>
    <row r="441" spans="1:17" x14ac:dyDescent="0.3">
      <c r="A441" t="str">
        <f t="shared" si="48"/>
        <v>SectionD_Exam2009143.5120147</v>
      </c>
      <c r="B441" t="s">
        <v>871</v>
      </c>
      <c r="C441" t="s">
        <v>780</v>
      </c>
      <c r="D441">
        <v>2009</v>
      </c>
      <c r="E441">
        <v>14</v>
      </c>
      <c r="F441">
        <v>3.5</v>
      </c>
      <c r="G441">
        <v>120</v>
      </c>
      <c r="H441">
        <v>147</v>
      </c>
      <c r="I441">
        <v>2</v>
      </c>
      <c r="J441" s="15">
        <v>42493.937916666669</v>
      </c>
      <c r="K441" s="15">
        <v>42493.942118055558</v>
      </c>
      <c r="O441" s="17">
        <f t="shared" si="49"/>
        <v>6.0499999998137355</v>
      </c>
      <c r="P441">
        <f>COUNTIF(A2:A441,A441)</f>
        <v>1</v>
      </c>
      <c r="Q441" s="39">
        <f t="shared" si="50"/>
        <v>42493</v>
      </c>
    </row>
    <row r="442" spans="1:17" x14ac:dyDescent="0.3">
      <c r="A442" t="str">
        <f t="shared" si="48"/>
        <v>SectionD_Exam2010123121148</v>
      </c>
      <c r="B442" t="s">
        <v>871</v>
      </c>
      <c r="C442" t="s">
        <v>780</v>
      </c>
      <c r="D442">
        <v>2010</v>
      </c>
      <c r="E442">
        <v>12</v>
      </c>
      <c r="F442">
        <v>3</v>
      </c>
      <c r="G442">
        <v>121</v>
      </c>
      <c r="H442">
        <v>148</v>
      </c>
      <c r="I442">
        <v>3</v>
      </c>
      <c r="J442" s="15">
        <v>42493.942118055558</v>
      </c>
      <c r="K442" s="15">
        <v>42493.943773148145</v>
      </c>
      <c r="O442" s="17">
        <f t="shared" si="49"/>
        <v>2.3833333246875554</v>
      </c>
      <c r="P442">
        <f>COUNTIF(A2:A442,A442)</f>
        <v>1</v>
      </c>
      <c r="Q442" s="39">
        <f t="shared" si="50"/>
        <v>42493</v>
      </c>
    </row>
    <row r="443" spans="1:17" x14ac:dyDescent="0.3">
      <c r="A443" t="str">
        <f t="shared" si="48"/>
        <v>SectionA_SampleQTIA321517</v>
      </c>
      <c r="B443" t="s">
        <v>865</v>
      </c>
      <c r="C443" t="s">
        <v>813</v>
      </c>
      <c r="D443" t="s">
        <v>196</v>
      </c>
      <c r="E443">
        <v>3</v>
      </c>
      <c r="F443">
        <v>2</v>
      </c>
      <c r="G443">
        <v>15</v>
      </c>
      <c r="H443">
        <v>17</v>
      </c>
      <c r="I443">
        <v>2</v>
      </c>
      <c r="J443" s="15">
        <v>42493.944768518515</v>
      </c>
      <c r="K443" s="15">
        <v>42493.946238425924</v>
      </c>
      <c r="O443" s="17">
        <f t="shared" si="49"/>
        <v>2.1166666690260172</v>
      </c>
      <c r="P443">
        <f>COUNTIF(A2:A443,A443)</f>
        <v>1</v>
      </c>
      <c r="Q443" s="39">
        <f t="shared" si="50"/>
        <v>42493</v>
      </c>
    </row>
    <row r="444" spans="1:17" x14ac:dyDescent="0.3">
      <c r="A444" t="str">
        <f t="shared" si="48"/>
        <v>SectionB_SampleQTIA2213</v>
      </c>
      <c r="B444" t="s">
        <v>866</v>
      </c>
      <c r="C444" t="s">
        <v>828</v>
      </c>
      <c r="D444" t="s">
        <v>196</v>
      </c>
      <c r="E444">
        <v>2</v>
      </c>
      <c r="F444">
        <v>2</v>
      </c>
      <c r="G444">
        <v>1</v>
      </c>
      <c r="H444">
        <v>3</v>
      </c>
      <c r="I444">
        <v>2</v>
      </c>
      <c r="J444" s="15">
        <v>42493.946238425924</v>
      </c>
      <c r="K444" s="15">
        <v>42493.946400462963</v>
      </c>
      <c r="O444" s="17">
        <f t="shared" si="49"/>
        <v>0.2333333354908973</v>
      </c>
      <c r="P444">
        <f>COUNTIF(A2:A444,A444)</f>
        <v>1</v>
      </c>
      <c r="Q444" s="39">
        <f t="shared" si="50"/>
        <v>42493</v>
      </c>
    </row>
    <row r="445" spans="1:17" x14ac:dyDescent="0.3">
      <c r="A445" t="str">
        <f t="shared" si="48"/>
        <v>SectionD_Exam2003443113137</v>
      </c>
      <c r="B445" t="s">
        <v>871</v>
      </c>
      <c r="C445" t="s">
        <v>780</v>
      </c>
      <c r="D445">
        <v>2003</v>
      </c>
      <c r="E445">
        <v>44</v>
      </c>
      <c r="F445">
        <v>3</v>
      </c>
      <c r="G445">
        <v>113</v>
      </c>
      <c r="H445">
        <v>137</v>
      </c>
      <c r="I445">
        <v>3</v>
      </c>
      <c r="J445" s="15">
        <v>42493.946400462963</v>
      </c>
      <c r="K445" s="15">
        <v>42493.947060185186</v>
      </c>
      <c r="O445" s="17">
        <f t="shared" si="49"/>
        <v>0.95000000204890966</v>
      </c>
      <c r="P445">
        <f>COUNTIF(A2:A445,A445)</f>
        <v>1</v>
      </c>
      <c r="Q445" s="39">
        <f t="shared" si="50"/>
        <v>42493</v>
      </c>
    </row>
    <row r="446" spans="1:17" x14ac:dyDescent="0.3">
      <c r="A446" t="str">
        <f t="shared" si="48"/>
        <v>SectionB_Exam2000172111</v>
      </c>
      <c r="B446" t="s">
        <v>869</v>
      </c>
      <c r="C446" t="s">
        <v>828</v>
      </c>
      <c r="D446">
        <v>2000</v>
      </c>
      <c r="E446">
        <v>17</v>
      </c>
      <c r="F446">
        <v>2</v>
      </c>
      <c r="G446">
        <v>1</v>
      </c>
      <c r="H446">
        <v>11</v>
      </c>
      <c r="I446">
        <v>2</v>
      </c>
      <c r="J446" s="15">
        <v>42493.947060185186</v>
      </c>
      <c r="K446" s="15">
        <v>42493.947685185187</v>
      </c>
      <c r="O446" s="17">
        <f t="shared" si="49"/>
        <v>0.90000000083819032</v>
      </c>
      <c r="P446">
        <f>COUNTIF(A2:A446,A446)</f>
        <v>1</v>
      </c>
      <c r="Q446" s="39">
        <f t="shared" si="50"/>
        <v>42493</v>
      </c>
    </row>
    <row r="447" spans="1:17" x14ac:dyDescent="0.3">
      <c r="A447" t="str">
        <f t="shared" si="48"/>
        <v>SectionC_SampleQTIA321617</v>
      </c>
      <c r="B447" t="s">
        <v>867</v>
      </c>
      <c r="C447" t="s">
        <v>766</v>
      </c>
      <c r="D447" t="s">
        <v>196</v>
      </c>
      <c r="E447">
        <v>3</v>
      </c>
      <c r="F447">
        <v>2</v>
      </c>
      <c r="G447">
        <v>16</v>
      </c>
      <c r="H447">
        <v>17</v>
      </c>
      <c r="I447">
        <v>2</v>
      </c>
      <c r="J447" s="15">
        <v>42493.947685185187</v>
      </c>
      <c r="K447" s="15">
        <v>42493.948287037034</v>
      </c>
      <c r="O447" s="17">
        <f t="shared" si="49"/>
        <v>0.86666665971279144</v>
      </c>
      <c r="P447">
        <f>COUNTIF(A2:A447,A447)</f>
        <v>1</v>
      </c>
      <c r="Q447" s="39">
        <f t="shared" si="50"/>
        <v>42493</v>
      </c>
    </row>
    <row r="448" spans="1:17" x14ac:dyDescent="0.3">
      <c r="A448" t="str">
        <f t="shared" si="48"/>
        <v>SectionC_SampleQTIA221617</v>
      </c>
      <c r="B448" t="s">
        <v>867</v>
      </c>
      <c r="C448" t="s">
        <v>766</v>
      </c>
      <c r="D448" t="s">
        <v>196</v>
      </c>
      <c r="E448">
        <v>2</v>
      </c>
      <c r="F448">
        <v>2</v>
      </c>
      <c r="G448">
        <v>16</v>
      </c>
      <c r="H448">
        <v>17</v>
      </c>
      <c r="I448">
        <v>2</v>
      </c>
      <c r="J448" s="15">
        <v>42493.948287037034</v>
      </c>
      <c r="K448" s="15">
        <v>42493.949560185189</v>
      </c>
      <c r="O448" s="17">
        <f t="shared" si="49"/>
        <v>1.8333333428017795</v>
      </c>
      <c r="P448">
        <f>COUNTIF(A2:A448,A448)</f>
        <v>1</v>
      </c>
      <c r="Q448" s="39">
        <f t="shared" si="50"/>
        <v>42493</v>
      </c>
    </row>
    <row r="449" spans="1:17" x14ac:dyDescent="0.3">
      <c r="A449" t="str">
        <f t="shared" si="48"/>
        <v>SectionA_SampleQTIA221516</v>
      </c>
      <c r="B449" t="s">
        <v>865</v>
      </c>
      <c r="C449" t="s">
        <v>813</v>
      </c>
      <c r="D449" t="s">
        <v>196</v>
      </c>
      <c r="E449">
        <v>2</v>
      </c>
      <c r="F449">
        <v>2</v>
      </c>
      <c r="G449">
        <v>15</v>
      </c>
      <c r="H449">
        <v>16</v>
      </c>
      <c r="I449">
        <v>2</v>
      </c>
      <c r="J449" s="15">
        <v>42493.949560185189</v>
      </c>
      <c r="K449" s="15">
        <v>42493.950115740743</v>
      </c>
      <c r="O449" s="17">
        <f t="shared" si="49"/>
        <v>0.79999999841675162</v>
      </c>
      <c r="P449">
        <f>COUNTIF(A2:A449,A449)</f>
        <v>1</v>
      </c>
      <c r="Q449" s="39">
        <f t="shared" si="50"/>
        <v>42493</v>
      </c>
    </row>
    <row r="450" spans="1:17" x14ac:dyDescent="0.3">
      <c r="A450" t="str">
        <f t="shared" si="48"/>
        <v>SectionC_Exam20014513336</v>
      </c>
      <c r="B450" t="s">
        <v>870</v>
      </c>
      <c r="C450" t="s">
        <v>766</v>
      </c>
      <c r="D450">
        <v>2001</v>
      </c>
      <c r="E450">
        <v>45</v>
      </c>
      <c r="F450">
        <v>1</v>
      </c>
      <c r="G450">
        <v>33</v>
      </c>
      <c r="H450">
        <v>36</v>
      </c>
      <c r="I450">
        <v>1</v>
      </c>
      <c r="J450" s="15">
        <v>42493.950115740743</v>
      </c>
      <c r="K450" s="15">
        <v>42493.950567129628</v>
      </c>
      <c r="O450" s="17">
        <f t="shared" si="49"/>
        <v>0.64999999478459358</v>
      </c>
      <c r="P450">
        <f>COUNTIF(A2:A450,A450)</f>
        <v>1</v>
      </c>
      <c r="Q450" s="39">
        <f t="shared" si="50"/>
        <v>42493</v>
      </c>
    </row>
    <row r="451" spans="1:17" x14ac:dyDescent="0.3">
      <c r="A451" t="str">
        <f t="shared" si="48"/>
        <v>SectionD_SampleQTIA1022737</v>
      </c>
      <c r="B451" t="s">
        <v>868</v>
      </c>
      <c r="C451" t="s">
        <v>780</v>
      </c>
      <c r="D451" t="s">
        <v>196</v>
      </c>
      <c r="E451">
        <v>10</v>
      </c>
      <c r="F451">
        <v>2</v>
      </c>
      <c r="G451">
        <v>27</v>
      </c>
      <c r="H451">
        <v>37</v>
      </c>
      <c r="I451">
        <v>1.5</v>
      </c>
      <c r="J451" s="15">
        <v>42493.950567129628</v>
      </c>
      <c r="K451" s="15">
        <v>42493.956516203703</v>
      </c>
      <c r="O451" s="17">
        <f t="shared" si="49"/>
        <v>8.5666666680481285</v>
      </c>
      <c r="P451">
        <f>COUNTIF(A2:A451,A451)</f>
        <v>1</v>
      </c>
      <c r="Q451" s="39">
        <f t="shared" si="50"/>
        <v>42493</v>
      </c>
    </row>
    <row r="452" spans="1:17" x14ac:dyDescent="0.3">
      <c r="A452" t="str">
        <f t="shared" si="48"/>
        <v>SectionD_Exam2001393110131</v>
      </c>
      <c r="B452" t="s">
        <v>871</v>
      </c>
      <c r="C452" t="s">
        <v>780</v>
      </c>
      <c r="D452">
        <v>2001</v>
      </c>
      <c r="E452">
        <v>39</v>
      </c>
      <c r="F452">
        <v>3</v>
      </c>
      <c r="G452">
        <v>110</v>
      </c>
      <c r="H452">
        <v>131</v>
      </c>
      <c r="I452">
        <v>1.5</v>
      </c>
      <c r="J452" s="15">
        <v>42493.956516203703</v>
      </c>
      <c r="K452" s="15">
        <v>42493.958541666667</v>
      </c>
      <c r="O452" s="17">
        <f t="shared" si="49"/>
        <v>2.9166666674427688</v>
      </c>
      <c r="P452">
        <f>COUNTIF(A2:A452,A452)</f>
        <v>1</v>
      </c>
      <c r="Q452" s="39">
        <f t="shared" si="50"/>
        <v>42493</v>
      </c>
    </row>
    <row r="453" spans="1:17" x14ac:dyDescent="0.3">
      <c r="A453" t="str">
        <f t="shared" si="48"/>
        <v>SectionD_SampleQTIA322331</v>
      </c>
      <c r="B453" t="s">
        <v>868</v>
      </c>
      <c r="C453" t="s">
        <v>780</v>
      </c>
      <c r="D453" t="s">
        <v>196</v>
      </c>
      <c r="E453">
        <v>3</v>
      </c>
      <c r="F453">
        <v>2</v>
      </c>
      <c r="G453">
        <v>23</v>
      </c>
      <c r="H453">
        <v>31</v>
      </c>
      <c r="I453">
        <v>2</v>
      </c>
      <c r="J453" s="15">
        <v>42493.958865740744</v>
      </c>
      <c r="K453" s="15">
        <v>42493.962870370371</v>
      </c>
      <c r="O453" s="17">
        <f t="shared" si="49"/>
        <v>5.7666666631121188</v>
      </c>
      <c r="P453">
        <f>COUNTIF(A2:A453,A453)</f>
        <v>1</v>
      </c>
      <c r="Q453" s="39">
        <f t="shared" si="50"/>
        <v>42493</v>
      </c>
    </row>
    <row r="454" spans="1:17" x14ac:dyDescent="0.3">
      <c r="A454" t="str">
        <f t="shared" si="48"/>
        <v>SectionD_Exam2000121109130</v>
      </c>
      <c r="B454" t="s">
        <v>871</v>
      </c>
      <c r="C454" t="s">
        <v>780</v>
      </c>
      <c r="D454">
        <v>2000</v>
      </c>
      <c r="E454">
        <v>12</v>
      </c>
      <c r="F454">
        <v>1</v>
      </c>
      <c r="G454">
        <v>109</v>
      </c>
      <c r="H454">
        <v>130</v>
      </c>
      <c r="I454">
        <v>1</v>
      </c>
      <c r="J454" s="15">
        <v>42493.962870370371</v>
      </c>
      <c r="K454" s="15">
        <v>42493.96334490741</v>
      </c>
      <c r="O454" s="17">
        <f t="shared" si="49"/>
        <v>0.68333333590999246</v>
      </c>
      <c r="P454">
        <f>COUNTIF(A2:A454,A454)</f>
        <v>1</v>
      </c>
      <c r="Q454" s="39">
        <f t="shared" si="50"/>
        <v>42493</v>
      </c>
    </row>
    <row r="455" spans="1:17" x14ac:dyDescent="0.3">
      <c r="A455" t="str">
        <f t="shared" si="48"/>
        <v>SectionD_Exam2004131114138</v>
      </c>
      <c r="B455" t="s">
        <v>871</v>
      </c>
      <c r="C455" t="s">
        <v>780</v>
      </c>
      <c r="D455">
        <v>2004</v>
      </c>
      <c r="E455">
        <v>13</v>
      </c>
      <c r="F455">
        <v>1</v>
      </c>
      <c r="G455">
        <v>114</v>
      </c>
      <c r="H455">
        <v>138</v>
      </c>
      <c r="I455">
        <v>1</v>
      </c>
      <c r="J455" s="15">
        <v>42493.96334490741</v>
      </c>
      <c r="K455" s="15">
        <v>42493.96466435185</v>
      </c>
      <c r="O455" s="17">
        <f t="shared" si="49"/>
        <v>1.8999999936204404</v>
      </c>
      <c r="P455">
        <f>COUNTIF(A2:A455,A455)</f>
        <v>1</v>
      </c>
      <c r="Q455" s="39">
        <f t="shared" si="50"/>
        <v>42493</v>
      </c>
    </row>
    <row r="456" spans="1:17" x14ac:dyDescent="0.3">
      <c r="A456" t="str">
        <f t="shared" si="48"/>
        <v>SectionD_SampleQTIA222331</v>
      </c>
      <c r="B456" t="s">
        <v>868</v>
      </c>
      <c r="C456" t="s">
        <v>780</v>
      </c>
      <c r="D456" t="s">
        <v>196</v>
      </c>
      <c r="E456">
        <v>2</v>
      </c>
      <c r="F456">
        <v>2</v>
      </c>
      <c r="G456">
        <v>23</v>
      </c>
      <c r="H456">
        <v>31</v>
      </c>
      <c r="I456">
        <v>2</v>
      </c>
      <c r="J456" s="15">
        <v>42493.96466435185</v>
      </c>
      <c r="K456" s="15">
        <v>42493.964884259258</v>
      </c>
      <c r="O456" s="17">
        <f t="shared" si="49"/>
        <v>0.31666666734963655</v>
      </c>
      <c r="P456">
        <f>COUNTIF(A2:A456,A456)</f>
        <v>1</v>
      </c>
      <c r="Q456" s="39">
        <f t="shared" si="50"/>
        <v>42493</v>
      </c>
    </row>
  </sheetData>
  <autoFilter ref="A1:Q409">
    <filterColumn colId="1">
      <filters>
        <filter val="SectionD_Exam"/>
        <filter val="SectionD_SampleQ"/>
      </filters>
    </filterColumn>
    <sortState ref="A44:Q311">
      <sortCondition ref="D1:D399"/>
    </sortState>
  </autoFilter>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Q625"/>
  <sheetViews>
    <sheetView workbookViewId="0">
      <selection activeCell="A2" sqref="A2"/>
    </sheetView>
  </sheetViews>
  <sheetFormatPr defaultRowHeight="14.4" x14ac:dyDescent="0.3"/>
  <cols>
    <col min="10" max="11" width="14.88671875" bestFit="1" customWidth="1"/>
    <col min="17" max="17" width="9.6640625" bestFit="1" customWidth="1"/>
  </cols>
  <sheetData>
    <row r="1" spans="1:17" x14ac:dyDescent="0.3">
      <c r="A1" s="12" t="s">
        <v>2</v>
      </c>
      <c r="B1" s="12" t="s">
        <v>0</v>
      </c>
      <c r="C1" s="12" t="s">
        <v>1</v>
      </c>
      <c r="D1" s="12" t="s">
        <v>3</v>
      </c>
      <c r="E1" s="12" t="s">
        <v>4</v>
      </c>
      <c r="F1" s="12" t="s">
        <v>5</v>
      </c>
      <c r="G1" s="12" t="s">
        <v>6</v>
      </c>
      <c r="H1" s="12" t="s">
        <v>7</v>
      </c>
      <c r="I1" s="12" t="s">
        <v>8</v>
      </c>
      <c r="J1" s="12" t="s">
        <v>9</v>
      </c>
      <c r="K1" s="12" t="s">
        <v>26</v>
      </c>
      <c r="L1" s="12" t="s">
        <v>14</v>
      </c>
      <c r="M1" s="12" t="s">
        <v>11</v>
      </c>
      <c r="N1" s="12" t="s">
        <v>12</v>
      </c>
      <c r="O1" s="16" t="s">
        <v>10</v>
      </c>
      <c r="P1" s="12" t="s">
        <v>13</v>
      </c>
      <c r="Q1" s="12" t="s">
        <v>58</v>
      </c>
    </row>
    <row r="2" spans="1:17" x14ac:dyDescent="0.3">
      <c r="A2" t="s">
        <v>199</v>
      </c>
      <c r="B2" t="s">
        <v>180</v>
      </c>
      <c r="C2" t="s">
        <v>133</v>
      </c>
      <c r="D2" t="s">
        <v>136</v>
      </c>
      <c r="E2">
        <v>17</v>
      </c>
      <c r="F2">
        <v>1</v>
      </c>
      <c r="G2">
        <v>6</v>
      </c>
      <c r="H2">
        <v>26</v>
      </c>
      <c r="I2">
        <v>0.25</v>
      </c>
      <c r="J2" s="15">
        <v>41463.657581018517</v>
      </c>
      <c r="K2" s="15">
        <v>41463.658958333333</v>
      </c>
      <c r="O2" s="17">
        <v>1.9833333359565586</v>
      </c>
      <c r="P2">
        <v>1</v>
      </c>
      <c r="Q2" s="39">
        <v>41463</v>
      </c>
    </row>
    <row r="3" spans="1:17" x14ac:dyDescent="0.3">
      <c r="A3" t="s">
        <v>200</v>
      </c>
      <c r="B3" t="s">
        <v>180</v>
      </c>
      <c r="C3" t="s">
        <v>133</v>
      </c>
      <c r="D3" t="s">
        <v>136</v>
      </c>
      <c r="E3">
        <v>3</v>
      </c>
      <c r="F3">
        <v>5</v>
      </c>
      <c r="G3">
        <v>4</v>
      </c>
      <c r="H3">
        <v>18</v>
      </c>
      <c r="I3">
        <v>1.5</v>
      </c>
      <c r="J3" s="15">
        <v>41463.658958333333</v>
      </c>
      <c r="K3" s="15">
        <v>41463.664189814815</v>
      </c>
      <c r="O3" s="17">
        <v>7.5333333341404796</v>
      </c>
      <c r="P3">
        <v>1</v>
      </c>
      <c r="Q3" s="39">
        <v>41463</v>
      </c>
    </row>
    <row r="4" spans="1:17" x14ac:dyDescent="0.3">
      <c r="A4" t="s">
        <v>201</v>
      </c>
      <c r="B4" t="s">
        <v>180</v>
      </c>
      <c r="C4" t="s">
        <v>133</v>
      </c>
      <c r="D4" t="s">
        <v>136</v>
      </c>
      <c r="E4">
        <v>8</v>
      </c>
      <c r="F4">
        <v>2</v>
      </c>
      <c r="G4">
        <v>5</v>
      </c>
      <c r="H4">
        <v>24</v>
      </c>
      <c r="I4">
        <v>1.25</v>
      </c>
      <c r="J4" s="15">
        <v>41463.71603009259</v>
      </c>
      <c r="K4" s="15">
        <v>41463.719756944447</v>
      </c>
      <c r="O4" s="17">
        <v>5.366666674381122</v>
      </c>
      <c r="P4">
        <v>1</v>
      </c>
      <c r="Q4" s="39">
        <v>41463</v>
      </c>
    </row>
    <row r="5" spans="1:17" x14ac:dyDescent="0.3">
      <c r="A5" t="s">
        <v>202</v>
      </c>
      <c r="B5" t="s">
        <v>180</v>
      </c>
      <c r="C5" t="s">
        <v>133</v>
      </c>
      <c r="D5" t="s">
        <v>136</v>
      </c>
      <c r="E5">
        <v>18</v>
      </c>
      <c r="F5">
        <v>1</v>
      </c>
      <c r="G5">
        <v>6</v>
      </c>
      <c r="H5">
        <v>27</v>
      </c>
      <c r="I5">
        <v>0.25</v>
      </c>
      <c r="J5" s="15">
        <v>41465.690613425926</v>
      </c>
      <c r="K5" s="15">
        <v>41465.694571759261</v>
      </c>
      <c r="O5" s="17">
        <v>5.700000001816079</v>
      </c>
      <c r="P5">
        <v>1</v>
      </c>
      <c r="Q5" s="39">
        <v>41465</v>
      </c>
    </row>
    <row r="6" spans="1:17" x14ac:dyDescent="0.3">
      <c r="A6" t="s">
        <v>203</v>
      </c>
      <c r="B6" t="s">
        <v>180</v>
      </c>
      <c r="C6" t="s">
        <v>133</v>
      </c>
      <c r="D6" t="s">
        <v>153</v>
      </c>
      <c r="E6">
        <v>1</v>
      </c>
      <c r="F6">
        <v>1.5</v>
      </c>
      <c r="G6">
        <v>15</v>
      </c>
      <c r="H6">
        <v>43</v>
      </c>
      <c r="I6">
        <v>0.75</v>
      </c>
      <c r="J6" s="15">
        <v>41465.694571759261</v>
      </c>
      <c r="K6" s="15">
        <v>41465.697083333333</v>
      </c>
      <c r="O6" s="17">
        <v>3.6166666634380817</v>
      </c>
      <c r="P6">
        <v>1</v>
      </c>
      <c r="Q6" s="39">
        <v>41465</v>
      </c>
    </row>
    <row r="7" spans="1:17" x14ac:dyDescent="0.3">
      <c r="A7" t="s">
        <v>204</v>
      </c>
      <c r="B7" t="s">
        <v>181</v>
      </c>
      <c r="C7" t="s">
        <v>91</v>
      </c>
      <c r="D7" t="s">
        <v>136</v>
      </c>
      <c r="E7">
        <v>26</v>
      </c>
      <c r="F7">
        <v>2</v>
      </c>
      <c r="G7">
        <v>42</v>
      </c>
      <c r="H7">
        <v>71</v>
      </c>
      <c r="I7">
        <v>2</v>
      </c>
      <c r="J7" s="15">
        <v>41465.698773148149</v>
      </c>
      <c r="K7" s="15">
        <v>41465.700115740743</v>
      </c>
      <c r="N7" t="s">
        <v>205</v>
      </c>
      <c r="O7" s="17">
        <v>1.9333333347458392</v>
      </c>
      <c r="P7">
        <v>1</v>
      </c>
      <c r="Q7" s="39">
        <v>41465</v>
      </c>
    </row>
    <row r="8" spans="1:17" x14ac:dyDescent="0.3">
      <c r="A8" t="s">
        <v>206</v>
      </c>
      <c r="B8" t="s">
        <v>180</v>
      </c>
      <c r="C8" t="s">
        <v>133</v>
      </c>
      <c r="D8" t="s">
        <v>136</v>
      </c>
      <c r="E8">
        <v>21</v>
      </c>
      <c r="F8">
        <v>1</v>
      </c>
      <c r="G8">
        <v>6</v>
      </c>
      <c r="H8">
        <v>28</v>
      </c>
      <c r="I8">
        <v>0.5</v>
      </c>
      <c r="J8" s="15">
        <v>41465.700115740743</v>
      </c>
      <c r="K8" s="15">
        <v>41465.701585648145</v>
      </c>
      <c r="O8" s="17">
        <v>2.1166666585486382</v>
      </c>
      <c r="P8">
        <v>1</v>
      </c>
      <c r="Q8" s="39">
        <v>41465</v>
      </c>
    </row>
    <row r="9" spans="1:17" x14ac:dyDescent="0.3">
      <c r="A9" t="s">
        <v>207</v>
      </c>
      <c r="B9" t="s">
        <v>181</v>
      </c>
      <c r="C9" t="s">
        <v>91</v>
      </c>
      <c r="D9" t="s">
        <v>136</v>
      </c>
      <c r="E9">
        <v>20</v>
      </c>
      <c r="F9">
        <v>1</v>
      </c>
      <c r="G9">
        <v>40</v>
      </c>
      <c r="H9">
        <v>65</v>
      </c>
      <c r="I9">
        <v>0</v>
      </c>
      <c r="J9" s="15">
        <v>41465.708067129628</v>
      </c>
      <c r="K9" s="15">
        <v>41465.709791666668</v>
      </c>
      <c r="O9" s="17">
        <v>2.4833333375863731</v>
      </c>
      <c r="P9">
        <v>1</v>
      </c>
      <c r="Q9" s="39">
        <v>41465</v>
      </c>
    </row>
    <row r="10" spans="1:17" x14ac:dyDescent="0.3">
      <c r="A10" t="s">
        <v>208</v>
      </c>
      <c r="B10" t="s">
        <v>181</v>
      </c>
      <c r="C10" t="s">
        <v>91</v>
      </c>
      <c r="D10" t="s">
        <v>136</v>
      </c>
      <c r="E10">
        <v>7</v>
      </c>
      <c r="F10">
        <v>3</v>
      </c>
      <c r="G10">
        <v>37</v>
      </c>
      <c r="H10">
        <v>57</v>
      </c>
      <c r="I10">
        <v>1</v>
      </c>
      <c r="J10" s="15">
        <v>41465.709791666668</v>
      </c>
      <c r="K10" s="15">
        <v>41465.725983796299</v>
      </c>
      <c r="O10" s="17">
        <v>23.316666668979451</v>
      </c>
      <c r="P10">
        <v>1</v>
      </c>
      <c r="Q10" s="39">
        <v>41465</v>
      </c>
    </row>
    <row r="11" spans="1:17" x14ac:dyDescent="0.3">
      <c r="A11" t="s">
        <v>209</v>
      </c>
      <c r="B11" t="s">
        <v>181</v>
      </c>
      <c r="C11" t="s">
        <v>91</v>
      </c>
      <c r="D11" t="s">
        <v>136</v>
      </c>
      <c r="E11">
        <v>14</v>
      </c>
      <c r="F11">
        <v>3</v>
      </c>
      <c r="G11">
        <v>39</v>
      </c>
      <c r="H11">
        <v>62</v>
      </c>
      <c r="I11">
        <v>0</v>
      </c>
      <c r="J11" s="15">
        <v>41465.725983796299</v>
      </c>
      <c r="K11" s="15">
        <v>41465.72929398148</v>
      </c>
      <c r="O11" s="17">
        <v>4.7666666598524898</v>
      </c>
      <c r="P11">
        <v>1</v>
      </c>
      <c r="Q11" s="39">
        <v>41465</v>
      </c>
    </row>
    <row r="12" spans="1:17" x14ac:dyDescent="0.3">
      <c r="A12" t="s">
        <v>210</v>
      </c>
      <c r="B12" t="s">
        <v>181</v>
      </c>
      <c r="C12" t="s">
        <v>91</v>
      </c>
      <c r="D12" t="s">
        <v>136</v>
      </c>
      <c r="E12">
        <v>4</v>
      </c>
      <c r="F12">
        <v>1</v>
      </c>
      <c r="G12">
        <v>36</v>
      </c>
      <c r="H12">
        <v>55</v>
      </c>
      <c r="I12">
        <v>0.25</v>
      </c>
      <c r="J12" s="15">
        <v>41465.72929398148</v>
      </c>
      <c r="K12" s="15">
        <v>41465.730439814812</v>
      </c>
      <c r="O12" s="17">
        <v>1.6499999980442226</v>
      </c>
      <c r="P12">
        <v>1</v>
      </c>
      <c r="Q12" s="39">
        <v>41465</v>
      </c>
    </row>
    <row r="13" spans="1:17" x14ac:dyDescent="0.3">
      <c r="A13" t="s">
        <v>211</v>
      </c>
      <c r="B13" t="s">
        <v>181</v>
      </c>
      <c r="C13" t="s">
        <v>91</v>
      </c>
      <c r="D13" t="s">
        <v>136</v>
      </c>
      <c r="E13">
        <v>13</v>
      </c>
      <c r="F13">
        <v>2</v>
      </c>
      <c r="G13">
        <v>38</v>
      </c>
      <c r="H13">
        <v>62</v>
      </c>
      <c r="I13">
        <v>0</v>
      </c>
      <c r="J13" s="15">
        <v>41465.730439814812</v>
      </c>
      <c r="K13" s="15">
        <v>41465.730624999997</v>
      </c>
      <c r="O13" s="17">
        <v>0.26666666613891721</v>
      </c>
      <c r="P13">
        <v>1</v>
      </c>
      <c r="Q13" s="39">
        <v>41465</v>
      </c>
    </row>
    <row r="14" spans="1:17" x14ac:dyDescent="0.3">
      <c r="A14" t="s">
        <v>212</v>
      </c>
      <c r="B14" t="s">
        <v>162</v>
      </c>
      <c r="C14" t="s">
        <v>82</v>
      </c>
      <c r="D14" t="s">
        <v>146</v>
      </c>
      <c r="E14">
        <v>34</v>
      </c>
      <c r="F14">
        <v>2.5</v>
      </c>
      <c r="G14">
        <v>113</v>
      </c>
      <c r="H14">
        <v>150</v>
      </c>
      <c r="I14">
        <v>1</v>
      </c>
      <c r="J14" s="15">
        <v>41467.33997685185</v>
      </c>
      <c r="K14" s="15">
        <v>41467.384375000001</v>
      </c>
      <c r="O14" s="17">
        <v>63.933333337772638</v>
      </c>
      <c r="P14">
        <v>1</v>
      </c>
      <c r="Q14" s="39">
        <v>41467</v>
      </c>
    </row>
    <row r="15" spans="1:17" x14ac:dyDescent="0.3">
      <c r="A15" t="s">
        <v>213</v>
      </c>
      <c r="B15" t="s">
        <v>162</v>
      </c>
      <c r="C15" t="s">
        <v>82</v>
      </c>
      <c r="D15" t="s">
        <v>136</v>
      </c>
      <c r="E15">
        <v>34</v>
      </c>
      <c r="F15">
        <v>7</v>
      </c>
      <c r="G15">
        <v>106</v>
      </c>
      <c r="H15">
        <v>140</v>
      </c>
      <c r="I15">
        <v>2</v>
      </c>
      <c r="J15" s="15">
        <v>41467.384375000001</v>
      </c>
      <c r="K15" s="15">
        <v>41467.397592592592</v>
      </c>
      <c r="N15" t="s">
        <v>214</v>
      </c>
      <c r="O15" s="17">
        <v>19.033333329716697</v>
      </c>
      <c r="P15">
        <v>1</v>
      </c>
      <c r="Q15" s="39">
        <v>41467</v>
      </c>
    </row>
    <row r="16" spans="1:17" x14ac:dyDescent="0.3">
      <c r="A16" t="s">
        <v>215</v>
      </c>
      <c r="B16" t="s">
        <v>183</v>
      </c>
      <c r="C16" t="s">
        <v>83</v>
      </c>
      <c r="D16" t="s">
        <v>153</v>
      </c>
      <c r="E16">
        <v>5</v>
      </c>
      <c r="F16">
        <v>2</v>
      </c>
      <c r="G16">
        <v>52</v>
      </c>
      <c r="H16">
        <v>71</v>
      </c>
      <c r="I16">
        <v>1</v>
      </c>
      <c r="J16" s="15">
        <v>41467.47587962963</v>
      </c>
      <c r="K16" s="15">
        <v>41467.486180555556</v>
      </c>
      <c r="O16" s="17">
        <v>14.833333332790062</v>
      </c>
      <c r="P16">
        <v>1</v>
      </c>
      <c r="Q16" s="39">
        <v>41467</v>
      </c>
    </row>
    <row r="17" spans="1:17" x14ac:dyDescent="0.3">
      <c r="A17" t="s">
        <v>216</v>
      </c>
      <c r="B17" t="s">
        <v>183</v>
      </c>
      <c r="C17" t="s">
        <v>83</v>
      </c>
      <c r="D17" t="s">
        <v>136</v>
      </c>
      <c r="E17">
        <v>4</v>
      </c>
      <c r="F17">
        <v>1</v>
      </c>
      <c r="G17">
        <v>40</v>
      </c>
      <c r="H17">
        <v>55</v>
      </c>
      <c r="I17">
        <v>0</v>
      </c>
      <c r="J17" s="15">
        <v>41467.760891203703</v>
      </c>
      <c r="K17" s="15">
        <v>41467.7653125</v>
      </c>
      <c r="O17" s="17">
        <v>6.366666667163372</v>
      </c>
      <c r="P17">
        <v>1</v>
      </c>
      <c r="Q17" s="39">
        <v>41467</v>
      </c>
    </row>
    <row r="18" spans="1:17" x14ac:dyDescent="0.3">
      <c r="A18" t="s">
        <v>217</v>
      </c>
      <c r="B18" t="s">
        <v>183</v>
      </c>
      <c r="C18" t="s">
        <v>83</v>
      </c>
      <c r="D18" t="s">
        <v>136</v>
      </c>
      <c r="E18">
        <v>6</v>
      </c>
      <c r="F18">
        <v>1</v>
      </c>
      <c r="G18">
        <v>41</v>
      </c>
      <c r="H18">
        <v>56</v>
      </c>
      <c r="I18">
        <v>0.5</v>
      </c>
      <c r="J18" s="15">
        <v>41467.766817129632</v>
      </c>
      <c r="K18" s="15">
        <v>41467.768136574072</v>
      </c>
      <c r="O18" s="17">
        <v>1.8999999936204404</v>
      </c>
      <c r="P18">
        <v>1</v>
      </c>
      <c r="Q18" s="39">
        <v>41467</v>
      </c>
    </row>
    <row r="19" spans="1:17" x14ac:dyDescent="0.3">
      <c r="A19" t="s">
        <v>218</v>
      </c>
      <c r="B19" t="s">
        <v>181</v>
      </c>
      <c r="C19" t="s">
        <v>91</v>
      </c>
      <c r="D19" t="s">
        <v>136</v>
      </c>
      <c r="E19">
        <v>10</v>
      </c>
      <c r="F19">
        <v>1</v>
      </c>
      <c r="G19">
        <v>37</v>
      </c>
      <c r="H19">
        <v>58</v>
      </c>
      <c r="I19">
        <v>0.25</v>
      </c>
      <c r="J19" s="15">
        <v>41470.349965277775</v>
      </c>
      <c r="K19" s="15">
        <v>41470.35460648148</v>
      </c>
      <c r="O19" s="17">
        <v>6.6833333345130086</v>
      </c>
      <c r="P19">
        <v>1</v>
      </c>
      <c r="Q19" s="39">
        <v>41470</v>
      </c>
    </row>
    <row r="20" spans="1:17" x14ac:dyDescent="0.3">
      <c r="A20" t="s">
        <v>219</v>
      </c>
      <c r="B20" t="s">
        <v>181</v>
      </c>
      <c r="C20" t="s">
        <v>91</v>
      </c>
      <c r="D20" t="s">
        <v>136</v>
      </c>
      <c r="E20">
        <v>30</v>
      </c>
      <c r="F20">
        <v>6</v>
      </c>
      <c r="G20">
        <v>43</v>
      </c>
      <c r="H20">
        <v>76</v>
      </c>
      <c r="I20">
        <v>2</v>
      </c>
      <c r="J20" s="15">
        <v>41471.75953703704</v>
      </c>
      <c r="K20" s="15">
        <v>41471.760810185187</v>
      </c>
      <c r="O20" s="17">
        <v>1.8333333323244005</v>
      </c>
      <c r="P20">
        <v>1</v>
      </c>
      <c r="Q20" s="39">
        <v>41471</v>
      </c>
    </row>
    <row r="21" spans="1:17" x14ac:dyDescent="0.3">
      <c r="A21" t="s">
        <v>220</v>
      </c>
      <c r="B21" t="s">
        <v>159</v>
      </c>
      <c r="C21" t="s">
        <v>85</v>
      </c>
      <c r="D21" t="s">
        <v>136</v>
      </c>
      <c r="E21">
        <v>7</v>
      </c>
      <c r="F21">
        <v>1</v>
      </c>
      <c r="G21">
        <v>32</v>
      </c>
      <c r="H21">
        <v>50</v>
      </c>
      <c r="I21">
        <v>0.25</v>
      </c>
      <c r="J21" s="15">
        <v>41471.760810185187</v>
      </c>
      <c r="K21" s="15">
        <v>41471.76222222222</v>
      </c>
      <c r="O21" s="17">
        <v>2.033333326689899</v>
      </c>
      <c r="P21">
        <v>1</v>
      </c>
      <c r="Q21" s="39">
        <v>41471</v>
      </c>
    </row>
    <row r="22" spans="1:17" x14ac:dyDescent="0.3">
      <c r="A22" t="s">
        <v>221</v>
      </c>
      <c r="B22" t="s">
        <v>159</v>
      </c>
      <c r="C22" t="s">
        <v>85</v>
      </c>
      <c r="D22" t="s">
        <v>136</v>
      </c>
      <c r="E22">
        <v>5</v>
      </c>
      <c r="F22">
        <v>2</v>
      </c>
      <c r="G22">
        <v>31</v>
      </c>
      <c r="H22">
        <v>48</v>
      </c>
      <c r="I22">
        <v>0</v>
      </c>
      <c r="J22" s="15">
        <v>41471.76222222222</v>
      </c>
      <c r="K22" s="15">
        <v>41471.766412037039</v>
      </c>
      <c r="O22" s="17">
        <v>6.033333339728415</v>
      </c>
      <c r="P22">
        <v>1</v>
      </c>
      <c r="Q22" s="39">
        <v>41471</v>
      </c>
    </row>
    <row r="23" spans="1:17" x14ac:dyDescent="0.3">
      <c r="A23" t="s">
        <v>222</v>
      </c>
      <c r="B23" t="s">
        <v>182</v>
      </c>
      <c r="C23" t="s">
        <v>134</v>
      </c>
      <c r="D23" t="s">
        <v>136</v>
      </c>
      <c r="E23">
        <v>7</v>
      </c>
      <c r="F23">
        <v>12</v>
      </c>
      <c r="G23">
        <v>38</v>
      </c>
      <c r="H23">
        <v>44</v>
      </c>
      <c r="I23">
        <v>0</v>
      </c>
      <c r="J23" s="15">
        <v>41471.766412037039</v>
      </c>
      <c r="K23" s="15">
        <v>41471.768425925926</v>
      </c>
      <c r="O23" s="17">
        <v>2.8999999968800694</v>
      </c>
      <c r="P23">
        <v>1</v>
      </c>
      <c r="Q23" s="39">
        <v>41471</v>
      </c>
    </row>
    <row r="24" spans="1:17" x14ac:dyDescent="0.3">
      <c r="A24" t="s">
        <v>223</v>
      </c>
      <c r="B24" t="s">
        <v>162</v>
      </c>
      <c r="C24" t="s">
        <v>82</v>
      </c>
      <c r="D24" t="s">
        <v>136</v>
      </c>
      <c r="E24">
        <v>31</v>
      </c>
      <c r="F24">
        <v>2</v>
      </c>
      <c r="G24">
        <v>105</v>
      </c>
      <c r="H24">
        <v>137</v>
      </c>
      <c r="I24">
        <v>1</v>
      </c>
      <c r="J24" s="15">
        <v>41472.359490740739</v>
      </c>
      <c r="K24" s="15">
        <v>41472.362476851849</v>
      </c>
      <c r="O24" s="17">
        <v>4.2999999993480742</v>
      </c>
      <c r="P24">
        <v>1</v>
      </c>
      <c r="Q24" s="39">
        <v>41472</v>
      </c>
    </row>
    <row r="25" spans="1:17" x14ac:dyDescent="0.3">
      <c r="A25" t="s">
        <v>224</v>
      </c>
      <c r="B25" t="s">
        <v>162</v>
      </c>
      <c r="C25" t="s">
        <v>82</v>
      </c>
      <c r="D25" t="s">
        <v>136</v>
      </c>
      <c r="E25">
        <v>46</v>
      </c>
      <c r="F25">
        <v>1</v>
      </c>
      <c r="G25">
        <v>109</v>
      </c>
      <c r="H25">
        <v>145</v>
      </c>
      <c r="I25">
        <v>0.25</v>
      </c>
      <c r="J25" s="15">
        <v>41472.362592592595</v>
      </c>
      <c r="K25" s="15">
        <v>41472.366111111114</v>
      </c>
      <c r="O25" s="17">
        <v>5.0666666671168059</v>
      </c>
      <c r="P25">
        <v>1</v>
      </c>
      <c r="Q25" s="39">
        <v>41472</v>
      </c>
    </row>
    <row r="26" spans="1:17" x14ac:dyDescent="0.3">
      <c r="A26" t="s">
        <v>225</v>
      </c>
      <c r="B26" t="s">
        <v>183</v>
      </c>
      <c r="C26" t="s">
        <v>83</v>
      </c>
      <c r="D26" t="s">
        <v>136</v>
      </c>
      <c r="E26">
        <v>13</v>
      </c>
      <c r="F26">
        <v>3</v>
      </c>
      <c r="G26">
        <v>42</v>
      </c>
      <c r="H26">
        <v>58</v>
      </c>
      <c r="I26">
        <v>1.5</v>
      </c>
      <c r="J26" s="15">
        <v>41472.366261574076</v>
      </c>
      <c r="K26" s="15">
        <v>41472.379432870373</v>
      </c>
      <c r="O26" s="17">
        <v>18.966666668420658</v>
      </c>
      <c r="P26">
        <v>1</v>
      </c>
      <c r="Q26" s="39">
        <v>41472</v>
      </c>
    </row>
    <row r="27" spans="1:17" x14ac:dyDescent="0.3">
      <c r="A27" t="s">
        <v>226</v>
      </c>
      <c r="B27" t="s">
        <v>183</v>
      </c>
      <c r="C27" t="s">
        <v>83</v>
      </c>
      <c r="D27" t="s">
        <v>155</v>
      </c>
      <c r="E27">
        <v>11</v>
      </c>
      <c r="F27">
        <v>1</v>
      </c>
      <c r="G27">
        <v>44</v>
      </c>
      <c r="H27">
        <v>60</v>
      </c>
      <c r="I27">
        <v>0.25</v>
      </c>
      <c r="J27" s="15">
        <v>41472.743680555555</v>
      </c>
      <c r="K27" s="15">
        <v>41472.749606481484</v>
      </c>
      <c r="O27" s="17">
        <v>8.5333333374001086</v>
      </c>
      <c r="P27">
        <v>1</v>
      </c>
      <c r="Q27" s="39">
        <v>41472</v>
      </c>
    </row>
    <row r="28" spans="1:17" x14ac:dyDescent="0.3">
      <c r="A28" t="s">
        <v>227</v>
      </c>
      <c r="B28" t="s">
        <v>181</v>
      </c>
      <c r="C28" t="s">
        <v>91</v>
      </c>
      <c r="D28" t="s">
        <v>136</v>
      </c>
      <c r="E28">
        <v>1</v>
      </c>
      <c r="F28">
        <v>1</v>
      </c>
      <c r="G28">
        <v>35</v>
      </c>
      <c r="H28">
        <v>55</v>
      </c>
      <c r="I28">
        <v>1</v>
      </c>
      <c r="J28" s="15">
        <v>41472.757326388892</v>
      </c>
      <c r="K28" s="15">
        <v>41472.7578587963</v>
      </c>
      <c r="O28" s="17">
        <v>0.76666666776873171</v>
      </c>
      <c r="P28">
        <v>1</v>
      </c>
      <c r="Q28" s="39">
        <v>41472</v>
      </c>
    </row>
    <row r="29" spans="1:17" x14ac:dyDescent="0.3">
      <c r="A29" t="s">
        <v>228</v>
      </c>
      <c r="B29" t="s">
        <v>181</v>
      </c>
      <c r="C29" t="s">
        <v>91</v>
      </c>
      <c r="D29" t="s">
        <v>146</v>
      </c>
      <c r="E29">
        <v>3</v>
      </c>
      <c r="F29">
        <v>1</v>
      </c>
      <c r="G29">
        <v>52</v>
      </c>
      <c r="H29">
        <v>88</v>
      </c>
      <c r="I29">
        <v>1</v>
      </c>
      <c r="J29" s="15">
        <v>41472.762777777774</v>
      </c>
      <c r="K29" s="15">
        <v>41472.762824074074</v>
      </c>
      <c r="O29" s="17">
        <v>6.6666671773418784E-2</v>
      </c>
      <c r="P29">
        <v>1</v>
      </c>
      <c r="Q29" s="39">
        <v>41472</v>
      </c>
    </row>
    <row r="30" spans="1:17" x14ac:dyDescent="0.3">
      <c r="A30" t="s">
        <v>229</v>
      </c>
      <c r="B30" t="s">
        <v>182</v>
      </c>
      <c r="C30" t="s">
        <v>134</v>
      </c>
      <c r="D30" t="s">
        <v>136</v>
      </c>
      <c r="E30">
        <v>4</v>
      </c>
      <c r="F30">
        <v>3</v>
      </c>
      <c r="G30">
        <v>36</v>
      </c>
      <c r="H30">
        <v>43</v>
      </c>
      <c r="I30">
        <v>0.5</v>
      </c>
      <c r="J30" s="15">
        <v>41472.782233796293</v>
      </c>
      <c r="K30" s="15">
        <v>41472.783946759257</v>
      </c>
      <c r="O30" s="17">
        <v>2.4666666670236737</v>
      </c>
      <c r="P30">
        <v>1</v>
      </c>
      <c r="Q30" s="39">
        <v>41472</v>
      </c>
    </row>
    <row r="31" spans="1:17" x14ac:dyDescent="0.3">
      <c r="A31" t="s">
        <v>230</v>
      </c>
      <c r="B31" t="s">
        <v>182</v>
      </c>
      <c r="C31" t="s">
        <v>134</v>
      </c>
      <c r="D31" t="s">
        <v>136</v>
      </c>
      <c r="E31">
        <v>5</v>
      </c>
      <c r="F31">
        <v>0.5</v>
      </c>
      <c r="G31">
        <v>37</v>
      </c>
      <c r="H31">
        <v>43</v>
      </c>
      <c r="I31">
        <v>0</v>
      </c>
      <c r="J31" s="15">
        <v>41473.362476851849</v>
      </c>
      <c r="K31" s="15">
        <v>41473.362997685188</v>
      </c>
      <c r="O31" s="17">
        <v>0.75000000768341124</v>
      </c>
      <c r="P31">
        <v>1</v>
      </c>
      <c r="Q31" s="39">
        <v>41473</v>
      </c>
    </row>
    <row r="32" spans="1:17" x14ac:dyDescent="0.3">
      <c r="A32" t="s">
        <v>231</v>
      </c>
      <c r="B32" t="s">
        <v>159</v>
      </c>
      <c r="C32" t="s">
        <v>85</v>
      </c>
      <c r="D32" t="s">
        <v>136</v>
      </c>
      <c r="E32">
        <v>6</v>
      </c>
      <c r="F32">
        <v>4</v>
      </c>
      <c r="G32">
        <v>32</v>
      </c>
      <c r="H32">
        <v>49</v>
      </c>
      <c r="I32">
        <v>1</v>
      </c>
      <c r="J32" s="15">
        <v>41473.369444444441</v>
      </c>
      <c r="K32" s="15">
        <v>41473.382407407407</v>
      </c>
      <c r="O32" s="17">
        <v>18.66666667163372</v>
      </c>
      <c r="P32">
        <v>1</v>
      </c>
      <c r="Q32" s="39">
        <v>41473</v>
      </c>
    </row>
    <row r="33" spans="1:17" x14ac:dyDescent="0.3">
      <c r="A33" t="s">
        <v>232</v>
      </c>
      <c r="B33" t="s">
        <v>161</v>
      </c>
      <c r="C33" t="s">
        <v>97</v>
      </c>
      <c r="D33" t="s">
        <v>140</v>
      </c>
      <c r="E33">
        <v>37</v>
      </c>
      <c r="F33">
        <v>2.5</v>
      </c>
      <c r="G33">
        <v>13</v>
      </c>
      <c r="H33">
        <v>19</v>
      </c>
      <c r="I33">
        <v>0</v>
      </c>
      <c r="J33" s="15">
        <v>41477.385185185187</v>
      </c>
      <c r="K33" s="15">
        <v>41477.395972222221</v>
      </c>
      <c r="O33" s="17">
        <v>15.533333328785375</v>
      </c>
      <c r="P33">
        <v>1</v>
      </c>
      <c r="Q33" s="39">
        <v>41477</v>
      </c>
    </row>
    <row r="34" spans="1:17" x14ac:dyDescent="0.3">
      <c r="A34" t="s">
        <v>233</v>
      </c>
      <c r="B34" t="s">
        <v>189</v>
      </c>
      <c r="C34" t="s">
        <v>102</v>
      </c>
      <c r="D34" t="s">
        <v>142</v>
      </c>
      <c r="E34">
        <v>42</v>
      </c>
      <c r="F34">
        <v>3</v>
      </c>
      <c r="G34">
        <v>19</v>
      </c>
      <c r="H34">
        <v>37</v>
      </c>
      <c r="I34">
        <v>1</v>
      </c>
      <c r="J34" s="15">
        <v>41477.396157407406</v>
      </c>
      <c r="K34" s="15">
        <v>41477.4137962963</v>
      </c>
      <c r="O34" s="17">
        <v>25.400000007357448</v>
      </c>
      <c r="P34">
        <v>1</v>
      </c>
      <c r="Q34" s="39">
        <v>41477</v>
      </c>
    </row>
    <row r="35" spans="1:17" x14ac:dyDescent="0.3">
      <c r="A35" t="s">
        <v>234</v>
      </c>
      <c r="B35" t="s">
        <v>190</v>
      </c>
      <c r="C35" t="s">
        <v>87</v>
      </c>
      <c r="D35" t="s">
        <v>153</v>
      </c>
      <c r="E35">
        <v>23</v>
      </c>
      <c r="F35">
        <v>2.5</v>
      </c>
      <c r="G35">
        <v>48</v>
      </c>
      <c r="H35">
        <v>81</v>
      </c>
      <c r="I35">
        <v>1</v>
      </c>
      <c r="J35" s="15">
        <v>41479.628495370373</v>
      </c>
      <c r="K35" s="15">
        <v>41479.65047453704</v>
      </c>
      <c r="O35" s="17">
        <v>31.650000001536682</v>
      </c>
      <c r="P35">
        <v>1</v>
      </c>
      <c r="Q35" s="39">
        <v>41479</v>
      </c>
    </row>
    <row r="36" spans="1:17" x14ac:dyDescent="0.3">
      <c r="A36" t="s">
        <v>235</v>
      </c>
      <c r="B36" t="s">
        <v>191</v>
      </c>
      <c r="C36" t="s">
        <v>72</v>
      </c>
      <c r="D36" t="s">
        <v>142</v>
      </c>
      <c r="E36">
        <v>43</v>
      </c>
      <c r="F36">
        <v>2</v>
      </c>
      <c r="G36">
        <v>21</v>
      </c>
      <c r="H36">
        <v>33</v>
      </c>
      <c r="I36">
        <v>0</v>
      </c>
      <c r="J36" s="15">
        <v>41479.668703703705</v>
      </c>
      <c r="K36" s="15">
        <v>41479.672349537039</v>
      </c>
      <c r="O36" s="17">
        <v>5.2500000013969839</v>
      </c>
      <c r="P36">
        <v>1</v>
      </c>
      <c r="Q36" s="39">
        <v>41479</v>
      </c>
    </row>
    <row r="37" spans="1:17" x14ac:dyDescent="0.3">
      <c r="A37" t="s">
        <v>236</v>
      </c>
      <c r="B37" t="s">
        <v>181</v>
      </c>
      <c r="C37" t="s">
        <v>91</v>
      </c>
      <c r="D37" t="s">
        <v>140</v>
      </c>
      <c r="E37">
        <v>25</v>
      </c>
      <c r="F37">
        <v>4</v>
      </c>
      <c r="G37">
        <v>49</v>
      </c>
      <c r="H37">
        <v>85</v>
      </c>
      <c r="I37">
        <v>1.5</v>
      </c>
      <c r="J37" s="15">
        <v>41479.691840277781</v>
      </c>
      <c r="K37" s="15">
        <v>41479.70925925926</v>
      </c>
      <c r="O37" s="17">
        <v>25.083333329530433</v>
      </c>
      <c r="P37">
        <v>1</v>
      </c>
      <c r="Q37" s="39">
        <v>41479</v>
      </c>
    </row>
    <row r="38" spans="1:17" x14ac:dyDescent="0.3">
      <c r="A38" t="s">
        <v>237</v>
      </c>
      <c r="B38" t="s">
        <v>238</v>
      </c>
      <c r="C38" t="s">
        <v>89</v>
      </c>
      <c r="D38" t="s">
        <v>136</v>
      </c>
      <c r="E38">
        <v>5</v>
      </c>
      <c r="F38">
        <v>1</v>
      </c>
      <c r="G38">
        <v>44</v>
      </c>
      <c r="H38">
        <v>67</v>
      </c>
      <c r="I38">
        <v>1</v>
      </c>
      <c r="J38" s="15">
        <v>41479.731817129628</v>
      </c>
      <c r="K38" s="15">
        <v>41479.734212962961</v>
      </c>
      <c r="O38" s="17">
        <v>3.4499999997206032</v>
      </c>
      <c r="P38">
        <v>1</v>
      </c>
      <c r="Q38" s="39">
        <v>41479</v>
      </c>
    </row>
    <row r="39" spans="1:17" x14ac:dyDescent="0.3">
      <c r="A39" t="s">
        <v>239</v>
      </c>
      <c r="B39" t="s">
        <v>186</v>
      </c>
      <c r="C39" t="s">
        <v>98</v>
      </c>
      <c r="D39" t="s">
        <v>138</v>
      </c>
      <c r="E39">
        <v>34</v>
      </c>
      <c r="F39">
        <v>2</v>
      </c>
      <c r="G39">
        <v>16</v>
      </c>
      <c r="H39">
        <v>41</v>
      </c>
      <c r="I39">
        <v>1</v>
      </c>
      <c r="J39" s="15">
        <v>41485.3518287037</v>
      </c>
      <c r="K39" s="15">
        <v>41485.369409722225</v>
      </c>
      <c r="O39" s="17">
        <v>25.316666675498709</v>
      </c>
      <c r="P39">
        <v>1</v>
      </c>
      <c r="Q39" s="39">
        <v>41485</v>
      </c>
    </row>
    <row r="40" spans="1:17" x14ac:dyDescent="0.3">
      <c r="A40" t="s">
        <v>240</v>
      </c>
      <c r="B40" t="s">
        <v>192</v>
      </c>
      <c r="C40" t="s">
        <v>103</v>
      </c>
      <c r="D40" t="s">
        <v>179</v>
      </c>
      <c r="E40">
        <v>33</v>
      </c>
      <c r="F40">
        <v>2</v>
      </c>
      <c r="G40">
        <v>23</v>
      </c>
      <c r="H40">
        <v>44</v>
      </c>
      <c r="I40">
        <v>1</v>
      </c>
      <c r="J40" s="15">
        <v>41485.369583333333</v>
      </c>
      <c r="K40" s="15">
        <v>41485.381782407407</v>
      </c>
      <c r="O40" s="17">
        <v>17.566666665952653</v>
      </c>
      <c r="P40">
        <v>1</v>
      </c>
      <c r="Q40" s="39">
        <v>41485</v>
      </c>
    </row>
    <row r="41" spans="1:17" x14ac:dyDescent="0.3">
      <c r="A41" t="s">
        <v>241</v>
      </c>
      <c r="B41" t="s">
        <v>158</v>
      </c>
      <c r="C41" t="s">
        <v>18</v>
      </c>
      <c r="D41" t="s">
        <v>146</v>
      </c>
      <c r="E41">
        <v>43</v>
      </c>
      <c r="F41">
        <v>2</v>
      </c>
      <c r="G41">
        <v>29</v>
      </c>
      <c r="H41">
        <v>43</v>
      </c>
      <c r="I41">
        <v>1</v>
      </c>
      <c r="J41" s="15">
        <v>41485.393854166665</v>
      </c>
      <c r="K41" s="15">
        <v>41485.403460648151</v>
      </c>
      <c r="O41" s="17">
        <v>13.833333340007812</v>
      </c>
      <c r="P41">
        <v>1</v>
      </c>
      <c r="Q41" s="39">
        <v>41485</v>
      </c>
    </row>
    <row r="42" spans="1:17" x14ac:dyDescent="0.3">
      <c r="A42" t="s">
        <v>242</v>
      </c>
      <c r="B42" t="s">
        <v>187</v>
      </c>
      <c r="C42" t="s">
        <v>95</v>
      </c>
      <c r="D42" t="s">
        <v>136</v>
      </c>
      <c r="E42">
        <v>6</v>
      </c>
      <c r="F42">
        <v>1.5</v>
      </c>
      <c r="G42">
        <v>43</v>
      </c>
      <c r="H42">
        <v>70</v>
      </c>
      <c r="I42">
        <v>0</v>
      </c>
      <c r="J42" s="15">
        <v>41485.405902777777</v>
      </c>
      <c r="K42" s="15">
        <v>41485.407418981478</v>
      </c>
      <c r="O42" s="17">
        <v>2.183333330322057</v>
      </c>
      <c r="P42">
        <v>1</v>
      </c>
      <c r="Q42" s="39">
        <v>41485</v>
      </c>
    </row>
    <row r="43" spans="1:17" x14ac:dyDescent="0.3">
      <c r="A43" t="s">
        <v>243</v>
      </c>
      <c r="B43" t="s">
        <v>187</v>
      </c>
      <c r="C43" t="s">
        <v>95</v>
      </c>
      <c r="D43" t="s">
        <v>150</v>
      </c>
      <c r="E43">
        <v>34</v>
      </c>
      <c r="F43">
        <v>1.5</v>
      </c>
      <c r="G43">
        <v>55</v>
      </c>
      <c r="H43">
        <v>88</v>
      </c>
      <c r="I43">
        <v>0</v>
      </c>
      <c r="J43" s="15">
        <v>41485.407488425924</v>
      </c>
      <c r="K43" s="15">
        <v>41485.413298611114</v>
      </c>
      <c r="O43" s="17">
        <v>8.3666666736826301</v>
      </c>
      <c r="P43">
        <v>1</v>
      </c>
      <c r="Q43" s="39">
        <v>41485</v>
      </c>
    </row>
    <row r="44" spans="1:17" x14ac:dyDescent="0.3">
      <c r="A44" t="s">
        <v>244</v>
      </c>
      <c r="B44" t="s">
        <v>163</v>
      </c>
      <c r="C44" t="s">
        <v>90</v>
      </c>
      <c r="D44" t="s">
        <v>146</v>
      </c>
      <c r="E44">
        <v>17</v>
      </c>
      <c r="F44">
        <v>1</v>
      </c>
      <c r="G44">
        <v>26</v>
      </c>
      <c r="H44">
        <v>42</v>
      </c>
      <c r="I44">
        <v>0</v>
      </c>
      <c r="J44" s="15">
        <v>41485.426805555559</v>
      </c>
      <c r="K44" s="15">
        <v>41485.427395833336</v>
      </c>
      <c r="O44" s="17">
        <v>0.84999999962747097</v>
      </c>
      <c r="P44">
        <v>1</v>
      </c>
      <c r="Q44" s="39">
        <v>41485</v>
      </c>
    </row>
    <row r="45" spans="1:17" x14ac:dyDescent="0.3">
      <c r="A45" t="s">
        <v>245</v>
      </c>
      <c r="B45" t="s">
        <v>185</v>
      </c>
      <c r="C45" t="s">
        <v>93</v>
      </c>
      <c r="D45" t="s">
        <v>136</v>
      </c>
      <c r="E45">
        <v>3</v>
      </c>
      <c r="F45">
        <v>2</v>
      </c>
      <c r="G45">
        <v>25</v>
      </c>
      <c r="H45">
        <v>36</v>
      </c>
      <c r="I45">
        <v>2</v>
      </c>
      <c r="J45" s="15">
        <v>41485.752314814818</v>
      </c>
      <c r="K45" s="15">
        <v>41485.756238425929</v>
      </c>
      <c r="N45" t="s">
        <v>246</v>
      </c>
      <c r="O45" s="17">
        <v>5.6500000006053597</v>
      </c>
      <c r="P45">
        <v>1</v>
      </c>
      <c r="Q45" s="39">
        <v>41485</v>
      </c>
    </row>
    <row r="46" spans="1:17" x14ac:dyDescent="0.3">
      <c r="A46" t="s">
        <v>247</v>
      </c>
      <c r="B46" t="s">
        <v>166</v>
      </c>
      <c r="C46" t="s">
        <v>92</v>
      </c>
      <c r="D46" t="s">
        <v>136</v>
      </c>
      <c r="E46">
        <v>2</v>
      </c>
      <c r="F46">
        <v>5</v>
      </c>
      <c r="G46">
        <v>31</v>
      </c>
      <c r="H46">
        <v>44</v>
      </c>
      <c r="I46">
        <v>4</v>
      </c>
      <c r="J46" s="15">
        <v>41485.756516203706</v>
      </c>
      <c r="K46" s="15">
        <v>41485.768252314818</v>
      </c>
      <c r="O46" s="17">
        <v>16.90000000060536</v>
      </c>
      <c r="P46">
        <v>1</v>
      </c>
      <c r="Q46" s="39">
        <v>41485</v>
      </c>
    </row>
    <row r="47" spans="1:17" x14ac:dyDescent="0.3">
      <c r="A47" t="s">
        <v>248</v>
      </c>
      <c r="B47" t="s">
        <v>184</v>
      </c>
      <c r="C47" t="s">
        <v>94</v>
      </c>
      <c r="D47" t="s">
        <v>136</v>
      </c>
      <c r="E47">
        <v>3</v>
      </c>
      <c r="F47">
        <v>2</v>
      </c>
      <c r="G47">
        <v>70</v>
      </c>
      <c r="H47">
        <v>120</v>
      </c>
      <c r="I47">
        <v>1.75</v>
      </c>
      <c r="J47" s="15">
        <v>41486.751377314817</v>
      </c>
      <c r="K47" s="15">
        <v>41486.757256944446</v>
      </c>
      <c r="O47" s="17">
        <v>8.4666666656266898</v>
      </c>
      <c r="P47">
        <v>1</v>
      </c>
      <c r="Q47" s="39">
        <v>41486</v>
      </c>
    </row>
    <row r="48" spans="1:17" x14ac:dyDescent="0.3">
      <c r="A48" t="s">
        <v>249</v>
      </c>
      <c r="B48" t="s">
        <v>161</v>
      </c>
      <c r="C48" t="s">
        <v>97</v>
      </c>
      <c r="D48" t="s">
        <v>140</v>
      </c>
      <c r="E48">
        <v>16</v>
      </c>
      <c r="F48">
        <v>1</v>
      </c>
      <c r="G48">
        <v>13</v>
      </c>
      <c r="H48">
        <v>19</v>
      </c>
      <c r="I48">
        <v>0.75</v>
      </c>
      <c r="J48" s="15">
        <v>41486.761481481481</v>
      </c>
      <c r="K48" s="15">
        <v>41486.769560185188</v>
      </c>
      <c r="O48" s="17">
        <v>11.633333339123055</v>
      </c>
      <c r="P48">
        <v>1</v>
      </c>
      <c r="Q48" s="39">
        <v>41486</v>
      </c>
    </row>
    <row r="49" spans="1:17" x14ac:dyDescent="0.3">
      <c r="A49" t="s">
        <v>250</v>
      </c>
      <c r="B49" t="s">
        <v>189</v>
      </c>
      <c r="C49" t="s">
        <v>102</v>
      </c>
      <c r="D49" t="s">
        <v>136</v>
      </c>
      <c r="E49">
        <v>1</v>
      </c>
      <c r="F49">
        <v>1</v>
      </c>
      <c r="G49">
        <v>11</v>
      </c>
      <c r="H49">
        <v>28</v>
      </c>
      <c r="I49">
        <v>1</v>
      </c>
      <c r="J49" s="15">
        <v>41486.777974537035</v>
      </c>
      <c r="K49" s="15">
        <v>41486.781886574077</v>
      </c>
      <c r="O49" s="17">
        <v>5.6333333405200392</v>
      </c>
      <c r="P49">
        <v>1</v>
      </c>
      <c r="Q49" s="39">
        <v>41486</v>
      </c>
    </row>
    <row r="50" spans="1:17" x14ac:dyDescent="0.3">
      <c r="A50" t="s">
        <v>251</v>
      </c>
      <c r="B50" t="s">
        <v>194</v>
      </c>
      <c r="C50" t="s">
        <v>135</v>
      </c>
      <c r="D50" t="s">
        <v>141</v>
      </c>
      <c r="E50">
        <v>11</v>
      </c>
      <c r="F50">
        <v>1</v>
      </c>
      <c r="G50">
        <v>7</v>
      </c>
      <c r="H50">
        <v>11</v>
      </c>
      <c r="I50">
        <v>0</v>
      </c>
      <c r="J50" s="15">
        <v>41486.79787037037</v>
      </c>
      <c r="K50" s="15">
        <v>41486.799201388887</v>
      </c>
      <c r="O50" s="17">
        <v>1.9166666641831398</v>
      </c>
      <c r="P50">
        <v>1</v>
      </c>
      <c r="Q50" s="39">
        <v>41486</v>
      </c>
    </row>
    <row r="51" spans="1:17" x14ac:dyDescent="0.3">
      <c r="A51" t="s">
        <v>252</v>
      </c>
      <c r="B51" t="s">
        <v>238</v>
      </c>
      <c r="C51" t="s">
        <v>89</v>
      </c>
      <c r="D51" t="s">
        <v>164</v>
      </c>
      <c r="E51">
        <v>8</v>
      </c>
      <c r="F51">
        <v>1</v>
      </c>
      <c r="G51">
        <v>55</v>
      </c>
      <c r="H51">
        <v>83</v>
      </c>
      <c r="I51">
        <v>0.5</v>
      </c>
      <c r="J51" s="15">
        <v>41487.414687500001</v>
      </c>
      <c r="K51" s="15">
        <v>41487.416678240741</v>
      </c>
      <c r="O51" s="17">
        <v>2.8666666662320495</v>
      </c>
      <c r="P51">
        <v>1</v>
      </c>
      <c r="Q51" s="39">
        <v>41487</v>
      </c>
    </row>
    <row r="52" spans="1:17" x14ac:dyDescent="0.3">
      <c r="A52" t="s">
        <v>253</v>
      </c>
      <c r="B52" t="s">
        <v>181</v>
      </c>
      <c r="C52" t="s">
        <v>91</v>
      </c>
      <c r="D52" t="s">
        <v>140</v>
      </c>
      <c r="E52">
        <v>14</v>
      </c>
      <c r="F52">
        <v>1</v>
      </c>
      <c r="G52">
        <v>48</v>
      </c>
      <c r="H52">
        <v>84</v>
      </c>
      <c r="I52">
        <v>0</v>
      </c>
      <c r="J52" s="15">
        <v>41488.409722222219</v>
      </c>
      <c r="K52" s="15">
        <v>41488.411307870374</v>
      </c>
      <c r="O52" s="17">
        <v>2.2833333432208747</v>
      </c>
      <c r="P52">
        <v>1</v>
      </c>
      <c r="Q52" s="39">
        <v>41488</v>
      </c>
    </row>
    <row r="53" spans="1:17" x14ac:dyDescent="0.3">
      <c r="A53" t="s">
        <v>254</v>
      </c>
      <c r="B53" t="s">
        <v>192</v>
      </c>
      <c r="C53" t="s">
        <v>103</v>
      </c>
      <c r="D53" t="s">
        <v>144</v>
      </c>
      <c r="E53">
        <v>40</v>
      </c>
      <c r="F53">
        <v>2</v>
      </c>
      <c r="G53">
        <v>32</v>
      </c>
      <c r="H53">
        <v>51</v>
      </c>
      <c r="I53">
        <v>0.25</v>
      </c>
      <c r="J53" s="15">
        <v>41488.650648148148</v>
      </c>
      <c r="K53" s="15">
        <v>41488.660081018519</v>
      </c>
      <c r="O53" s="17">
        <v>13.583333333954215</v>
      </c>
      <c r="P53">
        <v>1</v>
      </c>
      <c r="Q53" s="39">
        <v>41488</v>
      </c>
    </row>
    <row r="54" spans="1:17" x14ac:dyDescent="0.3">
      <c r="A54" t="s">
        <v>255</v>
      </c>
      <c r="B54" t="s">
        <v>187</v>
      </c>
      <c r="C54" t="s">
        <v>95</v>
      </c>
      <c r="D54" t="s">
        <v>136</v>
      </c>
      <c r="E54">
        <v>1</v>
      </c>
      <c r="F54">
        <v>1</v>
      </c>
      <c r="G54">
        <v>41</v>
      </c>
      <c r="H54">
        <v>59</v>
      </c>
      <c r="I54">
        <v>0</v>
      </c>
      <c r="J54" s="15">
        <v>41488.661423611113</v>
      </c>
      <c r="K54" s="15">
        <v>41488.663831018515</v>
      </c>
      <c r="O54" s="17">
        <v>3.4666666598059237</v>
      </c>
      <c r="P54">
        <v>1</v>
      </c>
      <c r="Q54" s="39">
        <v>41488</v>
      </c>
    </row>
    <row r="55" spans="1:17" x14ac:dyDescent="0.3">
      <c r="A55" t="s">
        <v>256</v>
      </c>
      <c r="B55" t="s">
        <v>191</v>
      </c>
      <c r="C55" t="s">
        <v>72</v>
      </c>
      <c r="D55" t="s">
        <v>138</v>
      </c>
      <c r="E55">
        <v>4</v>
      </c>
      <c r="F55">
        <v>1</v>
      </c>
      <c r="G55">
        <v>17</v>
      </c>
      <c r="H55">
        <v>29</v>
      </c>
      <c r="I55">
        <v>1</v>
      </c>
      <c r="J55" s="15">
        <v>41488.677905092591</v>
      </c>
      <c r="K55" s="15">
        <v>41488.679490740738</v>
      </c>
      <c r="O55" s="17">
        <v>2.2833333327434957</v>
      </c>
      <c r="P55">
        <v>1</v>
      </c>
      <c r="Q55" s="39">
        <v>41488</v>
      </c>
    </row>
    <row r="56" spans="1:17" x14ac:dyDescent="0.3">
      <c r="A56" t="s">
        <v>257</v>
      </c>
      <c r="B56" t="s">
        <v>191</v>
      </c>
      <c r="C56" t="s">
        <v>72</v>
      </c>
      <c r="D56" t="s">
        <v>136</v>
      </c>
      <c r="E56">
        <v>3</v>
      </c>
      <c r="F56">
        <v>3</v>
      </c>
      <c r="G56">
        <v>16</v>
      </c>
      <c r="H56">
        <v>27</v>
      </c>
      <c r="I56">
        <v>1.5</v>
      </c>
      <c r="J56" s="15">
        <v>41488.698865740742</v>
      </c>
      <c r="K56" s="15">
        <v>41488.698969907404</v>
      </c>
      <c r="N56" t="s">
        <v>258</v>
      </c>
      <c r="O56" s="17">
        <v>0.14999999315477908</v>
      </c>
      <c r="P56">
        <v>1</v>
      </c>
      <c r="Q56" s="39">
        <v>41488</v>
      </c>
    </row>
    <row r="57" spans="1:17" x14ac:dyDescent="0.3">
      <c r="A57" t="s">
        <v>259</v>
      </c>
      <c r="B57" t="s">
        <v>238</v>
      </c>
      <c r="C57" t="s">
        <v>89</v>
      </c>
      <c r="D57" t="s">
        <v>149</v>
      </c>
      <c r="E57">
        <v>28</v>
      </c>
      <c r="F57">
        <v>2.5</v>
      </c>
      <c r="G57">
        <v>64</v>
      </c>
      <c r="H57">
        <v>101</v>
      </c>
      <c r="I57">
        <v>1.25</v>
      </c>
      <c r="J57" s="15">
        <v>41488.700590277775</v>
      </c>
      <c r="K57" s="15">
        <v>41488.702893518515</v>
      </c>
      <c r="M57">
        <v>1</v>
      </c>
      <c r="O57" s="17">
        <v>3.3166666666511446</v>
      </c>
      <c r="P57">
        <v>1</v>
      </c>
      <c r="Q57" s="39">
        <v>41488</v>
      </c>
    </row>
    <row r="58" spans="1:17" x14ac:dyDescent="0.3">
      <c r="A58" t="s">
        <v>260</v>
      </c>
      <c r="B58" t="s">
        <v>187</v>
      </c>
      <c r="C58" t="s">
        <v>95</v>
      </c>
      <c r="D58" t="s">
        <v>142</v>
      </c>
      <c r="E58">
        <v>45</v>
      </c>
      <c r="F58">
        <v>3</v>
      </c>
      <c r="G58">
        <v>52</v>
      </c>
      <c r="H58">
        <v>84</v>
      </c>
      <c r="I58">
        <v>0.5</v>
      </c>
      <c r="J58" s="15">
        <v>41488.702997685185</v>
      </c>
      <c r="K58" s="15">
        <v>41488.714571759258</v>
      </c>
      <c r="O58" s="17">
        <v>16.666666665114462</v>
      </c>
      <c r="P58">
        <v>1</v>
      </c>
      <c r="Q58" s="39">
        <v>41488</v>
      </c>
    </row>
    <row r="59" spans="1:17" x14ac:dyDescent="0.3">
      <c r="A59" t="s">
        <v>261</v>
      </c>
      <c r="B59" t="s">
        <v>188</v>
      </c>
      <c r="C59" t="s">
        <v>88</v>
      </c>
      <c r="D59" t="s">
        <v>136</v>
      </c>
      <c r="E59">
        <v>45</v>
      </c>
      <c r="F59">
        <v>1</v>
      </c>
      <c r="G59">
        <v>44</v>
      </c>
      <c r="H59">
        <v>70</v>
      </c>
      <c r="I59">
        <v>0.5</v>
      </c>
      <c r="J59" s="15">
        <v>41488.733888888892</v>
      </c>
      <c r="K59" s="15">
        <v>41488.750219907408</v>
      </c>
      <c r="O59" s="17">
        <v>10</v>
      </c>
      <c r="P59">
        <v>1</v>
      </c>
      <c r="Q59" s="39">
        <v>41488</v>
      </c>
    </row>
    <row r="60" spans="1:17" x14ac:dyDescent="0.3">
      <c r="A60" t="s">
        <v>262</v>
      </c>
      <c r="B60" t="s">
        <v>181</v>
      </c>
      <c r="C60" t="s">
        <v>91</v>
      </c>
      <c r="D60" t="s">
        <v>140</v>
      </c>
      <c r="E60">
        <v>13</v>
      </c>
      <c r="F60">
        <v>1</v>
      </c>
      <c r="G60">
        <v>47</v>
      </c>
      <c r="H60">
        <v>84</v>
      </c>
      <c r="I60">
        <v>1</v>
      </c>
      <c r="J60" s="15">
        <v>41488.755497685182</v>
      </c>
      <c r="K60" s="15">
        <v>41488.758622685185</v>
      </c>
      <c r="O60" s="17">
        <v>4.5000000041909516</v>
      </c>
      <c r="P60">
        <v>1</v>
      </c>
      <c r="Q60" s="39">
        <v>41488</v>
      </c>
    </row>
    <row r="61" spans="1:17" x14ac:dyDescent="0.3">
      <c r="A61" t="s">
        <v>263</v>
      </c>
      <c r="B61" t="s">
        <v>161</v>
      </c>
      <c r="C61" t="s">
        <v>97</v>
      </c>
      <c r="D61" t="s">
        <v>142</v>
      </c>
      <c r="E61">
        <v>4</v>
      </c>
      <c r="F61">
        <v>1</v>
      </c>
      <c r="G61">
        <v>15</v>
      </c>
      <c r="H61">
        <v>20</v>
      </c>
      <c r="I61">
        <v>1</v>
      </c>
      <c r="J61" s="15">
        <v>41488.759687500002</v>
      </c>
      <c r="K61" s="15">
        <v>41488.763020833336</v>
      </c>
      <c r="O61" s="17">
        <v>4.8000000009778887</v>
      </c>
      <c r="P61">
        <v>1</v>
      </c>
      <c r="Q61" s="39">
        <v>41488</v>
      </c>
    </row>
    <row r="62" spans="1:17" x14ac:dyDescent="0.3">
      <c r="A62" t="s">
        <v>210</v>
      </c>
      <c r="B62" t="s">
        <v>181</v>
      </c>
      <c r="C62" t="s">
        <v>91</v>
      </c>
      <c r="D62" t="s">
        <v>136</v>
      </c>
      <c r="E62">
        <v>4</v>
      </c>
      <c r="F62">
        <v>1</v>
      </c>
      <c r="G62">
        <v>36</v>
      </c>
      <c r="H62">
        <v>55</v>
      </c>
      <c r="I62">
        <v>0.5</v>
      </c>
      <c r="J62" s="15">
        <v>41488.764456018522</v>
      </c>
      <c r="K62" s="15">
        <v>41488.766967592594</v>
      </c>
      <c r="O62" s="17">
        <v>3.6166666634380817</v>
      </c>
      <c r="P62">
        <v>2</v>
      </c>
      <c r="Q62" s="39">
        <v>41488</v>
      </c>
    </row>
    <row r="63" spans="1:17" x14ac:dyDescent="0.3">
      <c r="A63" t="s">
        <v>264</v>
      </c>
      <c r="B63" t="s">
        <v>187</v>
      </c>
      <c r="C63" t="s">
        <v>95</v>
      </c>
      <c r="D63" t="s">
        <v>138</v>
      </c>
      <c r="E63">
        <v>6</v>
      </c>
      <c r="F63">
        <v>1</v>
      </c>
      <c r="G63">
        <v>46</v>
      </c>
      <c r="H63">
        <v>75</v>
      </c>
      <c r="I63">
        <v>0</v>
      </c>
      <c r="J63" s="15">
        <v>41488.767094907409</v>
      </c>
      <c r="K63" s="15">
        <v>41488.767800925925</v>
      </c>
      <c r="N63" t="s">
        <v>265</v>
      </c>
      <c r="O63" s="17">
        <v>1.0166666633449495</v>
      </c>
      <c r="P63">
        <v>1</v>
      </c>
      <c r="Q63" s="39">
        <v>41488</v>
      </c>
    </row>
    <row r="64" spans="1:17" x14ac:dyDescent="0.3">
      <c r="A64" t="s">
        <v>266</v>
      </c>
      <c r="B64" t="s">
        <v>161</v>
      </c>
      <c r="C64" t="s">
        <v>97</v>
      </c>
      <c r="D64" t="s">
        <v>140</v>
      </c>
      <c r="E64">
        <v>38</v>
      </c>
      <c r="F64">
        <v>1.5</v>
      </c>
      <c r="G64">
        <v>14</v>
      </c>
      <c r="H64">
        <v>19</v>
      </c>
      <c r="I64">
        <v>1.5</v>
      </c>
      <c r="J64" s="15">
        <v>41488.771493055552</v>
      </c>
      <c r="K64" s="15">
        <v>41488.777268518519</v>
      </c>
      <c r="O64" s="17">
        <v>8.3166666724719107</v>
      </c>
      <c r="P64">
        <v>1</v>
      </c>
      <c r="Q64" s="39">
        <v>41488</v>
      </c>
    </row>
    <row r="65" spans="1:17" x14ac:dyDescent="0.3">
      <c r="A65" t="s">
        <v>267</v>
      </c>
      <c r="B65" t="s">
        <v>192</v>
      </c>
      <c r="C65" t="s">
        <v>103</v>
      </c>
      <c r="D65" t="s">
        <v>144</v>
      </c>
      <c r="E65">
        <v>35</v>
      </c>
      <c r="F65">
        <v>5</v>
      </c>
      <c r="G65">
        <v>31</v>
      </c>
      <c r="H65">
        <v>50</v>
      </c>
      <c r="I65">
        <v>0</v>
      </c>
      <c r="J65" s="15">
        <v>41492.692604166667</v>
      </c>
      <c r="K65" s="15">
        <v>41492.710150462961</v>
      </c>
      <c r="O65" s="17">
        <v>25.266666663810611</v>
      </c>
      <c r="P65">
        <v>1</v>
      </c>
      <c r="Q65" s="39">
        <v>41492</v>
      </c>
    </row>
    <row r="66" spans="1:17" x14ac:dyDescent="0.3">
      <c r="A66" t="s">
        <v>268</v>
      </c>
      <c r="B66" t="s">
        <v>192</v>
      </c>
      <c r="C66" t="s">
        <v>103</v>
      </c>
      <c r="D66" t="s">
        <v>138</v>
      </c>
      <c r="E66">
        <v>9</v>
      </c>
      <c r="F66">
        <v>1</v>
      </c>
      <c r="G66">
        <v>26</v>
      </c>
      <c r="H66">
        <v>46</v>
      </c>
      <c r="I66">
        <v>0.01</v>
      </c>
      <c r="J66" s="15">
        <v>41492.787800925929</v>
      </c>
      <c r="K66" s="15">
        <v>41492.791724537034</v>
      </c>
      <c r="O66" s="17">
        <v>5.6499999901279807</v>
      </c>
      <c r="P66">
        <v>1</v>
      </c>
      <c r="Q66" s="39">
        <v>41492</v>
      </c>
    </row>
    <row r="67" spans="1:17" x14ac:dyDescent="0.3">
      <c r="A67" t="s">
        <v>269</v>
      </c>
      <c r="B67" t="s">
        <v>187</v>
      </c>
      <c r="C67" t="s">
        <v>95</v>
      </c>
      <c r="D67" t="s">
        <v>136</v>
      </c>
      <c r="E67">
        <v>7</v>
      </c>
      <c r="F67">
        <v>1</v>
      </c>
      <c r="G67">
        <v>43</v>
      </c>
      <c r="H67">
        <v>70</v>
      </c>
      <c r="I67">
        <v>1</v>
      </c>
      <c r="J67" s="15">
        <v>41493.34679398148</v>
      </c>
      <c r="K67" s="15">
        <v>41493.348275462966</v>
      </c>
      <c r="O67" s="17">
        <v>2.1333333395887166</v>
      </c>
      <c r="P67">
        <v>1</v>
      </c>
      <c r="Q67" s="39">
        <v>41493</v>
      </c>
    </row>
    <row r="68" spans="1:17" x14ac:dyDescent="0.3">
      <c r="A68" t="s">
        <v>270</v>
      </c>
      <c r="B68" t="s">
        <v>192</v>
      </c>
      <c r="C68" t="s">
        <v>103</v>
      </c>
      <c r="D68" t="s">
        <v>146</v>
      </c>
      <c r="E68">
        <v>20</v>
      </c>
      <c r="F68">
        <v>1</v>
      </c>
      <c r="G68">
        <v>34</v>
      </c>
      <c r="H68">
        <v>52</v>
      </c>
      <c r="I68">
        <v>0.5</v>
      </c>
      <c r="J68" s="15">
        <v>41493.348356481481</v>
      </c>
      <c r="K68" s="15">
        <v>41493.359513888892</v>
      </c>
      <c r="O68" s="17">
        <v>16.066666671540588</v>
      </c>
      <c r="P68">
        <v>1</v>
      </c>
      <c r="Q68" s="39">
        <v>41493</v>
      </c>
    </row>
    <row r="69" spans="1:17" x14ac:dyDescent="0.3">
      <c r="A69" t="s">
        <v>271</v>
      </c>
      <c r="B69" t="s">
        <v>192</v>
      </c>
      <c r="C69" t="s">
        <v>103</v>
      </c>
      <c r="D69" t="s">
        <v>136</v>
      </c>
      <c r="E69">
        <v>5</v>
      </c>
      <c r="F69">
        <v>4</v>
      </c>
      <c r="G69">
        <v>17</v>
      </c>
      <c r="H69">
        <v>39</v>
      </c>
      <c r="I69">
        <v>1</v>
      </c>
      <c r="J69" s="15">
        <v>41493.363668981481</v>
      </c>
      <c r="K69" s="15">
        <v>41493.390462962961</v>
      </c>
      <c r="O69" s="17">
        <v>38.583333331625909</v>
      </c>
      <c r="P69">
        <v>1</v>
      </c>
      <c r="Q69" s="39">
        <v>41493</v>
      </c>
    </row>
    <row r="70" spans="1:17" x14ac:dyDescent="0.3">
      <c r="A70" t="s">
        <v>272</v>
      </c>
      <c r="B70" t="s">
        <v>192</v>
      </c>
      <c r="C70" t="s">
        <v>103</v>
      </c>
      <c r="D70" t="s">
        <v>150</v>
      </c>
      <c r="E70">
        <v>30</v>
      </c>
      <c r="F70">
        <v>3</v>
      </c>
      <c r="G70">
        <v>35</v>
      </c>
      <c r="H70">
        <v>54</v>
      </c>
      <c r="I70">
        <v>2</v>
      </c>
      <c r="J70" s="15">
        <v>41493.743680555555</v>
      </c>
      <c r="K70" s="15">
        <v>41493.750798611109</v>
      </c>
      <c r="O70" s="17">
        <v>10.249999996740371</v>
      </c>
      <c r="P70">
        <v>1</v>
      </c>
      <c r="Q70" s="39">
        <v>41493</v>
      </c>
    </row>
    <row r="71" spans="1:17" x14ac:dyDescent="0.3">
      <c r="A71" t="s">
        <v>273</v>
      </c>
      <c r="B71" t="s">
        <v>163</v>
      </c>
      <c r="C71" t="s">
        <v>90</v>
      </c>
      <c r="D71" t="s">
        <v>146</v>
      </c>
      <c r="E71">
        <v>4</v>
      </c>
      <c r="F71">
        <v>1</v>
      </c>
      <c r="G71">
        <v>25</v>
      </c>
      <c r="H71">
        <v>42</v>
      </c>
      <c r="I71">
        <v>1</v>
      </c>
      <c r="J71" s="15">
        <v>41493.753101851849</v>
      </c>
      <c r="K71" s="15">
        <v>41493.753587962965</v>
      </c>
      <c r="O71" s="17">
        <v>0.70000000647269189</v>
      </c>
      <c r="P71">
        <v>1</v>
      </c>
      <c r="Q71" s="39">
        <v>41493</v>
      </c>
    </row>
    <row r="72" spans="1:17" x14ac:dyDescent="0.3">
      <c r="A72" t="s">
        <v>274</v>
      </c>
      <c r="B72" t="s">
        <v>190</v>
      </c>
      <c r="C72" t="s">
        <v>87</v>
      </c>
      <c r="D72" t="s">
        <v>150</v>
      </c>
      <c r="E72">
        <v>26</v>
      </c>
      <c r="F72">
        <v>3</v>
      </c>
      <c r="G72">
        <v>46</v>
      </c>
      <c r="H72">
        <v>78</v>
      </c>
      <c r="I72">
        <v>2</v>
      </c>
      <c r="J72" s="15">
        <v>41493.754884259259</v>
      </c>
      <c r="K72" s="15">
        <v>41493.765289351853</v>
      </c>
      <c r="O72" s="17">
        <v>14.98333333642222</v>
      </c>
      <c r="P72">
        <v>1</v>
      </c>
      <c r="Q72" s="39">
        <v>41493</v>
      </c>
    </row>
    <row r="73" spans="1:17" x14ac:dyDescent="0.3">
      <c r="A73" t="s">
        <v>275</v>
      </c>
      <c r="B73" t="s">
        <v>190</v>
      </c>
      <c r="C73" t="s">
        <v>87</v>
      </c>
      <c r="D73" t="s">
        <v>136</v>
      </c>
      <c r="E73">
        <v>1</v>
      </c>
      <c r="F73">
        <v>2</v>
      </c>
      <c r="G73">
        <v>34</v>
      </c>
      <c r="H73">
        <v>51</v>
      </c>
      <c r="I73">
        <v>0.5</v>
      </c>
      <c r="J73" s="15">
        <v>41493.770752314813</v>
      </c>
      <c r="K73" s="15">
        <v>41493.775671296295</v>
      </c>
      <c r="O73" s="17">
        <v>7.0833333337213844</v>
      </c>
      <c r="P73">
        <v>1</v>
      </c>
      <c r="Q73" s="39">
        <v>41493</v>
      </c>
    </row>
    <row r="74" spans="1:17" x14ac:dyDescent="0.3">
      <c r="A74" t="s">
        <v>276</v>
      </c>
      <c r="B74" t="s">
        <v>161</v>
      </c>
      <c r="C74" t="s">
        <v>97</v>
      </c>
      <c r="D74" t="s">
        <v>136</v>
      </c>
      <c r="E74">
        <v>1</v>
      </c>
      <c r="F74">
        <v>2</v>
      </c>
      <c r="G74">
        <v>12</v>
      </c>
      <c r="H74">
        <v>17</v>
      </c>
      <c r="I74">
        <v>1.25</v>
      </c>
      <c r="J74" s="15">
        <v>41493.784050925926</v>
      </c>
      <c r="K74" s="15">
        <v>41493.78833333333</v>
      </c>
      <c r="O74" s="17">
        <v>6.1666666623204947</v>
      </c>
      <c r="P74">
        <v>1</v>
      </c>
      <c r="Q74" s="39">
        <v>41493</v>
      </c>
    </row>
    <row r="75" spans="1:17" x14ac:dyDescent="0.3">
      <c r="A75" t="s">
        <v>277</v>
      </c>
      <c r="B75" t="s">
        <v>194</v>
      </c>
      <c r="C75" t="s">
        <v>135</v>
      </c>
      <c r="D75" t="s">
        <v>141</v>
      </c>
      <c r="E75">
        <v>14</v>
      </c>
      <c r="F75">
        <v>1</v>
      </c>
      <c r="G75">
        <v>7</v>
      </c>
      <c r="H75">
        <v>11</v>
      </c>
      <c r="I75">
        <v>0</v>
      </c>
      <c r="J75" s="15">
        <v>41493.788414351853</v>
      </c>
      <c r="K75" s="15">
        <v>41493.792442129627</v>
      </c>
      <c r="O75" s="17">
        <v>5.7999999937601388</v>
      </c>
      <c r="P75">
        <v>1</v>
      </c>
      <c r="Q75" s="39">
        <v>41493</v>
      </c>
    </row>
    <row r="76" spans="1:17" x14ac:dyDescent="0.3">
      <c r="A76" t="s">
        <v>278</v>
      </c>
      <c r="B76" t="s">
        <v>191</v>
      </c>
      <c r="C76" t="s">
        <v>72</v>
      </c>
      <c r="D76" t="s">
        <v>146</v>
      </c>
      <c r="E76">
        <v>39</v>
      </c>
      <c r="F76">
        <v>3</v>
      </c>
      <c r="G76">
        <v>21</v>
      </c>
      <c r="H76">
        <v>34</v>
      </c>
      <c r="I76">
        <v>1</v>
      </c>
      <c r="J76" s="15">
        <v>41493.800104166665</v>
      </c>
      <c r="K76" s="15">
        <v>41493.804872685185</v>
      </c>
      <c r="O76" s="17">
        <v>6.8666666687931865</v>
      </c>
      <c r="P76">
        <v>1</v>
      </c>
      <c r="Q76" s="39">
        <v>41493</v>
      </c>
    </row>
    <row r="77" spans="1:17" x14ac:dyDescent="0.3">
      <c r="A77" t="s">
        <v>279</v>
      </c>
      <c r="B77" t="s">
        <v>194</v>
      </c>
      <c r="C77" t="s">
        <v>135</v>
      </c>
      <c r="D77" t="s">
        <v>141</v>
      </c>
      <c r="E77">
        <v>28</v>
      </c>
      <c r="F77">
        <v>4.5</v>
      </c>
      <c r="G77">
        <v>8</v>
      </c>
      <c r="H77">
        <v>12</v>
      </c>
      <c r="I77">
        <v>2</v>
      </c>
      <c r="J77" s="15">
        <v>41493.861979166664</v>
      </c>
      <c r="K77" s="15">
        <v>41493.874479166669</v>
      </c>
      <c r="O77" s="17">
        <v>18.000000006286427</v>
      </c>
      <c r="P77">
        <v>1</v>
      </c>
      <c r="Q77" s="39">
        <v>41493</v>
      </c>
    </row>
    <row r="78" spans="1:17" x14ac:dyDescent="0.3">
      <c r="A78" t="s">
        <v>280</v>
      </c>
      <c r="B78" t="s">
        <v>161</v>
      </c>
      <c r="C78" t="s">
        <v>97</v>
      </c>
      <c r="D78" t="s">
        <v>136</v>
      </c>
      <c r="E78">
        <v>2</v>
      </c>
      <c r="F78">
        <v>3</v>
      </c>
      <c r="G78">
        <v>12</v>
      </c>
      <c r="H78">
        <v>17</v>
      </c>
      <c r="I78">
        <v>1.5</v>
      </c>
      <c r="J78" s="15">
        <v>41494.316446759258</v>
      </c>
      <c r="K78" s="15">
        <v>41494.318865740737</v>
      </c>
      <c r="N78" t="s">
        <v>265</v>
      </c>
      <c r="O78" s="17">
        <v>3.4833333303686231</v>
      </c>
      <c r="P78">
        <v>1</v>
      </c>
      <c r="Q78" s="39">
        <v>41494</v>
      </c>
    </row>
    <row r="79" spans="1:17" x14ac:dyDescent="0.3">
      <c r="A79" t="s">
        <v>281</v>
      </c>
      <c r="B79" t="s">
        <v>181</v>
      </c>
      <c r="C79" t="s">
        <v>91</v>
      </c>
      <c r="D79" t="s">
        <v>136</v>
      </c>
      <c r="E79">
        <v>2</v>
      </c>
      <c r="F79">
        <v>1</v>
      </c>
      <c r="G79">
        <v>35</v>
      </c>
      <c r="H79">
        <v>55</v>
      </c>
      <c r="I79">
        <v>1</v>
      </c>
      <c r="J79" s="15">
        <v>41494.319201388891</v>
      </c>
      <c r="K79" s="15">
        <v>41494.320810185185</v>
      </c>
      <c r="O79" s="17">
        <v>2.3166666633915156</v>
      </c>
      <c r="P79">
        <v>1</v>
      </c>
      <c r="Q79" s="39">
        <v>41494</v>
      </c>
    </row>
    <row r="80" spans="1:17" x14ac:dyDescent="0.3">
      <c r="A80" t="s">
        <v>282</v>
      </c>
      <c r="B80" t="s">
        <v>190</v>
      </c>
      <c r="C80" t="s">
        <v>87</v>
      </c>
      <c r="D80" t="s">
        <v>146</v>
      </c>
      <c r="E80">
        <v>16</v>
      </c>
      <c r="F80">
        <v>1</v>
      </c>
      <c r="G80">
        <v>44</v>
      </c>
      <c r="H80">
        <v>74</v>
      </c>
      <c r="I80">
        <v>1</v>
      </c>
      <c r="J80" s="15">
        <v>41494.321886574071</v>
      </c>
      <c r="K80" s="15">
        <v>41494.327418981484</v>
      </c>
      <c r="O80" s="17">
        <v>7.9666666744742543</v>
      </c>
      <c r="P80">
        <v>1</v>
      </c>
      <c r="Q80" s="39">
        <v>41494</v>
      </c>
    </row>
    <row r="81" spans="1:17" x14ac:dyDescent="0.3">
      <c r="A81" t="s">
        <v>283</v>
      </c>
      <c r="B81" t="s">
        <v>188</v>
      </c>
      <c r="C81" t="s">
        <v>88</v>
      </c>
      <c r="D81" t="s">
        <v>149</v>
      </c>
      <c r="E81">
        <v>49</v>
      </c>
      <c r="F81">
        <v>2</v>
      </c>
      <c r="G81">
        <v>44</v>
      </c>
      <c r="H81">
        <v>70</v>
      </c>
      <c r="I81">
        <v>1.5</v>
      </c>
      <c r="J81" s="15">
        <v>41494.337858796294</v>
      </c>
      <c r="K81" s="15">
        <v>41494.338275462964</v>
      </c>
      <c r="O81" s="17">
        <v>0.6000000040512532</v>
      </c>
      <c r="P81">
        <v>1</v>
      </c>
      <c r="Q81" s="39">
        <v>41494</v>
      </c>
    </row>
    <row r="82" spans="1:17" x14ac:dyDescent="0.3">
      <c r="A82" t="s">
        <v>284</v>
      </c>
      <c r="B82" t="s">
        <v>238</v>
      </c>
      <c r="C82" t="s">
        <v>89</v>
      </c>
      <c r="D82" t="s">
        <v>136</v>
      </c>
      <c r="E82">
        <v>3</v>
      </c>
      <c r="F82">
        <v>1</v>
      </c>
      <c r="G82">
        <v>44</v>
      </c>
      <c r="H82">
        <v>67</v>
      </c>
      <c r="I82">
        <v>0.5</v>
      </c>
      <c r="J82" s="15">
        <v>41494.357025462959</v>
      </c>
      <c r="K82" s="15">
        <v>41494.357858796298</v>
      </c>
      <c r="O82" s="17">
        <v>1.2000000081025064</v>
      </c>
      <c r="P82">
        <v>1</v>
      </c>
      <c r="Q82" s="39">
        <v>41494</v>
      </c>
    </row>
    <row r="83" spans="1:17" x14ac:dyDescent="0.3">
      <c r="A83" t="s">
        <v>285</v>
      </c>
      <c r="B83" t="s">
        <v>189</v>
      </c>
      <c r="C83" t="s">
        <v>102</v>
      </c>
      <c r="D83" t="s">
        <v>136</v>
      </c>
      <c r="E83">
        <v>4</v>
      </c>
      <c r="F83">
        <v>2</v>
      </c>
      <c r="G83">
        <v>11</v>
      </c>
      <c r="H83">
        <v>29</v>
      </c>
      <c r="I83">
        <v>1.5</v>
      </c>
      <c r="J83" s="15">
        <v>41494.357939814814</v>
      </c>
      <c r="K83" s="15">
        <v>41494.363310185188</v>
      </c>
      <c r="O83" s="17">
        <v>7.733333338983357</v>
      </c>
      <c r="P83">
        <v>1</v>
      </c>
      <c r="Q83" s="39">
        <v>41494</v>
      </c>
    </row>
    <row r="84" spans="1:17" x14ac:dyDescent="0.3">
      <c r="A84" t="s">
        <v>286</v>
      </c>
      <c r="B84" t="s">
        <v>189</v>
      </c>
      <c r="C84" t="s">
        <v>102</v>
      </c>
      <c r="D84" t="s">
        <v>136</v>
      </c>
      <c r="E84">
        <v>7</v>
      </c>
      <c r="F84">
        <v>3</v>
      </c>
      <c r="G84">
        <v>13</v>
      </c>
      <c r="H84">
        <v>32</v>
      </c>
      <c r="I84">
        <v>1.5</v>
      </c>
      <c r="J84" s="15">
        <v>41494.367974537039</v>
      </c>
      <c r="K84" s="15">
        <v>41494.375694444447</v>
      </c>
      <c r="O84" s="17">
        <v>11.116666666930541</v>
      </c>
      <c r="P84">
        <v>1</v>
      </c>
      <c r="Q84" s="39">
        <v>41494</v>
      </c>
    </row>
    <row r="85" spans="1:17" x14ac:dyDescent="0.3">
      <c r="A85" t="s">
        <v>287</v>
      </c>
      <c r="B85" t="s">
        <v>191</v>
      </c>
      <c r="C85" t="s">
        <v>72</v>
      </c>
      <c r="D85" t="s">
        <v>138</v>
      </c>
      <c r="E85">
        <v>28</v>
      </c>
      <c r="F85">
        <v>3</v>
      </c>
      <c r="G85">
        <v>18</v>
      </c>
      <c r="H85">
        <v>29</v>
      </c>
      <c r="I85">
        <v>2</v>
      </c>
      <c r="J85" s="15">
        <v>41494.375694444447</v>
      </c>
      <c r="K85" s="15">
        <v>41494.381018518521</v>
      </c>
      <c r="O85" s="17">
        <v>7.6666666672099382</v>
      </c>
      <c r="P85">
        <v>1</v>
      </c>
      <c r="Q85" s="39">
        <v>41494</v>
      </c>
    </row>
    <row r="86" spans="1:17" x14ac:dyDescent="0.3">
      <c r="A86" t="s">
        <v>288</v>
      </c>
      <c r="B86" t="s">
        <v>194</v>
      </c>
      <c r="C86" t="s">
        <v>135</v>
      </c>
      <c r="D86" t="s">
        <v>136</v>
      </c>
      <c r="E86">
        <v>2</v>
      </c>
      <c r="F86">
        <v>2</v>
      </c>
      <c r="G86">
        <v>7</v>
      </c>
      <c r="H86">
        <v>10</v>
      </c>
      <c r="I86">
        <v>2</v>
      </c>
      <c r="J86" s="15">
        <v>41494.381018518521</v>
      </c>
      <c r="K86" s="15">
        <v>41494.384120370371</v>
      </c>
      <c r="O86" s="17">
        <v>4.4666666630655527</v>
      </c>
      <c r="P86">
        <v>1</v>
      </c>
      <c r="Q86" s="39">
        <v>41494</v>
      </c>
    </row>
    <row r="87" spans="1:17" x14ac:dyDescent="0.3">
      <c r="A87" t="s">
        <v>289</v>
      </c>
      <c r="B87" t="s">
        <v>189</v>
      </c>
      <c r="C87" t="s">
        <v>102</v>
      </c>
      <c r="D87" t="s">
        <v>153</v>
      </c>
      <c r="E87">
        <v>25</v>
      </c>
      <c r="F87">
        <v>4</v>
      </c>
      <c r="G87">
        <v>25</v>
      </c>
      <c r="H87">
        <v>43</v>
      </c>
      <c r="I87">
        <v>1</v>
      </c>
      <c r="J87" s="15">
        <v>41494.384120370371</v>
      </c>
      <c r="K87" s="15">
        <v>41494.395451388889</v>
      </c>
      <c r="M87">
        <v>1</v>
      </c>
      <c r="O87" s="17">
        <v>16.316666667116806</v>
      </c>
      <c r="P87">
        <v>1</v>
      </c>
      <c r="Q87" s="39">
        <v>41494</v>
      </c>
    </row>
    <row r="88" spans="1:17" x14ac:dyDescent="0.3">
      <c r="A88" t="s">
        <v>290</v>
      </c>
      <c r="B88" t="s">
        <v>238</v>
      </c>
      <c r="C88" t="s">
        <v>89</v>
      </c>
      <c r="D88" t="s">
        <v>136</v>
      </c>
      <c r="E88">
        <v>4</v>
      </c>
      <c r="F88">
        <v>1</v>
      </c>
      <c r="G88">
        <v>44</v>
      </c>
      <c r="H88">
        <v>67</v>
      </c>
      <c r="I88">
        <v>0.25</v>
      </c>
      <c r="J88" s="15">
        <v>41494.688935185186</v>
      </c>
      <c r="K88" s="15">
        <v>41494.691516203704</v>
      </c>
      <c r="O88" s="17">
        <v>3.7166666658595204</v>
      </c>
      <c r="P88">
        <v>1</v>
      </c>
      <c r="Q88" s="39">
        <v>41494</v>
      </c>
    </row>
    <row r="89" spans="1:17" x14ac:dyDescent="0.3">
      <c r="A89" t="s">
        <v>291</v>
      </c>
      <c r="B89" t="s">
        <v>188</v>
      </c>
      <c r="C89" t="s">
        <v>88</v>
      </c>
      <c r="D89" t="s">
        <v>146</v>
      </c>
      <c r="E89">
        <v>41</v>
      </c>
      <c r="F89">
        <v>5</v>
      </c>
      <c r="G89">
        <v>42</v>
      </c>
      <c r="H89">
        <v>66</v>
      </c>
      <c r="I89">
        <v>1</v>
      </c>
      <c r="J89" s="15">
        <v>41494.688935185186</v>
      </c>
      <c r="K89" s="15">
        <v>41494.691516203704</v>
      </c>
      <c r="O89" s="17">
        <v>18.583333329297602</v>
      </c>
      <c r="P89">
        <v>1</v>
      </c>
      <c r="Q89" s="39">
        <v>41494</v>
      </c>
    </row>
    <row r="90" spans="1:17" x14ac:dyDescent="0.3">
      <c r="A90" t="s">
        <v>292</v>
      </c>
      <c r="B90" t="s">
        <v>161</v>
      </c>
      <c r="C90" t="s">
        <v>97</v>
      </c>
      <c r="D90" t="s">
        <v>140</v>
      </c>
      <c r="E90">
        <v>39</v>
      </c>
      <c r="F90">
        <v>3.25</v>
      </c>
      <c r="G90">
        <v>14</v>
      </c>
      <c r="H90">
        <v>20</v>
      </c>
      <c r="I90">
        <v>2.5</v>
      </c>
      <c r="J90" s="15">
        <v>41494.720578703702</v>
      </c>
      <c r="K90" s="15">
        <v>41494.724027777775</v>
      </c>
      <c r="O90" s="17">
        <v>4.9666666646953672</v>
      </c>
      <c r="P90">
        <v>1</v>
      </c>
      <c r="Q90" s="39">
        <v>41494</v>
      </c>
    </row>
    <row r="91" spans="1:17" x14ac:dyDescent="0.3">
      <c r="A91" t="s">
        <v>293</v>
      </c>
      <c r="B91" t="s">
        <v>181</v>
      </c>
      <c r="C91" t="s">
        <v>91</v>
      </c>
      <c r="D91" t="s">
        <v>136</v>
      </c>
      <c r="E91">
        <v>5</v>
      </c>
      <c r="F91">
        <v>1</v>
      </c>
      <c r="G91">
        <v>36</v>
      </c>
      <c r="H91">
        <v>56</v>
      </c>
      <c r="I91">
        <v>0</v>
      </c>
      <c r="J91" s="15">
        <v>41494.724027777775</v>
      </c>
      <c r="K91" s="15">
        <v>41494.725347222222</v>
      </c>
      <c r="O91" s="17">
        <v>1.9000000040978193</v>
      </c>
      <c r="P91">
        <v>1</v>
      </c>
      <c r="Q91" s="39">
        <v>41494</v>
      </c>
    </row>
    <row r="92" spans="1:17" x14ac:dyDescent="0.3">
      <c r="A92" t="s">
        <v>294</v>
      </c>
      <c r="B92" t="s">
        <v>188</v>
      </c>
      <c r="C92" t="s">
        <v>88</v>
      </c>
      <c r="D92" t="s">
        <v>138</v>
      </c>
      <c r="E92">
        <v>21</v>
      </c>
      <c r="F92">
        <v>2</v>
      </c>
      <c r="G92">
        <v>31</v>
      </c>
      <c r="H92">
        <v>57</v>
      </c>
      <c r="I92">
        <v>1</v>
      </c>
      <c r="J92" s="15">
        <v>41494.725347222222</v>
      </c>
      <c r="K92" s="15">
        <v>41494.72934027778</v>
      </c>
      <c r="O92" s="17">
        <v>5.7500000030267984</v>
      </c>
      <c r="P92">
        <v>1</v>
      </c>
      <c r="Q92" s="39">
        <v>41494</v>
      </c>
    </row>
    <row r="93" spans="1:17" x14ac:dyDescent="0.3">
      <c r="A93" t="s">
        <v>295</v>
      </c>
      <c r="B93" t="s">
        <v>238</v>
      </c>
      <c r="C93" t="s">
        <v>89</v>
      </c>
      <c r="D93" t="s">
        <v>156</v>
      </c>
      <c r="E93">
        <v>41</v>
      </c>
      <c r="F93">
        <v>3</v>
      </c>
      <c r="G93">
        <v>56</v>
      </c>
      <c r="H93">
        <v>84</v>
      </c>
      <c r="I93">
        <v>2</v>
      </c>
      <c r="J93" s="15">
        <v>41494.737372685187</v>
      </c>
      <c r="K93" s="15">
        <v>41494.742314814815</v>
      </c>
      <c r="O93" s="17">
        <v>7.1166666643694043</v>
      </c>
      <c r="P93">
        <v>1</v>
      </c>
      <c r="Q93" s="39">
        <v>41494</v>
      </c>
    </row>
    <row r="94" spans="1:17" x14ac:dyDescent="0.3">
      <c r="A94" t="s">
        <v>296</v>
      </c>
      <c r="B94" t="s">
        <v>189</v>
      </c>
      <c r="C94" t="s">
        <v>102</v>
      </c>
      <c r="D94" t="s">
        <v>144</v>
      </c>
      <c r="E94">
        <v>33</v>
      </c>
      <c r="F94">
        <v>2</v>
      </c>
      <c r="G94">
        <v>21</v>
      </c>
      <c r="H94">
        <v>39</v>
      </c>
      <c r="I94">
        <v>1.25</v>
      </c>
      <c r="J94" s="15">
        <v>41494.744930555556</v>
      </c>
      <c r="K94" s="15">
        <v>41494.758206018516</v>
      </c>
      <c r="O94" s="17">
        <v>19.116666661575437</v>
      </c>
      <c r="P94">
        <v>1</v>
      </c>
      <c r="Q94" s="39">
        <v>41494</v>
      </c>
    </row>
    <row r="95" spans="1:17" x14ac:dyDescent="0.3">
      <c r="A95" t="s">
        <v>297</v>
      </c>
      <c r="B95" t="s">
        <v>191</v>
      </c>
      <c r="C95" t="s">
        <v>72</v>
      </c>
      <c r="D95" t="s">
        <v>136</v>
      </c>
      <c r="E95">
        <v>1</v>
      </c>
      <c r="F95">
        <v>2</v>
      </c>
      <c r="G95">
        <v>15</v>
      </c>
      <c r="H95">
        <v>25</v>
      </c>
      <c r="I95">
        <v>1</v>
      </c>
      <c r="J95" s="15">
        <v>41494.759375000001</v>
      </c>
      <c r="K95" s="15">
        <v>41494.764143518521</v>
      </c>
      <c r="O95" s="17">
        <v>6.8666666687931865</v>
      </c>
      <c r="P95">
        <v>1</v>
      </c>
      <c r="Q95" s="39">
        <v>41494</v>
      </c>
    </row>
    <row r="96" spans="1:17" x14ac:dyDescent="0.3">
      <c r="A96" t="s">
        <v>298</v>
      </c>
      <c r="B96" t="s">
        <v>189</v>
      </c>
      <c r="C96" t="s">
        <v>102</v>
      </c>
      <c r="D96" t="s">
        <v>136</v>
      </c>
      <c r="E96">
        <v>9</v>
      </c>
      <c r="F96">
        <v>1</v>
      </c>
      <c r="G96">
        <v>13</v>
      </c>
      <c r="H96">
        <v>33</v>
      </c>
      <c r="I96">
        <v>0.75</v>
      </c>
      <c r="J96" s="15">
        <v>41494.764143518521</v>
      </c>
      <c r="K96" s="15">
        <v>41494.764768518522</v>
      </c>
      <c r="N96" t="s">
        <v>265</v>
      </c>
      <c r="O96" s="17">
        <v>0.90000000083819032</v>
      </c>
      <c r="P96">
        <v>1</v>
      </c>
      <c r="Q96" s="39">
        <v>41494</v>
      </c>
    </row>
    <row r="97" spans="1:17" x14ac:dyDescent="0.3">
      <c r="A97" t="s">
        <v>299</v>
      </c>
      <c r="B97" t="s">
        <v>189</v>
      </c>
      <c r="C97" t="s">
        <v>102</v>
      </c>
      <c r="D97" t="s">
        <v>150</v>
      </c>
      <c r="E97">
        <v>24</v>
      </c>
      <c r="F97">
        <v>3.5</v>
      </c>
      <c r="G97">
        <v>22</v>
      </c>
      <c r="H97">
        <v>42</v>
      </c>
      <c r="I97">
        <v>3.5</v>
      </c>
      <c r="J97" s="15">
        <v>41494.764768518522</v>
      </c>
      <c r="K97" s="15">
        <v>41494.773194444446</v>
      </c>
      <c r="O97" s="17">
        <v>12.133333330275491</v>
      </c>
      <c r="P97">
        <v>1</v>
      </c>
      <c r="Q97" s="39">
        <v>41494</v>
      </c>
    </row>
    <row r="98" spans="1:17" x14ac:dyDescent="0.3">
      <c r="A98" t="s">
        <v>300</v>
      </c>
      <c r="B98" t="s">
        <v>181</v>
      </c>
      <c r="C98" t="s">
        <v>91</v>
      </c>
      <c r="D98" t="s">
        <v>138</v>
      </c>
      <c r="E98">
        <v>20</v>
      </c>
      <c r="F98">
        <v>1</v>
      </c>
      <c r="G98">
        <v>46</v>
      </c>
      <c r="H98">
        <v>83</v>
      </c>
      <c r="I98">
        <v>0.5</v>
      </c>
      <c r="J98" s="15">
        <v>41494.773194444446</v>
      </c>
      <c r="K98" s="15">
        <v>41494.774386574078</v>
      </c>
      <c r="O98" s="17">
        <v>1.7166666698176414</v>
      </c>
      <c r="P98">
        <v>1</v>
      </c>
      <c r="Q98" s="39">
        <v>41494</v>
      </c>
    </row>
    <row r="99" spans="1:17" x14ac:dyDescent="0.3">
      <c r="A99" t="s">
        <v>301</v>
      </c>
      <c r="B99" t="s">
        <v>188</v>
      </c>
      <c r="C99" t="s">
        <v>88</v>
      </c>
      <c r="D99" t="s">
        <v>150</v>
      </c>
      <c r="E99">
        <v>28</v>
      </c>
      <c r="F99">
        <v>4.5</v>
      </c>
      <c r="G99">
        <v>45</v>
      </c>
      <c r="H99">
        <v>71</v>
      </c>
      <c r="I99">
        <v>3</v>
      </c>
      <c r="J99" s="15">
        <v>41494.788344907407</v>
      </c>
      <c r="K99" s="15">
        <v>41494.789606481485</v>
      </c>
      <c r="O99" s="17">
        <v>1.8166666722390801</v>
      </c>
      <c r="P99">
        <v>1</v>
      </c>
      <c r="Q99" s="39">
        <v>41494</v>
      </c>
    </row>
    <row r="100" spans="1:17" x14ac:dyDescent="0.3">
      <c r="A100" t="s">
        <v>302</v>
      </c>
      <c r="B100" t="s">
        <v>163</v>
      </c>
      <c r="C100" t="s">
        <v>90</v>
      </c>
      <c r="D100" t="s">
        <v>136</v>
      </c>
      <c r="E100">
        <v>3</v>
      </c>
      <c r="F100">
        <v>1</v>
      </c>
      <c r="G100">
        <v>21</v>
      </c>
      <c r="H100">
        <v>31</v>
      </c>
      <c r="I100">
        <v>0.75</v>
      </c>
      <c r="J100" s="15">
        <v>41495.364629629628</v>
      </c>
      <c r="K100" s="15">
        <v>41495.371817129628</v>
      </c>
      <c r="O100" s="17">
        <v>10.34999999916181</v>
      </c>
      <c r="P100">
        <v>1</v>
      </c>
      <c r="Q100" s="39">
        <v>41495</v>
      </c>
    </row>
    <row r="101" spans="1:17" x14ac:dyDescent="0.3">
      <c r="A101" t="s">
        <v>303</v>
      </c>
      <c r="B101" t="s">
        <v>161</v>
      </c>
      <c r="C101" t="s">
        <v>97</v>
      </c>
      <c r="D101" t="s">
        <v>142</v>
      </c>
      <c r="E101">
        <v>40</v>
      </c>
      <c r="F101">
        <v>3</v>
      </c>
      <c r="G101">
        <v>15</v>
      </c>
      <c r="H101">
        <v>21</v>
      </c>
      <c r="I101">
        <v>2.75</v>
      </c>
      <c r="J101" s="15">
        <v>41495.371817129628</v>
      </c>
      <c r="K101" s="15">
        <v>41495.374479166669</v>
      </c>
      <c r="O101" s="17">
        <v>3.8333333388436586</v>
      </c>
      <c r="P101">
        <v>1</v>
      </c>
      <c r="Q101" s="39">
        <v>41495</v>
      </c>
    </row>
    <row r="102" spans="1:17" x14ac:dyDescent="0.3">
      <c r="A102" t="s">
        <v>304</v>
      </c>
      <c r="B102" t="s">
        <v>161</v>
      </c>
      <c r="C102" t="s">
        <v>97</v>
      </c>
      <c r="D102" t="s">
        <v>138</v>
      </c>
      <c r="E102">
        <v>5</v>
      </c>
      <c r="F102">
        <v>1</v>
      </c>
      <c r="G102">
        <v>12</v>
      </c>
      <c r="H102">
        <v>18</v>
      </c>
      <c r="I102">
        <v>1</v>
      </c>
      <c r="J102" s="15">
        <v>41495.374479166669</v>
      </c>
      <c r="K102" s="15">
        <v>41495.376273148147</v>
      </c>
      <c r="O102" s="17">
        <v>2.5833333295304328</v>
      </c>
      <c r="P102">
        <v>1</v>
      </c>
      <c r="Q102" s="39">
        <v>41495</v>
      </c>
    </row>
    <row r="103" spans="1:17" x14ac:dyDescent="0.3">
      <c r="A103" t="s">
        <v>305</v>
      </c>
      <c r="B103" t="s">
        <v>187</v>
      </c>
      <c r="C103" t="s">
        <v>95</v>
      </c>
      <c r="D103" t="s">
        <v>150</v>
      </c>
      <c r="E103">
        <v>7</v>
      </c>
      <c r="F103">
        <v>3</v>
      </c>
      <c r="G103">
        <v>55</v>
      </c>
      <c r="H103">
        <v>87</v>
      </c>
      <c r="I103">
        <v>2</v>
      </c>
      <c r="J103" s="15">
        <v>41495.378113425926</v>
      </c>
      <c r="K103" s="15">
        <v>41495.386018518519</v>
      </c>
      <c r="O103" s="17">
        <v>11.383333333069459</v>
      </c>
      <c r="P103">
        <v>1</v>
      </c>
      <c r="Q103" s="39">
        <v>41495</v>
      </c>
    </row>
    <row r="104" spans="1:17" x14ac:dyDescent="0.3">
      <c r="A104" t="s">
        <v>306</v>
      </c>
      <c r="B104" t="s">
        <v>188</v>
      </c>
      <c r="C104" t="s">
        <v>88</v>
      </c>
      <c r="D104" t="s">
        <v>140</v>
      </c>
      <c r="E104">
        <v>41</v>
      </c>
      <c r="F104">
        <v>2.5</v>
      </c>
      <c r="G104">
        <v>35</v>
      </c>
      <c r="H104">
        <v>60</v>
      </c>
      <c r="I104">
        <v>2</v>
      </c>
      <c r="J104" s="15">
        <v>41495.386018518519</v>
      </c>
      <c r="K104" s="15">
        <v>41495.396747685183</v>
      </c>
      <c r="O104" s="17">
        <v>15.449999996926636</v>
      </c>
      <c r="P104">
        <v>1</v>
      </c>
      <c r="Q104" s="39">
        <v>41495</v>
      </c>
    </row>
    <row r="105" spans="1:17" x14ac:dyDescent="0.3">
      <c r="A105" t="s">
        <v>307</v>
      </c>
      <c r="B105" t="s">
        <v>186</v>
      </c>
      <c r="C105" t="s">
        <v>98</v>
      </c>
      <c r="D105" t="s">
        <v>144</v>
      </c>
      <c r="E105">
        <v>16</v>
      </c>
      <c r="F105">
        <v>1</v>
      </c>
      <c r="G105">
        <v>24</v>
      </c>
      <c r="H105">
        <v>50</v>
      </c>
      <c r="I105">
        <v>0.75</v>
      </c>
      <c r="J105" s="15">
        <v>41495.40415509259</v>
      </c>
      <c r="K105" s="15">
        <v>41495.407731481479</v>
      </c>
      <c r="O105" s="17">
        <v>5.1499999989755452</v>
      </c>
      <c r="P105">
        <v>1</v>
      </c>
      <c r="Q105" s="39">
        <v>41495</v>
      </c>
    </row>
    <row r="106" spans="1:17" x14ac:dyDescent="0.3">
      <c r="A106" t="s">
        <v>308</v>
      </c>
      <c r="B106" t="s">
        <v>238</v>
      </c>
      <c r="C106" t="s">
        <v>89</v>
      </c>
      <c r="D106" t="s">
        <v>136</v>
      </c>
      <c r="E106">
        <v>1</v>
      </c>
      <c r="F106">
        <v>1</v>
      </c>
      <c r="G106">
        <v>44</v>
      </c>
      <c r="H106">
        <v>67</v>
      </c>
      <c r="I106">
        <v>1</v>
      </c>
      <c r="J106" s="15">
        <v>41495.407731481479</v>
      </c>
      <c r="K106" s="15">
        <v>41495.407905092594</v>
      </c>
      <c r="O106" s="17">
        <v>0.25000000605359674</v>
      </c>
      <c r="P106">
        <v>1</v>
      </c>
      <c r="Q106" s="39">
        <v>41495</v>
      </c>
    </row>
    <row r="107" spans="1:17" x14ac:dyDescent="0.3">
      <c r="A107" t="s">
        <v>309</v>
      </c>
      <c r="B107" t="s">
        <v>187</v>
      </c>
      <c r="C107" t="s">
        <v>95</v>
      </c>
      <c r="D107" t="s">
        <v>153</v>
      </c>
      <c r="E107">
        <v>35</v>
      </c>
      <c r="F107">
        <v>2</v>
      </c>
      <c r="G107">
        <v>57</v>
      </c>
      <c r="H107">
        <v>91</v>
      </c>
      <c r="I107">
        <v>1</v>
      </c>
      <c r="J107" s="15">
        <v>41495.407905092594</v>
      </c>
      <c r="K107" s="15">
        <v>41495.409317129626</v>
      </c>
      <c r="O107" s="17">
        <v>2.033333326689899</v>
      </c>
      <c r="P107">
        <v>1</v>
      </c>
      <c r="Q107" s="39">
        <v>41495</v>
      </c>
    </row>
    <row r="108" spans="1:17" x14ac:dyDescent="0.3">
      <c r="A108" t="s">
        <v>310</v>
      </c>
      <c r="B108" t="s">
        <v>181</v>
      </c>
      <c r="C108" t="s">
        <v>91</v>
      </c>
      <c r="D108" t="s">
        <v>142</v>
      </c>
      <c r="E108">
        <v>34</v>
      </c>
      <c r="F108">
        <v>2</v>
      </c>
      <c r="G108">
        <v>50</v>
      </c>
      <c r="H108">
        <v>87</v>
      </c>
      <c r="I108">
        <v>0.5</v>
      </c>
      <c r="J108" s="15">
        <v>41495.412569444445</v>
      </c>
      <c r="K108" s="15">
        <v>41495.413657407407</v>
      </c>
      <c r="O108" s="17">
        <v>1.5666666661854833</v>
      </c>
      <c r="P108">
        <v>1</v>
      </c>
      <c r="Q108" s="39">
        <v>41495</v>
      </c>
    </row>
    <row r="109" spans="1:17" x14ac:dyDescent="0.3">
      <c r="A109" t="s">
        <v>311</v>
      </c>
      <c r="B109" t="s">
        <v>191</v>
      </c>
      <c r="C109" t="s">
        <v>72</v>
      </c>
      <c r="D109" t="s">
        <v>146</v>
      </c>
      <c r="E109">
        <v>40</v>
      </c>
      <c r="F109">
        <v>2</v>
      </c>
      <c r="G109">
        <v>22</v>
      </c>
      <c r="H109">
        <v>35</v>
      </c>
      <c r="I109">
        <v>0.75</v>
      </c>
      <c r="J109" s="15">
        <v>41495.415300925924</v>
      </c>
      <c r="K109" s="15">
        <v>41495.416851851849</v>
      </c>
      <c r="O109" s="17">
        <v>2.2333333315327764</v>
      </c>
      <c r="P109">
        <v>1</v>
      </c>
      <c r="Q109" s="39">
        <v>41495</v>
      </c>
    </row>
    <row r="110" spans="1:17" x14ac:dyDescent="0.3">
      <c r="A110" t="s">
        <v>312</v>
      </c>
      <c r="B110" t="s">
        <v>158</v>
      </c>
      <c r="C110" t="s">
        <v>18</v>
      </c>
      <c r="D110" t="s">
        <v>193</v>
      </c>
      <c r="E110">
        <v>32</v>
      </c>
      <c r="F110">
        <v>3</v>
      </c>
      <c r="G110">
        <v>27</v>
      </c>
      <c r="H110">
        <v>38</v>
      </c>
      <c r="I110">
        <v>1</v>
      </c>
      <c r="J110" s="15">
        <v>41495.657812500001</v>
      </c>
      <c r="K110" s="15">
        <v>41495.663854166669</v>
      </c>
      <c r="O110" s="17">
        <v>8.7000000011175871</v>
      </c>
      <c r="P110">
        <v>1</v>
      </c>
      <c r="Q110" s="39">
        <v>41495</v>
      </c>
    </row>
    <row r="111" spans="1:17" x14ac:dyDescent="0.3">
      <c r="A111" t="s">
        <v>313</v>
      </c>
      <c r="B111" t="s">
        <v>238</v>
      </c>
      <c r="C111" t="s">
        <v>89</v>
      </c>
      <c r="D111" t="s">
        <v>144</v>
      </c>
      <c r="E111">
        <v>43</v>
      </c>
      <c r="F111">
        <v>3</v>
      </c>
      <c r="G111">
        <v>58</v>
      </c>
      <c r="H111">
        <v>96</v>
      </c>
      <c r="I111">
        <v>3</v>
      </c>
      <c r="J111" s="15">
        <v>41495.663854166669</v>
      </c>
      <c r="K111" s="15">
        <v>41495.66547453704</v>
      </c>
      <c r="O111" s="17">
        <v>2.333333333954215</v>
      </c>
      <c r="P111">
        <v>1</v>
      </c>
      <c r="Q111" s="39">
        <v>41495</v>
      </c>
    </row>
    <row r="112" spans="1:17" x14ac:dyDescent="0.3">
      <c r="A112" t="s">
        <v>314</v>
      </c>
      <c r="B112" t="s">
        <v>189</v>
      </c>
      <c r="C112" t="s">
        <v>102</v>
      </c>
      <c r="D112" t="s">
        <v>140</v>
      </c>
      <c r="E112">
        <v>36</v>
      </c>
      <c r="F112">
        <v>4</v>
      </c>
      <c r="G112">
        <v>19</v>
      </c>
      <c r="H112">
        <v>37</v>
      </c>
      <c r="I112">
        <v>2.5</v>
      </c>
      <c r="J112" s="15">
        <v>41495.66547453704</v>
      </c>
      <c r="K112" s="15">
        <v>41495.67832175926</v>
      </c>
      <c r="O112" s="17">
        <v>18.499999997438863</v>
      </c>
      <c r="P112">
        <v>1</v>
      </c>
      <c r="Q112" s="39">
        <v>41495</v>
      </c>
    </row>
    <row r="113" spans="1:17" x14ac:dyDescent="0.3">
      <c r="A113" t="s">
        <v>315</v>
      </c>
      <c r="B113" t="s">
        <v>188</v>
      </c>
      <c r="C113" t="s">
        <v>88</v>
      </c>
      <c r="D113" t="s">
        <v>136</v>
      </c>
      <c r="E113">
        <v>2</v>
      </c>
      <c r="F113">
        <v>1</v>
      </c>
      <c r="G113">
        <v>25</v>
      </c>
      <c r="H113">
        <v>51</v>
      </c>
      <c r="I113">
        <v>1</v>
      </c>
      <c r="J113" s="15">
        <v>41495.686331018522</v>
      </c>
      <c r="K113" s="15">
        <v>41495.691516203704</v>
      </c>
      <c r="O113" s="17">
        <v>7.4666666623670608</v>
      </c>
      <c r="P113">
        <v>1</v>
      </c>
      <c r="Q113" s="39">
        <v>41495</v>
      </c>
    </row>
    <row r="114" spans="1:17" x14ac:dyDescent="0.3">
      <c r="A114" t="s">
        <v>316</v>
      </c>
      <c r="B114" t="s">
        <v>181</v>
      </c>
      <c r="C114" t="s">
        <v>91</v>
      </c>
      <c r="D114" t="s">
        <v>136</v>
      </c>
      <c r="E114">
        <v>3</v>
      </c>
      <c r="F114">
        <v>1</v>
      </c>
      <c r="G114">
        <v>35</v>
      </c>
      <c r="H114">
        <v>55</v>
      </c>
      <c r="I114">
        <v>0.5</v>
      </c>
      <c r="J114" s="15">
        <v>41495.691516203704</v>
      </c>
      <c r="K114" s="15">
        <v>41495.69258101852</v>
      </c>
      <c r="O114" s="17">
        <v>1.5333333355374634</v>
      </c>
      <c r="P114">
        <v>1</v>
      </c>
      <c r="Q114" s="39">
        <v>41495</v>
      </c>
    </row>
    <row r="115" spans="1:17" x14ac:dyDescent="0.3">
      <c r="A115" t="s">
        <v>317</v>
      </c>
      <c r="B115" t="s">
        <v>238</v>
      </c>
      <c r="C115" t="s">
        <v>89</v>
      </c>
      <c r="D115" t="s">
        <v>138</v>
      </c>
      <c r="E115">
        <v>39</v>
      </c>
      <c r="F115">
        <v>2</v>
      </c>
      <c r="G115">
        <v>56</v>
      </c>
      <c r="H115">
        <v>87</v>
      </c>
      <c r="I115">
        <v>2</v>
      </c>
      <c r="J115" s="15">
        <v>41495.69258101852</v>
      </c>
      <c r="K115" s="15">
        <v>41495.694502314815</v>
      </c>
      <c r="O115" s="17">
        <v>2.7666666638106108</v>
      </c>
      <c r="P115">
        <v>1</v>
      </c>
      <c r="Q115" s="39">
        <v>41495</v>
      </c>
    </row>
    <row r="116" spans="1:17" x14ac:dyDescent="0.3">
      <c r="A116" t="s">
        <v>318</v>
      </c>
      <c r="B116" t="s">
        <v>189</v>
      </c>
      <c r="C116" t="s">
        <v>102</v>
      </c>
      <c r="D116" t="s">
        <v>136</v>
      </c>
      <c r="E116">
        <v>2</v>
      </c>
      <c r="F116">
        <v>2</v>
      </c>
      <c r="G116">
        <v>11</v>
      </c>
      <c r="H116">
        <v>28</v>
      </c>
      <c r="I116">
        <v>2</v>
      </c>
      <c r="J116" s="15">
        <v>41495.694502314815</v>
      </c>
      <c r="K116" s="15">
        <v>41495.698414351849</v>
      </c>
      <c r="O116" s="17">
        <v>5.6333333300426602</v>
      </c>
      <c r="P116">
        <v>1</v>
      </c>
      <c r="Q116" s="39">
        <v>41495</v>
      </c>
    </row>
    <row r="117" spans="1:17" x14ac:dyDescent="0.3">
      <c r="A117" t="s">
        <v>319</v>
      </c>
      <c r="B117" t="s">
        <v>191</v>
      </c>
      <c r="C117" t="s">
        <v>72</v>
      </c>
      <c r="D117" t="s">
        <v>142</v>
      </c>
      <c r="E117">
        <v>3</v>
      </c>
      <c r="F117">
        <v>1</v>
      </c>
      <c r="G117">
        <v>20</v>
      </c>
      <c r="H117">
        <v>33</v>
      </c>
      <c r="I117">
        <v>0</v>
      </c>
      <c r="J117" s="15">
        <v>41495.698414351849</v>
      </c>
      <c r="K117" s="15">
        <v>41495.700960648152</v>
      </c>
      <c r="O117" s="17">
        <v>3.6666666751261801</v>
      </c>
      <c r="P117">
        <v>1</v>
      </c>
      <c r="Q117" s="39">
        <v>41495</v>
      </c>
    </row>
    <row r="118" spans="1:17" x14ac:dyDescent="0.3">
      <c r="A118" t="s">
        <v>320</v>
      </c>
      <c r="B118" t="s">
        <v>191</v>
      </c>
      <c r="C118" t="s">
        <v>72</v>
      </c>
      <c r="D118" t="s">
        <v>150</v>
      </c>
      <c r="E118">
        <v>27</v>
      </c>
      <c r="F118">
        <v>2</v>
      </c>
      <c r="G118">
        <v>22</v>
      </c>
      <c r="H118">
        <v>36</v>
      </c>
      <c r="I118">
        <v>1</v>
      </c>
      <c r="J118" s="15">
        <v>41495.700960648152</v>
      </c>
      <c r="K118" s="15">
        <v>41495.703680555554</v>
      </c>
      <c r="O118" s="17">
        <v>3.9166666602250189</v>
      </c>
      <c r="P118">
        <v>1</v>
      </c>
      <c r="Q118" s="39">
        <v>41495</v>
      </c>
    </row>
    <row r="119" spans="1:17" x14ac:dyDescent="0.3">
      <c r="A119" t="s">
        <v>321</v>
      </c>
      <c r="B119" t="s">
        <v>188</v>
      </c>
      <c r="C119" t="s">
        <v>88</v>
      </c>
      <c r="D119" t="s">
        <v>138</v>
      </c>
      <c r="E119">
        <v>22</v>
      </c>
      <c r="F119">
        <v>3</v>
      </c>
      <c r="G119">
        <v>32</v>
      </c>
      <c r="H119">
        <v>58</v>
      </c>
      <c r="I119">
        <v>0.5</v>
      </c>
      <c r="J119" s="15">
        <v>41495.703680555554</v>
      </c>
      <c r="K119" s="15">
        <v>41495.710486111115</v>
      </c>
      <c r="M119">
        <v>1</v>
      </c>
      <c r="O119" s="17">
        <v>9.8000000067986548</v>
      </c>
      <c r="P119">
        <v>1</v>
      </c>
      <c r="Q119" s="39">
        <v>41495</v>
      </c>
    </row>
    <row r="120" spans="1:17" x14ac:dyDescent="0.3">
      <c r="A120" t="s">
        <v>322</v>
      </c>
      <c r="B120" t="s">
        <v>166</v>
      </c>
      <c r="C120" t="s">
        <v>92</v>
      </c>
      <c r="D120" t="s">
        <v>136</v>
      </c>
      <c r="E120">
        <v>3</v>
      </c>
      <c r="F120">
        <v>5</v>
      </c>
      <c r="G120">
        <v>31</v>
      </c>
      <c r="H120">
        <v>46</v>
      </c>
      <c r="I120">
        <v>1</v>
      </c>
      <c r="J120" s="15">
        <v>41495.739571759259</v>
      </c>
      <c r="K120" s="15">
        <v>41495.743449074071</v>
      </c>
      <c r="M120">
        <v>1</v>
      </c>
      <c r="N120" t="s">
        <v>265</v>
      </c>
      <c r="O120" s="17">
        <v>5.5833333288319409</v>
      </c>
      <c r="P120">
        <v>1</v>
      </c>
      <c r="Q120" s="39">
        <v>41495</v>
      </c>
    </row>
    <row r="121" spans="1:17" x14ac:dyDescent="0.3">
      <c r="A121" t="s">
        <v>323</v>
      </c>
      <c r="B121" t="s">
        <v>185</v>
      </c>
      <c r="C121" t="s">
        <v>93</v>
      </c>
      <c r="D121" t="s">
        <v>136</v>
      </c>
      <c r="E121">
        <v>34</v>
      </c>
      <c r="F121">
        <v>1</v>
      </c>
      <c r="G121">
        <v>34</v>
      </c>
      <c r="H121">
        <v>53</v>
      </c>
      <c r="I121">
        <v>0</v>
      </c>
      <c r="J121" s="15">
        <v>41495.748437499999</v>
      </c>
      <c r="K121" s="15">
        <v>41495.752800925926</v>
      </c>
      <c r="M121">
        <v>1</v>
      </c>
      <c r="O121" s="17">
        <v>6.2833333353046328</v>
      </c>
      <c r="P121">
        <v>1</v>
      </c>
      <c r="Q121" s="39">
        <v>41495</v>
      </c>
    </row>
    <row r="122" spans="1:17" x14ac:dyDescent="0.3">
      <c r="A122" t="s">
        <v>324</v>
      </c>
      <c r="B122" t="s">
        <v>187</v>
      </c>
      <c r="C122" t="s">
        <v>95</v>
      </c>
      <c r="D122" t="s">
        <v>136</v>
      </c>
      <c r="E122">
        <v>2</v>
      </c>
      <c r="F122">
        <v>1</v>
      </c>
      <c r="G122">
        <v>41</v>
      </c>
      <c r="H122">
        <v>60</v>
      </c>
      <c r="I122">
        <v>0</v>
      </c>
      <c r="J122" s="15">
        <v>41495.756018518521</v>
      </c>
      <c r="K122" s="15">
        <v>41495.75644675926</v>
      </c>
      <c r="O122" s="17">
        <v>0.61666666413657367</v>
      </c>
      <c r="P122">
        <v>1</v>
      </c>
      <c r="Q122" s="39">
        <v>41495</v>
      </c>
    </row>
    <row r="123" spans="1:17" x14ac:dyDescent="0.3">
      <c r="A123" t="s">
        <v>325</v>
      </c>
      <c r="B123" t="s">
        <v>190</v>
      </c>
      <c r="C123" t="s">
        <v>87</v>
      </c>
      <c r="D123" t="s">
        <v>136</v>
      </c>
      <c r="E123">
        <v>5</v>
      </c>
      <c r="F123">
        <v>2</v>
      </c>
      <c r="G123">
        <v>35</v>
      </c>
      <c r="H123">
        <v>54</v>
      </c>
      <c r="I123">
        <v>1.5</v>
      </c>
      <c r="J123" s="15">
        <v>41495.75644675926</v>
      </c>
      <c r="K123" s="15">
        <v>41495.76053240741</v>
      </c>
      <c r="O123" s="17">
        <v>5.883333336096257</v>
      </c>
      <c r="P123">
        <v>1</v>
      </c>
      <c r="Q123" s="39">
        <v>41495</v>
      </c>
    </row>
    <row r="124" spans="1:17" x14ac:dyDescent="0.3">
      <c r="A124" t="s">
        <v>326</v>
      </c>
      <c r="B124" t="s">
        <v>187</v>
      </c>
      <c r="C124" t="s">
        <v>95</v>
      </c>
      <c r="D124" t="s">
        <v>136</v>
      </c>
      <c r="E124">
        <v>8</v>
      </c>
      <c r="F124">
        <v>4</v>
      </c>
      <c r="G124">
        <v>44</v>
      </c>
      <c r="H124">
        <v>70</v>
      </c>
      <c r="I124">
        <v>2</v>
      </c>
      <c r="J124" s="15">
        <v>41495.76053240741</v>
      </c>
      <c r="K124" s="15">
        <v>41495.771354166667</v>
      </c>
      <c r="M124">
        <v>1</v>
      </c>
      <c r="O124" s="17">
        <v>15.583333329996094</v>
      </c>
      <c r="P124">
        <v>1</v>
      </c>
      <c r="Q124" s="39">
        <v>41495</v>
      </c>
    </row>
    <row r="125" spans="1:17" x14ac:dyDescent="0.3">
      <c r="A125" t="s">
        <v>327</v>
      </c>
      <c r="B125" t="s">
        <v>163</v>
      </c>
      <c r="C125" t="s">
        <v>90</v>
      </c>
      <c r="D125" t="s">
        <v>136</v>
      </c>
      <c r="E125">
        <v>4</v>
      </c>
      <c r="F125">
        <v>1</v>
      </c>
      <c r="G125">
        <v>21</v>
      </c>
      <c r="H125">
        <v>32</v>
      </c>
      <c r="I125">
        <v>0</v>
      </c>
      <c r="J125" s="15">
        <v>41495.771354166667</v>
      </c>
      <c r="K125" s="15">
        <v>41495.771770833337</v>
      </c>
      <c r="M125">
        <v>1</v>
      </c>
      <c r="O125" s="17">
        <v>0.6000000040512532</v>
      </c>
      <c r="P125">
        <v>1</v>
      </c>
      <c r="Q125" s="39">
        <v>41495</v>
      </c>
    </row>
    <row r="126" spans="1:17" x14ac:dyDescent="0.3">
      <c r="A126" t="s">
        <v>328</v>
      </c>
      <c r="B126" t="s">
        <v>191</v>
      </c>
      <c r="C126" t="s">
        <v>72</v>
      </c>
      <c r="D126" t="s">
        <v>140</v>
      </c>
      <c r="E126">
        <v>19</v>
      </c>
      <c r="F126">
        <v>1</v>
      </c>
      <c r="G126">
        <v>19</v>
      </c>
      <c r="H126">
        <v>31</v>
      </c>
      <c r="I126">
        <v>0</v>
      </c>
      <c r="J126" s="15">
        <v>41495.771770833337</v>
      </c>
      <c r="K126" s="15">
        <v>41495.772280092591</v>
      </c>
      <c r="O126" s="17">
        <v>0.73333332664333284</v>
      </c>
      <c r="P126">
        <v>1</v>
      </c>
      <c r="Q126" s="39">
        <v>41495</v>
      </c>
    </row>
    <row r="127" spans="1:17" x14ac:dyDescent="0.3">
      <c r="A127" t="s">
        <v>329</v>
      </c>
      <c r="B127" t="s">
        <v>158</v>
      </c>
      <c r="C127" t="s">
        <v>18</v>
      </c>
      <c r="D127" t="s">
        <v>136</v>
      </c>
      <c r="E127">
        <v>2</v>
      </c>
      <c r="F127">
        <v>3</v>
      </c>
      <c r="G127">
        <v>26</v>
      </c>
      <c r="H127">
        <v>34</v>
      </c>
      <c r="I127">
        <v>3</v>
      </c>
      <c r="J127" s="15">
        <v>41495.772280092591</v>
      </c>
      <c r="K127" s="15">
        <v>41495.773344907408</v>
      </c>
      <c r="O127" s="17">
        <v>1.5333333355374634</v>
      </c>
      <c r="P127">
        <v>1</v>
      </c>
      <c r="Q127" s="39">
        <v>41495</v>
      </c>
    </row>
    <row r="128" spans="1:17" x14ac:dyDescent="0.3">
      <c r="A128" t="s">
        <v>330</v>
      </c>
      <c r="B128" t="s">
        <v>166</v>
      </c>
      <c r="C128" t="s">
        <v>92</v>
      </c>
      <c r="D128" t="s">
        <v>153</v>
      </c>
      <c r="E128">
        <v>20</v>
      </c>
      <c r="F128">
        <v>3.5</v>
      </c>
      <c r="G128">
        <v>37</v>
      </c>
      <c r="H128">
        <v>63</v>
      </c>
      <c r="I128">
        <v>3</v>
      </c>
      <c r="J128" s="15">
        <v>41496.68855324074</v>
      </c>
      <c r="K128" s="15">
        <v>41496.698113425926</v>
      </c>
      <c r="O128" s="17">
        <v>13.766666668234393</v>
      </c>
      <c r="P128">
        <v>1</v>
      </c>
      <c r="Q128" s="39">
        <v>41496</v>
      </c>
    </row>
    <row r="129" spans="1:17" x14ac:dyDescent="0.3">
      <c r="A129" t="s">
        <v>331</v>
      </c>
      <c r="B129" t="s">
        <v>185</v>
      </c>
      <c r="C129" t="s">
        <v>93</v>
      </c>
      <c r="D129" t="s">
        <v>136</v>
      </c>
      <c r="E129">
        <v>1</v>
      </c>
      <c r="F129">
        <v>1</v>
      </c>
      <c r="G129">
        <v>25</v>
      </c>
      <c r="H129">
        <v>36</v>
      </c>
      <c r="I129">
        <v>1</v>
      </c>
      <c r="J129" s="15">
        <v>41496.879837962966</v>
      </c>
      <c r="K129" s="15">
        <v>41496.882118055553</v>
      </c>
      <c r="O129" s="17">
        <v>3.2833333280868828</v>
      </c>
      <c r="P129">
        <v>1</v>
      </c>
      <c r="Q129" s="39">
        <v>41496</v>
      </c>
    </row>
    <row r="130" spans="1:17" x14ac:dyDescent="0.3">
      <c r="A130" t="s">
        <v>332</v>
      </c>
      <c r="B130" t="s">
        <v>333</v>
      </c>
      <c r="C130" t="s">
        <v>99</v>
      </c>
      <c r="D130" t="s">
        <v>172</v>
      </c>
      <c r="E130">
        <v>2</v>
      </c>
      <c r="F130">
        <v>1</v>
      </c>
      <c r="G130">
        <v>19</v>
      </c>
      <c r="H130">
        <v>31</v>
      </c>
      <c r="I130">
        <v>0</v>
      </c>
      <c r="J130" s="15">
        <v>41502.499537037038</v>
      </c>
      <c r="K130" s="15">
        <v>41502.504212962966</v>
      </c>
      <c r="O130" s="17">
        <v>6.7333333357237279</v>
      </c>
      <c r="P130">
        <v>1</v>
      </c>
      <c r="Q130" s="39">
        <v>41502</v>
      </c>
    </row>
    <row r="131" spans="1:17" x14ac:dyDescent="0.3">
      <c r="A131" t="s">
        <v>334</v>
      </c>
      <c r="B131" t="s">
        <v>160</v>
      </c>
      <c r="C131" t="s">
        <v>86</v>
      </c>
      <c r="D131" t="s">
        <v>146</v>
      </c>
      <c r="E131">
        <v>46</v>
      </c>
      <c r="F131">
        <v>2</v>
      </c>
      <c r="G131">
        <v>23</v>
      </c>
      <c r="H131">
        <v>40</v>
      </c>
      <c r="I131">
        <v>0.25</v>
      </c>
      <c r="J131" s="15">
        <v>41502.516331018516</v>
      </c>
      <c r="K131" s="15">
        <v>41502.524224537039</v>
      </c>
      <c r="O131" s="17">
        <v>11.366666672984138</v>
      </c>
      <c r="P131">
        <v>1</v>
      </c>
      <c r="Q131" s="39">
        <v>41502</v>
      </c>
    </row>
    <row r="132" spans="1:17" x14ac:dyDescent="0.3">
      <c r="A132" t="s">
        <v>335</v>
      </c>
      <c r="B132" t="s">
        <v>333</v>
      </c>
      <c r="C132" t="s">
        <v>99</v>
      </c>
      <c r="D132" t="s">
        <v>169</v>
      </c>
      <c r="E132">
        <v>41</v>
      </c>
      <c r="F132">
        <v>3</v>
      </c>
      <c r="G132">
        <v>16</v>
      </c>
      <c r="H132">
        <v>28</v>
      </c>
      <c r="I132">
        <v>0.25</v>
      </c>
      <c r="J132" s="15">
        <v>41502.53466435185</v>
      </c>
      <c r="K132" s="15">
        <v>41502.547268518516</v>
      </c>
      <c r="M132">
        <v>1</v>
      </c>
      <c r="O132" s="17">
        <v>18.149999999441206</v>
      </c>
      <c r="P132">
        <v>1</v>
      </c>
      <c r="Q132" s="39">
        <v>41502</v>
      </c>
    </row>
    <row r="133" spans="1:17" x14ac:dyDescent="0.3">
      <c r="A133" t="s">
        <v>336</v>
      </c>
      <c r="B133" t="s">
        <v>160</v>
      </c>
      <c r="C133" t="s">
        <v>86</v>
      </c>
      <c r="D133" t="s">
        <v>150</v>
      </c>
      <c r="E133">
        <v>36</v>
      </c>
      <c r="F133">
        <v>2</v>
      </c>
      <c r="G133">
        <v>24</v>
      </c>
      <c r="H133">
        <v>41</v>
      </c>
      <c r="I133">
        <v>1</v>
      </c>
      <c r="J133" s="15">
        <v>41502.555902777778</v>
      </c>
      <c r="K133" s="15">
        <v>41502.561585648145</v>
      </c>
      <c r="O133" s="17">
        <v>8.1833333289250731</v>
      </c>
      <c r="P133">
        <v>1</v>
      </c>
      <c r="Q133" s="39">
        <v>41502</v>
      </c>
    </row>
    <row r="134" spans="1:17" x14ac:dyDescent="0.3">
      <c r="A134" t="s">
        <v>337</v>
      </c>
      <c r="B134" t="s">
        <v>333</v>
      </c>
      <c r="C134" t="s">
        <v>99</v>
      </c>
      <c r="D134" t="s">
        <v>140</v>
      </c>
      <c r="E134">
        <v>6</v>
      </c>
      <c r="F134">
        <v>1</v>
      </c>
      <c r="G134">
        <v>20</v>
      </c>
      <c r="H134">
        <v>31</v>
      </c>
      <c r="I134">
        <v>0</v>
      </c>
      <c r="J134" s="15">
        <v>41502.614247685182</v>
      </c>
      <c r="K134" s="15">
        <v>41502.61787037037</v>
      </c>
      <c r="L134" t="s">
        <v>338</v>
      </c>
      <c r="O134" s="17">
        <v>5.216666670748964</v>
      </c>
      <c r="P134">
        <v>1</v>
      </c>
      <c r="Q134" s="39">
        <v>41502</v>
      </c>
    </row>
    <row r="135" spans="1:17" x14ac:dyDescent="0.3">
      <c r="A135" t="s">
        <v>339</v>
      </c>
      <c r="B135" t="s">
        <v>160</v>
      </c>
      <c r="C135" t="s">
        <v>86</v>
      </c>
      <c r="D135" t="s">
        <v>136</v>
      </c>
      <c r="E135">
        <v>6</v>
      </c>
      <c r="F135">
        <v>2</v>
      </c>
      <c r="G135">
        <v>20</v>
      </c>
      <c r="H135">
        <v>37</v>
      </c>
      <c r="I135">
        <v>0.25</v>
      </c>
      <c r="J135" s="15">
        <v>41502.664687500001</v>
      </c>
      <c r="K135" s="15">
        <v>41502.672060185185</v>
      </c>
      <c r="M135">
        <v>1</v>
      </c>
      <c r="O135" s="17">
        <v>10.616666665300727</v>
      </c>
      <c r="P135">
        <v>1</v>
      </c>
      <c r="Q135" s="39">
        <v>41502</v>
      </c>
    </row>
    <row r="136" spans="1:17" x14ac:dyDescent="0.3">
      <c r="A136" t="s">
        <v>340</v>
      </c>
      <c r="B136" t="s">
        <v>341</v>
      </c>
      <c r="C136" t="s">
        <v>96</v>
      </c>
      <c r="D136" t="s">
        <v>136</v>
      </c>
      <c r="E136">
        <v>1</v>
      </c>
      <c r="F136">
        <v>1</v>
      </c>
      <c r="G136">
        <v>14</v>
      </c>
      <c r="H136">
        <v>30</v>
      </c>
      <c r="I136">
        <v>0</v>
      </c>
      <c r="J136" s="15">
        <v>41502.672384259262</v>
      </c>
      <c r="K136" s="15">
        <v>41502.675150462965</v>
      </c>
      <c r="O136" s="17">
        <v>3.9833333319984376</v>
      </c>
      <c r="P136">
        <v>1</v>
      </c>
      <c r="Q136" s="39">
        <v>41502</v>
      </c>
    </row>
    <row r="137" spans="1:17" x14ac:dyDescent="0.3">
      <c r="A137" t="s">
        <v>342</v>
      </c>
      <c r="B137" t="s">
        <v>160</v>
      </c>
      <c r="C137" t="s">
        <v>86</v>
      </c>
      <c r="D137" t="s">
        <v>136</v>
      </c>
      <c r="E137">
        <v>5</v>
      </c>
      <c r="F137">
        <v>3</v>
      </c>
      <c r="G137">
        <v>19</v>
      </c>
      <c r="H137">
        <v>36</v>
      </c>
      <c r="I137">
        <v>2.5</v>
      </c>
      <c r="J137" s="15">
        <v>41502.676006944443</v>
      </c>
      <c r="K137" s="15">
        <v>41502.680543981478</v>
      </c>
      <c r="O137" s="17">
        <v>6.5333333308808506</v>
      </c>
      <c r="P137">
        <v>1</v>
      </c>
      <c r="Q137" s="39">
        <v>41502</v>
      </c>
    </row>
    <row r="138" spans="1:17" x14ac:dyDescent="0.3">
      <c r="A138" t="s">
        <v>343</v>
      </c>
      <c r="B138" t="s">
        <v>341</v>
      </c>
      <c r="C138" t="s">
        <v>96</v>
      </c>
      <c r="D138" t="s">
        <v>175</v>
      </c>
      <c r="E138">
        <v>9</v>
      </c>
      <c r="F138">
        <v>0.5</v>
      </c>
      <c r="G138">
        <v>22</v>
      </c>
      <c r="H138">
        <v>36</v>
      </c>
      <c r="I138">
        <v>0.5</v>
      </c>
      <c r="J138" s="15">
        <v>41502.683761574073</v>
      </c>
      <c r="K138" s="15">
        <v>41502.684016203704</v>
      </c>
      <c r="O138" s="17">
        <v>0.3666666685603559</v>
      </c>
      <c r="P138">
        <v>1</v>
      </c>
      <c r="Q138" s="39">
        <v>41502</v>
      </c>
    </row>
    <row r="139" spans="1:17" x14ac:dyDescent="0.3">
      <c r="A139" t="s">
        <v>344</v>
      </c>
      <c r="B139" t="s">
        <v>341</v>
      </c>
      <c r="C139" t="s">
        <v>96</v>
      </c>
      <c r="D139" t="s">
        <v>176</v>
      </c>
      <c r="E139">
        <v>14</v>
      </c>
      <c r="F139">
        <v>1</v>
      </c>
      <c r="G139">
        <v>24</v>
      </c>
      <c r="H139">
        <v>38</v>
      </c>
      <c r="I139">
        <v>1</v>
      </c>
      <c r="J139" s="15">
        <v>41502.684016203704</v>
      </c>
      <c r="K139" s="15">
        <v>41502.68546296296</v>
      </c>
      <c r="O139" s="17">
        <v>2.0833333279006183</v>
      </c>
      <c r="P139">
        <v>1</v>
      </c>
      <c r="Q139" s="39">
        <v>41502</v>
      </c>
    </row>
    <row r="140" spans="1:17" x14ac:dyDescent="0.3">
      <c r="A140" t="s">
        <v>345</v>
      </c>
      <c r="B140" t="s">
        <v>341</v>
      </c>
      <c r="C140" t="s">
        <v>96</v>
      </c>
      <c r="D140" t="s">
        <v>136</v>
      </c>
      <c r="E140">
        <v>2</v>
      </c>
      <c r="F140">
        <v>1</v>
      </c>
      <c r="G140">
        <v>14</v>
      </c>
      <c r="H140">
        <v>30</v>
      </c>
      <c r="I140">
        <v>0.5</v>
      </c>
      <c r="J140" s="15">
        <v>41502.698379629626</v>
      </c>
      <c r="K140" s="15">
        <v>41502.700844907406</v>
      </c>
      <c r="O140" s="17">
        <v>3.5500000021420419</v>
      </c>
      <c r="P140">
        <v>1</v>
      </c>
      <c r="Q140" s="39">
        <v>41502</v>
      </c>
    </row>
    <row r="141" spans="1:17" x14ac:dyDescent="0.3">
      <c r="A141" t="s">
        <v>346</v>
      </c>
      <c r="B141" t="s">
        <v>341</v>
      </c>
      <c r="C141" t="s">
        <v>96</v>
      </c>
      <c r="D141" t="s">
        <v>150</v>
      </c>
      <c r="E141">
        <v>33</v>
      </c>
      <c r="F141">
        <v>2.5</v>
      </c>
      <c r="G141">
        <v>26</v>
      </c>
      <c r="H141">
        <v>41</v>
      </c>
      <c r="I141">
        <v>1.5</v>
      </c>
      <c r="J141" s="15">
        <v>41502.700995370367</v>
      </c>
      <c r="K141" s="15">
        <v>41502.70884259259</v>
      </c>
      <c r="O141" s="17">
        <v>11.300000001210719</v>
      </c>
      <c r="P141">
        <v>1</v>
      </c>
      <c r="Q141" s="39">
        <v>41502</v>
      </c>
    </row>
    <row r="142" spans="1:17" x14ac:dyDescent="0.3">
      <c r="A142" t="s">
        <v>347</v>
      </c>
      <c r="B142" t="s">
        <v>333</v>
      </c>
      <c r="C142" t="s">
        <v>99</v>
      </c>
      <c r="D142" t="s">
        <v>138</v>
      </c>
      <c r="E142">
        <v>11</v>
      </c>
      <c r="F142">
        <v>1</v>
      </c>
      <c r="G142">
        <v>17</v>
      </c>
      <c r="H142">
        <v>29</v>
      </c>
      <c r="I142">
        <v>0.5</v>
      </c>
      <c r="J142" s="15">
        <v>41502.70884259259</v>
      </c>
      <c r="K142" s="15">
        <v>41502.709502314814</v>
      </c>
      <c r="O142" s="17">
        <v>0.95000000204890966</v>
      </c>
      <c r="P142">
        <v>1</v>
      </c>
      <c r="Q142" s="39">
        <v>41502</v>
      </c>
    </row>
    <row r="143" spans="1:17" x14ac:dyDescent="0.3">
      <c r="A143" t="s">
        <v>348</v>
      </c>
      <c r="B143" t="s">
        <v>333</v>
      </c>
      <c r="C143" t="s">
        <v>99</v>
      </c>
      <c r="D143" t="s">
        <v>142</v>
      </c>
      <c r="E143">
        <v>20</v>
      </c>
      <c r="F143">
        <v>1</v>
      </c>
      <c r="G143">
        <v>21</v>
      </c>
      <c r="H143">
        <v>33</v>
      </c>
      <c r="I143">
        <v>0.5</v>
      </c>
      <c r="J143" s="15">
        <v>41502.781666666669</v>
      </c>
      <c r="K143" s="15">
        <v>41502.786157407405</v>
      </c>
      <c r="O143" s="17">
        <v>6.4666666591074318</v>
      </c>
      <c r="P143">
        <v>1</v>
      </c>
      <c r="Q143" s="39">
        <v>41502</v>
      </c>
    </row>
    <row r="144" spans="1:17" x14ac:dyDescent="0.3">
      <c r="A144" t="s">
        <v>349</v>
      </c>
      <c r="B144" t="s">
        <v>333</v>
      </c>
      <c r="C144" t="s">
        <v>99</v>
      </c>
      <c r="D144" t="s">
        <v>138</v>
      </c>
      <c r="E144">
        <v>36</v>
      </c>
      <c r="F144">
        <v>3</v>
      </c>
      <c r="G144">
        <v>17</v>
      </c>
      <c r="H144">
        <v>29</v>
      </c>
      <c r="I144">
        <v>1</v>
      </c>
      <c r="J144" s="15">
        <v>41502.786365740743</v>
      </c>
      <c r="K144" s="15">
        <v>41502.79824074074</v>
      </c>
      <c r="M144">
        <v>1</v>
      </c>
      <c r="O144" s="17">
        <v>17.099999994970858</v>
      </c>
      <c r="P144">
        <v>1</v>
      </c>
      <c r="Q144" s="39">
        <v>41502</v>
      </c>
    </row>
    <row r="145" spans="1:17" x14ac:dyDescent="0.3">
      <c r="A145" t="s">
        <v>350</v>
      </c>
      <c r="B145" t="s">
        <v>180</v>
      </c>
      <c r="C145" t="s">
        <v>133</v>
      </c>
      <c r="D145" t="s">
        <v>149</v>
      </c>
      <c r="E145">
        <v>8</v>
      </c>
      <c r="F145">
        <v>1</v>
      </c>
      <c r="G145">
        <v>14</v>
      </c>
      <c r="H145">
        <v>39</v>
      </c>
      <c r="I145">
        <v>0.5</v>
      </c>
      <c r="J145" s="15">
        <v>41502.816435185188</v>
      </c>
      <c r="K145" s="15">
        <v>41502.81689814815</v>
      </c>
      <c r="O145" s="17">
        <v>0.66666666534729302</v>
      </c>
      <c r="P145">
        <v>1</v>
      </c>
      <c r="Q145" s="39">
        <v>41502</v>
      </c>
    </row>
    <row r="146" spans="1:17" x14ac:dyDescent="0.3">
      <c r="A146" t="s">
        <v>351</v>
      </c>
      <c r="B146" t="s">
        <v>183</v>
      </c>
      <c r="C146" t="s">
        <v>83</v>
      </c>
      <c r="D146" t="s">
        <v>140</v>
      </c>
      <c r="E146">
        <v>26</v>
      </c>
      <c r="F146">
        <v>3</v>
      </c>
      <c r="G146">
        <v>47</v>
      </c>
      <c r="H146">
        <v>64</v>
      </c>
      <c r="I146">
        <v>2</v>
      </c>
      <c r="J146" s="15">
        <v>41502.817037037035</v>
      </c>
      <c r="K146" s="15">
        <v>41502.82916666667</v>
      </c>
      <c r="O146" s="17">
        <v>17.466666674008593</v>
      </c>
      <c r="P146">
        <v>1</v>
      </c>
      <c r="Q146" s="39">
        <v>41502</v>
      </c>
    </row>
    <row r="147" spans="1:17" x14ac:dyDescent="0.3">
      <c r="A147" t="s">
        <v>352</v>
      </c>
      <c r="B147" t="s">
        <v>162</v>
      </c>
      <c r="C147" t="s">
        <v>82</v>
      </c>
      <c r="D147" t="s">
        <v>136</v>
      </c>
      <c r="E147">
        <v>3</v>
      </c>
      <c r="F147">
        <v>5</v>
      </c>
      <c r="G147">
        <v>94</v>
      </c>
      <c r="H147">
        <v>122</v>
      </c>
      <c r="I147">
        <v>1</v>
      </c>
      <c r="J147" s="15">
        <v>41502.831597222219</v>
      </c>
      <c r="K147" s="15">
        <v>41502.837453703702</v>
      </c>
      <c r="M147">
        <v>1</v>
      </c>
      <c r="O147" s="17">
        <v>8.4333333349786699</v>
      </c>
      <c r="P147">
        <v>1</v>
      </c>
      <c r="Q147" s="39">
        <v>41502</v>
      </c>
    </row>
    <row r="148" spans="1:17" x14ac:dyDescent="0.3">
      <c r="A148" t="s">
        <v>353</v>
      </c>
      <c r="B148" t="s">
        <v>162</v>
      </c>
      <c r="C148" t="s">
        <v>82</v>
      </c>
      <c r="D148" t="s">
        <v>136</v>
      </c>
      <c r="E148">
        <v>4</v>
      </c>
      <c r="F148">
        <v>1</v>
      </c>
      <c r="G148">
        <v>94</v>
      </c>
      <c r="H148">
        <v>123</v>
      </c>
      <c r="I148">
        <v>1</v>
      </c>
      <c r="J148" s="15">
        <v>41502.842326388891</v>
      </c>
      <c r="K148" s="15">
        <v>41502.842662037037</v>
      </c>
      <c r="O148" s="17">
        <v>0.48333333106711507</v>
      </c>
      <c r="P148">
        <v>1</v>
      </c>
      <c r="Q148" s="39">
        <v>41502</v>
      </c>
    </row>
    <row r="149" spans="1:17" x14ac:dyDescent="0.3">
      <c r="A149" t="s">
        <v>354</v>
      </c>
      <c r="B149" t="s">
        <v>183</v>
      </c>
      <c r="C149" t="s">
        <v>83</v>
      </c>
      <c r="D149" t="s">
        <v>138</v>
      </c>
      <c r="E149">
        <v>50</v>
      </c>
      <c r="F149">
        <v>2</v>
      </c>
      <c r="G149">
        <v>46</v>
      </c>
      <c r="H149">
        <v>63</v>
      </c>
      <c r="I149">
        <v>1</v>
      </c>
      <c r="J149" s="15">
        <v>41502.842800925922</v>
      </c>
      <c r="K149" s="15">
        <v>41502.844722222224</v>
      </c>
      <c r="O149" s="17">
        <v>2.7666666742879897</v>
      </c>
      <c r="P149">
        <v>1</v>
      </c>
      <c r="Q149" s="39">
        <v>41502</v>
      </c>
    </row>
    <row r="150" spans="1:17" x14ac:dyDescent="0.3">
      <c r="A150" t="s">
        <v>355</v>
      </c>
      <c r="B150" t="s">
        <v>159</v>
      </c>
      <c r="C150" t="s">
        <v>85</v>
      </c>
      <c r="D150" t="s">
        <v>136</v>
      </c>
      <c r="E150">
        <v>1</v>
      </c>
      <c r="F150">
        <v>2</v>
      </c>
      <c r="G150">
        <v>30</v>
      </c>
      <c r="H150">
        <v>40</v>
      </c>
      <c r="I150">
        <v>1</v>
      </c>
      <c r="J150" s="15">
        <v>41502.844872685186</v>
      </c>
      <c r="K150" s="15">
        <v>41502.845520833333</v>
      </c>
      <c r="O150" s="17">
        <v>0.93333333148621023</v>
      </c>
      <c r="P150">
        <v>1</v>
      </c>
      <c r="Q150" s="39">
        <v>41502</v>
      </c>
    </row>
    <row r="151" spans="1:17" x14ac:dyDescent="0.3">
      <c r="A151" t="s">
        <v>356</v>
      </c>
      <c r="B151" t="s">
        <v>184</v>
      </c>
      <c r="C151" t="s">
        <v>94</v>
      </c>
      <c r="D151" t="s">
        <v>175</v>
      </c>
      <c r="E151">
        <v>50</v>
      </c>
      <c r="F151">
        <v>2</v>
      </c>
      <c r="G151">
        <v>97</v>
      </c>
      <c r="H151">
        <v>161</v>
      </c>
      <c r="I151">
        <v>0.25</v>
      </c>
      <c r="J151" s="15">
        <v>41502.845671296294</v>
      </c>
      <c r="K151" s="15">
        <v>41502.849988425929</v>
      </c>
      <c r="O151" s="17">
        <v>6.216666674008593</v>
      </c>
      <c r="P151">
        <v>1</v>
      </c>
      <c r="Q151" s="39">
        <v>41502</v>
      </c>
    </row>
    <row r="152" spans="1:17" x14ac:dyDescent="0.3">
      <c r="A152" t="s">
        <v>357</v>
      </c>
      <c r="B152" t="s">
        <v>238</v>
      </c>
      <c r="C152" t="s">
        <v>89</v>
      </c>
      <c r="D152" t="s">
        <v>136</v>
      </c>
      <c r="E152">
        <v>2</v>
      </c>
      <c r="F152">
        <v>1</v>
      </c>
      <c r="G152">
        <v>44</v>
      </c>
      <c r="H152">
        <v>67</v>
      </c>
      <c r="I152">
        <v>0</v>
      </c>
      <c r="J152" s="15">
        <v>41503.634826388887</v>
      </c>
      <c r="K152" s="15">
        <v>41503.635439814818</v>
      </c>
      <c r="O152" s="17">
        <v>0.88333334075286984</v>
      </c>
      <c r="P152">
        <v>1</v>
      </c>
      <c r="Q152" s="39">
        <v>41503</v>
      </c>
    </row>
    <row r="153" spans="1:17" x14ac:dyDescent="0.3">
      <c r="A153" t="s">
        <v>358</v>
      </c>
      <c r="B153" t="s">
        <v>185</v>
      </c>
      <c r="C153" t="s">
        <v>93</v>
      </c>
      <c r="D153" t="s">
        <v>136</v>
      </c>
      <c r="E153">
        <v>2</v>
      </c>
      <c r="F153">
        <v>1</v>
      </c>
      <c r="G153">
        <v>25</v>
      </c>
      <c r="H153">
        <v>36</v>
      </c>
      <c r="I153">
        <v>1</v>
      </c>
      <c r="J153" s="15">
        <v>41503.642129629632</v>
      </c>
      <c r="K153" s="15">
        <v>41503.642777777779</v>
      </c>
      <c r="O153" s="17">
        <v>0.93333333148621023</v>
      </c>
      <c r="P153">
        <v>1</v>
      </c>
      <c r="Q153" s="39">
        <v>41503</v>
      </c>
    </row>
    <row r="154" spans="1:17" x14ac:dyDescent="0.3">
      <c r="A154" t="s">
        <v>359</v>
      </c>
      <c r="B154" t="s">
        <v>185</v>
      </c>
      <c r="C154" t="s">
        <v>93</v>
      </c>
      <c r="D154" t="s">
        <v>136</v>
      </c>
      <c r="E154">
        <v>32</v>
      </c>
      <c r="F154">
        <v>3</v>
      </c>
      <c r="G154">
        <v>33</v>
      </c>
      <c r="H154">
        <v>51</v>
      </c>
      <c r="I154">
        <v>0</v>
      </c>
      <c r="J154" s="15">
        <v>41503.642916666664</v>
      </c>
      <c r="K154" s="15">
        <v>41503.648298611108</v>
      </c>
      <c r="O154" s="17">
        <v>7.7499999990686774</v>
      </c>
      <c r="P154">
        <v>1</v>
      </c>
      <c r="Q154" s="39">
        <v>41503</v>
      </c>
    </row>
    <row r="155" spans="1:17" x14ac:dyDescent="0.3">
      <c r="A155" t="s">
        <v>360</v>
      </c>
      <c r="B155" t="s">
        <v>189</v>
      </c>
      <c r="C155" t="s">
        <v>102</v>
      </c>
      <c r="D155" t="s">
        <v>140</v>
      </c>
      <c r="E155">
        <v>20</v>
      </c>
      <c r="F155">
        <v>1</v>
      </c>
      <c r="G155">
        <v>18</v>
      </c>
      <c r="H155">
        <v>36</v>
      </c>
      <c r="I155">
        <v>1</v>
      </c>
      <c r="J155" s="15">
        <v>41503.839988425927</v>
      </c>
      <c r="K155" s="15">
        <v>41503.843171296299</v>
      </c>
      <c r="O155" s="17">
        <v>4.5833333360496908</v>
      </c>
      <c r="P155">
        <v>1</v>
      </c>
      <c r="Q155" s="39">
        <v>41503</v>
      </c>
    </row>
    <row r="156" spans="1:17" x14ac:dyDescent="0.3">
      <c r="A156" t="s">
        <v>361</v>
      </c>
      <c r="B156" t="s">
        <v>158</v>
      </c>
      <c r="C156" t="s">
        <v>18</v>
      </c>
      <c r="D156" t="s">
        <v>136</v>
      </c>
      <c r="E156">
        <v>3</v>
      </c>
      <c r="F156">
        <v>1</v>
      </c>
      <c r="G156">
        <v>26</v>
      </c>
      <c r="H156">
        <v>34</v>
      </c>
      <c r="I156">
        <v>1</v>
      </c>
      <c r="J156" s="15">
        <v>41503.843449074076</v>
      </c>
      <c r="K156" s="15">
        <v>41503.844618055555</v>
      </c>
      <c r="L156" t="s">
        <v>338</v>
      </c>
      <c r="O156" s="17">
        <v>1.6833333286922425</v>
      </c>
      <c r="P156">
        <v>1</v>
      </c>
      <c r="Q156" s="39">
        <v>41503</v>
      </c>
    </row>
    <row r="157" spans="1:17" x14ac:dyDescent="0.3">
      <c r="A157" t="s">
        <v>362</v>
      </c>
      <c r="B157" t="s">
        <v>190</v>
      </c>
      <c r="C157" t="s">
        <v>87</v>
      </c>
      <c r="D157" t="s">
        <v>142</v>
      </c>
      <c r="E157">
        <v>20</v>
      </c>
      <c r="F157">
        <v>1</v>
      </c>
      <c r="G157">
        <v>107</v>
      </c>
      <c r="H157">
        <v>119</v>
      </c>
      <c r="I157">
        <v>0</v>
      </c>
      <c r="J157" s="15">
        <v>41503.844965277778</v>
      </c>
      <c r="K157" s="15">
        <v>41503.847118055557</v>
      </c>
      <c r="O157" s="17">
        <v>3.1000000017229468</v>
      </c>
      <c r="P157">
        <v>1</v>
      </c>
      <c r="Q157" s="39">
        <v>41503</v>
      </c>
    </row>
    <row r="158" spans="1:17" x14ac:dyDescent="0.3">
      <c r="A158" t="s">
        <v>363</v>
      </c>
      <c r="B158" t="s">
        <v>158</v>
      </c>
      <c r="C158" t="s">
        <v>18</v>
      </c>
      <c r="D158" t="s">
        <v>138</v>
      </c>
      <c r="E158">
        <v>10</v>
      </c>
      <c r="F158">
        <v>1</v>
      </c>
      <c r="G158">
        <v>28</v>
      </c>
      <c r="H158">
        <v>41</v>
      </c>
      <c r="I158">
        <v>0.5</v>
      </c>
      <c r="J158" s="15">
        <v>41503.849386574075</v>
      </c>
      <c r="K158" s="15">
        <v>41503.854699074072</v>
      </c>
      <c r="O158" s="17">
        <v>7.6499999966472387</v>
      </c>
      <c r="P158">
        <v>1</v>
      </c>
      <c r="Q158" s="39">
        <v>41503</v>
      </c>
    </row>
    <row r="159" spans="1:17" x14ac:dyDescent="0.3">
      <c r="A159" t="s">
        <v>364</v>
      </c>
      <c r="B159" t="s">
        <v>163</v>
      </c>
      <c r="C159" t="s">
        <v>90</v>
      </c>
      <c r="D159" t="s">
        <v>136</v>
      </c>
      <c r="E159">
        <v>1</v>
      </c>
      <c r="F159">
        <v>1</v>
      </c>
      <c r="G159">
        <v>21</v>
      </c>
      <c r="H159">
        <v>30</v>
      </c>
      <c r="I159">
        <v>1</v>
      </c>
      <c r="J159" s="15">
        <v>41503.854907407411</v>
      </c>
      <c r="K159" s="15">
        <v>41503.856099537035</v>
      </c>
      <c r="O159" s="17">
        <v>1.7166666593402624</v>
      </c>
      <c r="P159">
        <v>1</v>
      </c>
      <c r="Q159" s="39">
        <v>41503</v>
      </c>
    </row>
    <row r="160" spans="1:17" x14ac:dyDescent="0.3">
      <c r="A160" t="s">
        <v>230</v>
      </c>
      <c r="B160" t="s">
        <v>182</v>
      </c>
      <c r="C160" t="s">
        <v>134</v>
      </c>
      <c r="D160" t="s">
        <v>136</v>
      </c>
      <c r="E160">
        <v>5</v>
      </c>
      <c r="F160">
        <v>0.5</v>
      </c>
      <c r="G160">
        <v>37</v>
      </c>
      <c r="H160">
        <v>43</v>
      </c>
      <c r="I160">
        <v>0.25</v>
      </c>
      <c r="J160" s="15">
        <v>41503.856099537035</v>
      </c>
      <c r="K160" s="15">
        <v>41503.856608796297</v>
      </c>
      <c r="O160" s="17">
        <v>0.7333333371207118</v>
      </c>
      <c r="P160">
        <v>2</v>
      </c>
      <c r="Q160" s="39">
        <v>41503</v>
      </c>
    </row>
    <row r="161" spans="1:17" x14ac:dyDescent="0.3">
      <c r="A161" t="s">
        <v>365</v>
      </c>
      <c r="B161" t="s">
        <v>341</v>
      </c>
      <c r="C161" t="s">
        <v>96</v>
      </c>
      <c r="D161" t="s">
        <v>144</v>
      </c>
      <c r="E161">
        <v>1</v>
      </c>
      <c r="F161">
        <v>1</v>
      </c>
      <c r="G161">
        <v>24</v>
      </c>
      <c r="H161">
        <v>38</v>
      </c>
      <c r="I161">
        <v>0.5</v>
      </c>
      <c r="J161" s="15">
        <v>41503.856608796297</v>
      </c>
      <c r="K161" s="15">
        <v>41503.862685185188</v>
      </c>
      <c r="O161" s="17">
        <v>8.7500000023283064</v>
      </c>
      <c r="P161">
        <v>1</v>
      </c>
      <c r="Q161" s="39">
        <v>41503</v>
      </c>
    </row>
    <row r="162" spans="1:17" x14ac:dyDescent="0.3">
      <c r="A162" t="s">
        <v>366</v>
      </c>
      <c r="B162" t="s">
        <v>192</v>
      </c>
      <c r="C162" t="s">
        <v>103</v>
      </c>
      <c r="D162" t="s">
        <v>140</v>
      </c>
      <c r="E162">
        <v>46</v>
      </c>
      <c r="F162">
        <v>3</v>
      </c>
      <c r="G162">
        <v>28</v>
      </c>
      <c r="H162">
        <v>48</v>
      </c>
      <c r="I162">
        <v>1</v>
      </c>
      <c r="J162" s="15">
        <v>41503.862685185188</v>
      </c>
      <c r="K162" s="15">
        <v>41503.866886574076</v>
      </c>
      <c r="O162" s="17">
        <v>6.0499999998137355</v>
      </c>
      <c r="P162">
        <v>1</v>
      </c>
      <c r="Q162" s="39">
        <v>41503</v>
      </c>
    </row>
    <row r="163" spans="1:17" x14ac:dyDescent="0.3">
      <c r="A163" t="s">
        <v>367</v>
      </c>
      <c r="B163" t="s">
        <v>333</v>
      </c>
      <c r="C163" t="s">
        <v>99</v>
      </c>
      <c r="D163" t="s">
        <v>164</v>
      </c>
      <c r="E163">
        <v>37</v>
      </c>
      <c r="F163">
        <v>2</v>
      </c>
      <c r="G163">
        <v>14</v>
      </c>
      <c r="H163">
        <v>26</v>
      </c>
      <c r="I163">
        <v>1</v>
      </c>
      <c r="J163" s="15">
        <v>41505.336446759262</v>
      </c>
      <c r="K163" s="15">
        <v>41505.355590277781</v>
      </c>
      <c r="M163">
        <v>1</v>
      </c>
      <c r="O163" s="17">
        <v>27.566666667116806</v>
      </c>
      <c r="P163">
        <v>1</v>
      </c>
      <c r="Q163" s="39">
        <v>41505</v>
      </c>
    </row>
    <row r="164" spans="1:17" x14ac:dyDescent="0.3">
      <c r="A164" t="s">
        <v>368</v>
      </c>
      <c r="B164" t="s">
        <v>187</v>
      </c>
      <c r="C164" t="s">
        <v>95</v>
      </c>
      <c r="D164" t="s">
        <v>138</v>
      </c>
      <c r="E164">
        <v>35</v>
      </c>
      <c r="F164">
        <v>4.5</v>
      </c>
      <c r="G164">
        <v>47</v>
      </c>
      <c r="H164">
        <v>76</v>
      </c>
      <c r="I164">
        <v>2</v>
      </c>
      <c r="J164" s="15">
        <v>41505.358449074076</v>
      </c>
      <c r="K164" s="15">
        <v>41505.368275462963</v>
      </c>
      <c r="O164" s="17">
        <v>14.149999996880069</v>
      </c>
      <c r="P164">
        <v>1</v>
      </c>
      <c r="Q164" s="39">
        <v>41505</v>
      </c>
    </row>
    <row r="165" spans="1:17" x14ac:dyDescent="0.3">
      <c r="A165" t="s">
        <v>369</v>
      </c>
      <c r="B165" t="s">
        <v>162</v>
      </c>
      <c r="C165" t="s">
        <v>82</v>
      </c>
      <c r="D165" t="s">
        <v>136</v>
      </c>
      <c r="E165">
        <v>1</v>
      </c>
      <c r="F165">
        <v>2</v>
      </c>
      <c r="G165">
        <v>94</v>
      </c>
      <c r="H165">
        <v>121</v>
      </c>
      <c r="I165">
        <v>1</v>
      </c>
      <c r="J165" s="15">
        <v>41505.709664351853</v>
      </c>
      <c r="K165" s="15">
        <v>41505.712372685186</v>
      </c>
      <c r="O165" s="17">
        <v>3.9000000001396984</v>
      </c>
      <c r="P165">
        <v>1</v>
      </c>
      <c r="Q165" s="39">
        <v>41505</v>
      </c>
    </row>
    <row r="166" spans="1:17" x14ac:dyDescent="0.3">
      <c r="A166" t="s">
        <v>370</v>
      </c>
      <c r="B166" t="s">
        <v>158</v>
      </c>
      <c r="C166" t="s">
        <v>18</v>
      </c>
      <c r="D166" t="s">
        <v>136</v>
      </c>
      <c r="E166">
        <v>4</v>
      </c>
      <c r="F166">
        <v>3</v>
      </c>
      <c r="G166">
        <v>26</v>
      </c>
      <c r="H166">
        <v>35</v>
      </c>
      <c r="I166">
        <v>0</v>
      </c>
      <c r="J166" s="15">
        <v>41505.723113425927</v>
      </c>
      <c r="K166" s="15">
        <v>41505.723391203705</v>
      </c>
      <c r="M166">
        <v>1</v>
      </c>
      <c r="N166" t="s">
        <v>265</v>
      </c>
      <c r="O166" s="17">
        <v>0.39999999920837581</v>
      </c>
      <c r="P166">
        <v>1</v>
      </c>
      <c r="Q166" s="39">
        <v>41505</v>
      </c>
    </row>
    <row r="167" spans="1:17" x14ac:dyDescent="0.3">
      <c r="A167" t="s">
        <v>371</v>
      </c>
      <c r="B167" t="s">
        <v>341</v>
      </c>
      <c r="C167" t="s">
        <v>96</v>
      </c>
      <c r="D167" t="s">
        <v>142</v>
      </c>
      <c r="E167">
        <v>38</v>
      </c>
      <c r="F167">
        <v>4</v>
      </c>
      <c r="G167">
        <v>23</v>
      </c>
      <c r="H167">
        <v>37</v>
      </c>
      <c r="I167">
        <v>2</v>
      </c>
      <c r="J167" s="15">
        <v>41505.723460648151</v>
      </c>
      <c r="K167" s="15">
        <v>41505.738217592596</v>
      </c>
      <c r="O167" s="17">
        <v>21.250000001164153</v>
      </c>
      <c r="P167">
        <v>1</v>
      </c>
      <c r="Q167" s="39">
        <v>41505</v>
      </c>
    </row>
    <row r="168" spans="1:17" x14ac:dyDescent="0.3">
      <c r="A168" t="s">
        <v>372</v>
      </c>
      <c r="B168" t="s">
        <v>184</v>
      </c>
      <c r="C168" t="s">
        <v>94</v>
      </c>
      <c r="D168" t="s">
        <v>165</v>
      </c>
      <c r="E168">
        <v>34</v>
      </c>
      <c r="F168">
        <v>2</v>
      </c>
      <c r="G168">
        <v>102</v>
      </c>
      <c r="H168">
        <v>169</v>
      </c>
      <c r="I168">
        <v>0</v>
      </c>
      <c r="J168" s="15">
        <v>41505.741087962961</v>
      </c>
      <c r="K168" s="15">
        <v>41505.745497685188</v>
      </c>
      <c r="N168" t="s">
        <v>373</v>
      </c>
      <c r="O168" s="17">
        <v>6.3500000070780516</v>
      </c>
      <c r="P168">
        <v>1</v>
      </c>
      <c r="Q168" s="39">
        <v>41505</v>
      </c>
    </row>
    <row r="169" spans="1:17" x14ac:dyDescent="0.3">
      <c r="A169" t="s">
        <v>374</v>
      </c>
      <c r="B169" t="s">
        <v>341</v>
      </c>
      <c r="C169" t="s">
        <v>96</v>
      </c>
      <c r="D169" t="s">
        <v>136</v>
      </c>
      <c r="E169">
        <v>4</v>
      </c>
      <c r="F169">
        <v>1</v>
      </c>
      <c r="G169">
        <v>15</v>
      </c>
      <c r="H169">
        <v>30</v>
      </c>
      <c r="I169">
        <v>0</v>
      </c>
      <c r="J169" s="15">
        <v>41505.745636574073</v>
      </c>
      <c r="K169" s="15">
        <v>41505.746481481481</v>
      </c>
      <c r="L169" t="s">
        <v>338</v>
      </c>
      <c r="O169" s="17">
        <v>1.2166666681878269</v>
      </c>
      <c r="P169">
        <v>1</v>
      </c>
      <c r="Q169" s="39">
        <v>41505</v>
      </c>
    </row>
    <row r="170" spans="1:17" x14ac:dyDescent="0.3">
      <c r="A170" t="s">
        <v>375</v>
      </c>
      <c r="B170" t="s">
        <v>186</v>
      </c>
      <c r="C170" t="s">
        <v>98</v>
      </c>
      <c r="D170" t="s">
        <v>142</v>
      </c>
      <c r="E170">
        <v>5</v>
      </c>
      <c r="F170">
        <v>1</v>
      </c>
      <c r="G170">
        <v>21</v>
      </c>
      <c r="H170">
        <v>46</v>
      </c>
      <c r="I170">
        <v>0</v>
      </c>
      <c r="J170" s="15">
        <v>41505.746898148151</v>
      </c>
      <c r="K170" s="15">
        <v>41505.749618055554</v>
      </c>
      <c r="O170" s="17">
        <v>3.9166666602250189</v>
      </c>
      <c r="P170">
        <v>1</v>
      </c>
      <c r="Q170" s="39">
        <v>41505</v>
      </c>
    </row>
    <row r="171" spans="1:17" x14ac:dyDescent="0.3">
      <c r="A171" t="s">
        <v>376</v>
      </c>
      <c r="B171" t="s">
        <v>184</v>
      </c>
      <c r="C171" t="s">
        <v>94</v>
      </c>
      <c r="D171" t="s">
        <v>138</v>
      </c>
      <c r="E171">
        <v>38</v>
      </c>
      <c r="F171">
        <v>4</v>
      </c>
      <c r="G171">
        <v>88</v>
      </c>
      <c r="H171">
        <v>149</v>
      </c>
      <c r="I171">
        <v>1</v>
      </c>
      <c r="J171" s="15">
        <v>41505.753865740742</v>
      </c>
      <c r="K171" s="15">
        <v>41505.76363425926</v>
      </c>
      <c r="O171" s="17">
        <v>14.06666666502133</v>
      </c>
      <c r="P171">
        <v>1</v>
      </c>
      <c r="Q171" s="39">
        <v>41505</v>
      </c>
    </row>
    <row r="172" spans="1:17" x14ac:dyDescent="0.3">
      <c r="A172" t="s">
        <v>377</v>
      </c>
      <c r="B172" t="s">
        <v>186</v>
      </c>
      <c r="C172" t="s">
        <v>98</v>
      </c>
      <c r="D172" t="s">
        <v>142</v>
      </c>
      <c r="E172">
        <v>6</v>
      </c>
      <c r="F172">
        <v>1</v>
      </c>
      <c r="G172">
        <v>21</v>
      </c>
      <c r="H172">
        <v>46</v>
      </c>
      <c r="I172">
        <v>0.5</v>
      </c>
      <c r="J172" s="15">
        <v>41505.766238425924</v>
      </c>
      <c r="K172" s="15">
        <v>41505.77065972222</v>
      </c>
      <c r="O172" s="17">
        <v>6.366666667163372</v>
      </c>
      <c r="P172">
        <v>1</v>
      </c>
      <c r="Q172" s="39">
        <v>41505</v>
      </c>
    </row>
    <row r="173" spans="1:17" x14ac:dyDescent="0.3">
      <c r="A173" t="s">
        <v>378</v>
      </c>
      <c r="B173" t="s">
        <v>163</v>
      </c>
      <c r="C173" t="s">
        <v>90</v>
      </c>
      <c r="D173" t="s">
        <v>136</v>
      </c>
      <c r="E173">
        <v>5</v>
      </c>
      <c r="F173">
        <v>1</v>
      </c>
      <c r="G173">
        <v>21</v>
      </c>
      <c r="H173">
        <v>36</v>
      </c>
      <c r="I173">
        <v>1</v>
      </c>
      <c r="J173" s="15">
        <v>41505.82539351852</v>
      </c>
      <c r="K173" s="15">
        <v>41505.829895833333</v>
      </c>
      <c r="O173" s="17">
        <v>6.4833333296701312</v>
      </c>
      <c r="P173">
        <v>1</v>
      </c>
      <c r="Q173" s="39">
        <v>41505</v>
      </c>
    </row>
    <row r="174" spans="1:17" x14ac:dyDescent="0.3">
      <c r="A174" t="s">
        <v>379</v>
      </c>
      <c r="B174" t="s">
        <v>184</v>
      </c>
      <c r="C174" t="s">
        <v>94</v>
      </c>
      <c r="D174" t="s">
        <v>150</v>
      </c>
      <c r="E174">
        <v>6</v>
      </c>
      <c r="F174">
        <v>2</v>
      </c>
      <c r="G174">
        <v>109</v>
      </c>
      <c r="H174">
        <v>173</v>
      </c>
      <c r="I174">
        <v>2</v>
      </c>
      <c r="J174" s="15">
        <v>41505.830034722225</v>
      </c>
      <c r="K174" s="15">
        <v>41505.832361111112</v>
      </c>
      <c r="O174" s="17">
        <v>3.3499999972991645</v>
      </c>
      <c r="P174">
        <v>1</v>
      </c>
      <c r="Q174" s="39">
        <v>41505</v>
      </c>
    </row>
    <row r="175" spans="1:17" x14ac:dyDescent="0.3">
      <c r="A175" t="s">
        <v>380</v>
      </c>
      <c r="B175" t="s">
        <v>166</v>
      </c>
      <c r="C175" t="s">
        <v>92</v>
      </c>
      <c r="D175" t="s">
        <v>136</v>
      </c>
      <c r="E175">
        <v>6</v>
      </c>
      <c r="F175">
        <v>6</v>
      </c>
      <c r="G175">
        <v>33</v>
      </c>
      <c r="H175">
        <v>55</v>
      </c>
      <c r="I175">
        <v>3</v>
      </c>
      <c r="J175" s="15">
        <v>41505.83252314815</v>
      </c>
      <c r="K175" s="15">
        <v>41505.83320601852</v>
      </c>
      <c r="M175">
        <v>1</v>
      </c>
      <c r="N175" t="s">
        <v>265</v>
      </c>
      <c r="O175" s="17">
        <v>0.98333333269692957</v>
      </c>
      <c r="P175">
        <v>1</v>
      </c>
      <c r="Q175" s="39">
        <v>41505</v>
      </c>
    </row>
    <row r="176" spans="1:17" x14ac:dyDescent="0.3">
      <c r="A176" t="s">
        <v>381</v>
      </c>
      <c r="B176" t="s">
        <v>238</v>
      </c>
      <c r="C176" t="s">
        <v>89</v>
      </c>
      <c r="D176" t="s">
        <v>156</v>
      </c>
      <c r="E176">
        <v>40</v>
      </c>
      <c r="F176">
        <v>2</v>
      </c>
      <c r="G176">
        <v>55</v>
      </c>
      <c r="H176">
        <v>84</v>
      </c>
      <c r="I176">
        <v>1</v>
      </c>
      <c r="J176" s="15">
        <v>41505.833321759259</v>
      </c>
      <c r="K176" s="15">
        <v>41505.838437500002</v>
      </c>
      <c r="O176" s="17">
        <v>7.3666666704230011</v>
      </c>
      <c r="P176">
        <v>1</v>
      </c>
      <c r="Q176" s="39">
        <v>41505</v>
      </c>
    </row>
    <row r="177" spans="1:17" x14ac:dyDescent="0.3">
      <c r="A177" t="s">
        <v>382</v>
      </c>
      <c r="B177" t="s">
        <v>162</v>
      </c>
      <c r="C177" t="s">
        <v>82</v>
      </c>
      <c r="D177" t="s">
        <v>150</v>
      </c>
      <c r="E177">
        <v>5</v>
      </c>
      <c r="F177">
        <v>4</v>
      </c>
      <c r="G177">
        <v>113</v>
      </c>
      <c r="H177">
        <v>151</v>
      </c>
      <c r="I177">
        <v>2.5</v>
      </c>
      <c r="J177" s="15">
        <v>41505.838576388887</v>
      </c>
      <c r="K177" s="15">
        <v>41505.840462962966</v>
      </c>
      <c r="O177" s="17">
        <v>2.7166666730772704</v>
      </c>
      <c r="P177">
        <v>1</v>
      </c>
      <c r="Q177" s="39">
        <v>41505</v>
      </c>
    </row>
    <row r="178" spans="1:17" x14ac:dyDescent="0.3">
      <c r="A178" t="s">
        <v>383</v>
      </c>
      <c r="B178" t="s">
        <v>186</v>
      </c>
      <c r="C178" t="s">
        <v>98</v>
      </c>
      <c r="D178" t="s">
        <v>136</v>
      </c>
      <c r="E178">
        <v>3</v>
      </c>
      <c r="F178">
        <v>1.5</v>
      </c>
      <c r="G178">
        <v>13</v>
      </c>
      <c r="H178">
        <v>35</v>
      </c>
      <c r="I178">
        <v>0.5</v>
      </c>
      <c r="J178" s="15">
        <v>41505.846064814818</v>
      </c>
      <c r="K178" s="15">
        <v>41505.855868055558</v>
      </c>
      <c r="O178" s="17">
        <v>14.116666666232049</v>
      </c>
      <c r="P178">
        <v>1</v>
      </c>
      <c r="Q178" s="39">
        <v>41505</v>
      </c>
    </row>
    <row r="179" spans="1:17" x14ac:dyDescent="0.3">
      <c r="A179" t="s">
        <v>384</v>
      </c>
      <c r="B179" t="s">
        <v>188</v>
      </c>
      <c r="C179" t="s">
        <v>88</v>
      </c>
      <c r="D179" t="s">
        <v>144</v>
      </c>
      <c r="E179">
        <v>34</v>
      </c>
      <c r="F179">
        <v>3</v>
      </c>
      <c r="G179">
        <v>39</v>
      </c>
      <c r="H179">
        <v>64</v>
      </c>
      <c r="I179">
        <v>2</v>
      </c>
      <c r="J179" s="15">
        <v>41506.291145833333</v>
      </c>
      <c r="K179" s="15">
        <v>41506.294571759259</v>
      </c>
      <c r="O179" s="17">
        <v>4.9333333340473473</v>
      </c>
      <c r="P179">
        <v>1</v>
      </c>
      <c r="Q179" s="39">
        <v>41506</v>
      </c>
    </row>
    <row r="180" spans="1:17" x14ac:dyDescent="0.3">
      <c r="A180" t="s">
        <v>215</v>
      </c>
      <c r="B180" t="s">
        <v>183</v>
      </c>
      <c r="C180" t="s">
        <v>83</v>
      </c>
      <c r="D180" t="s">
        <v>153</v>
      </c>
      <c r="E180">
        <v>5</v>
      </c>
      <c r="F180">
        <v>2</v>
      </c>
      <c r="G180">
        <v>52</v>
      </c>
      <c r="H180">
        <v>71</v>
      </c>
      <c r="I180">
        <v>0.5</v>
      </c>
      <c r="J180" s="15">
        <v>41506.295277777775</v>
      </c>
      <c r="K180" s="15">
        <v>41506.301539351851</v>
      </c>
      <c r="O180" s="17">
        <v>9.0166666684672236</v>
      </c>
      <c r="P180">
        <v>2</v>
      </c>
      <c r="Q180" s="39">
        <v>41506</v>
      </c>
    </row>
    <row r="181" spans="1:17" x14ac:dyDescent="0.3">
      <c r="A181" t="s">
        <v>385</v>
      </c>
      <c r="B181" t="s">
        <v>182</v>
      </c>
      <c r="C181" t="s">
        <v>134</v>
      </c>
      <c r="D181" t="s">
        <v>136</v>
      </c>
      <c r="E181">
        <v>2</v>
      </c>
      <c r="F181">
        <v>2</v>
      </c>
      <c r="G181">
        <v>36</v>
      </c>
      <c r="H181">
        <v>41</v>
      </c>
      <c r="I181">
        <v>1</v>
      </c>
      <c r="J181" s="15">
        <v>41506.309872685182</v>
      </c>
      <c r="K181" s="15">
        <v>41506.310891203706</v>
      </c>
      <c r="O181" s="17">
        <v>1.4666666742414236</v>
      </c>
      <c r="P181">
        <v>1</v>
      </c>
      <c r="Q181" s="39">
        <v>41506</v>
      </c>
    </row>
    <row r="182" spans="1:17" x14ac:dyDescent="0.3">
      <c r="A182" t="s">
        <v>386</v>
      </c>
      <c r="B182" t="s">
        <v>186</v>
      </c>
      <c r="C182" t="s">
        <v>98</v>
      </c>
      <c r="D182" t="s">
        <v>140</v>
      </c>
      <c r="E182">
        <v>47</v>
      </c>
      <c r="F182">
        <v>3</v>
      </c>
      <c r="G182">
        <v>20</v>
      </c>
      <c r="H182">
        <v>45</v>
      </c>
      <c r="I182">
        <v>2</v>
      </c>
      <c r="J182" s="15">
        <v>41506.314467592594</v>
      </c>
      <c r="K182" s="15">
        <v>41506.327118055553</v>
      </c>
      <c r="O182" s="17">
        <v>18.216666660737246</v>
      </c>
      <c r="P182">
        <v>1</v>
      </c>
      <c r="Q182" s="39">
        <v>41506</v>
      </c>
    </row>
    <row r="183" spans="1:17" x14ac:dyDescent="0.3">
      <c r="A183" t="s">
        <v>387</v>
      </c>
      <c r="B183" t="s">
        <v>333</v>
      </c>
      <c r="C183" t="s">
        <v>99</v>
      </c>
      <c r="D183" t="s">
        <v>146</v>
      </c>
      <c r="E183">
        <v>19</v>
      </c>
      <c r="F183">
        <v>1</v>
      </c>
      <c r="G183">
        <v>23</v>
      </c>
      <c r="H183">
        <v>35</v>
      </c>
      <c r="I183">
        <v>1</v>
      </c>
      <c r="J183" s="15">
        <v>41506.334768518522</v>
      </c>
      <c r="K183" s="15">
        <v>41506.339131944442</v>
      </c>
      <c r="O183" s="17">
        <v>6.2833333248272538</v>
      </c>
      <c r="P183">
        <v>1</v>
      </c>
      <c r="Q183" s="39">
        <v>41506</v>
      </c>
    </row>
    <row r="184" spans="1:17" x14ac:dyDescent="0.3">
      <c r="A184" t="s">
        <v>388</v>
      </c>
      <c r="B184" t="s">
        <v>341</v>
      </c>
      <c r="C184" t="s">
        <v>96</v>
      </c>
      <c r="D184" t="s">
        <v>175</v>
      </c>
      <c r="E184">
        <v>27</v>
      </c>
      <c r="F184">
        <v>1</v>
      </c>
      <c r="G184">
        <v>23</v>
      </c>
      <c r="H184">
        <v>37</v>
      </c>
      <c r="I184">
        <v>1</v>
      </c>
      <c r="J184" s="15">
        <v>41506.341574074075</v>
      </c>
      <c r="K184" s="15">
        <v>41506.343946759262</v>
      </c>
      <c r="O184" s="17">
        <v>3.4166666690725833</v>
      </c>
      <c r="P184">
        <v>1</v>
      </c>
      <c r="Q184" s="39">
        <v>41506</v>
      </c>
    </row>
    <row r="185" spans="1:17" x14ac:dyDescent="0.3">
      <c r="A185" t="s">
        <v>389</v>
      </c>
      <c r="B185" t="s">
        <v>182</v>
      </c>
      <c r="C185" t="s">
        <v>134</v>
      </c>
      <c r="D185" t="s">
        <v>136</v>
      </c>
      <c r="E185">
        <v>3</v>
      </c>
      <c r="F185">
        <v>4</v>
      </c>
      <c r="G185">
        <v>36</v>
      </c>
      <c r="H185">
        <v>42</v>
      </c>
      <c r="I185">
        <v>3.5</v>
      </c>
      <c r="J185" s="15">
        <v>41506.344027777777</v>
      </c>
      <c r="K185" s="15">
        <v>41506.35664351852</v>
      </c>
      <c r="O185" s="17">
        <v>18.166666670003906</v>
      </c>
      <c r="P185">
        <v>1</v>
      </c>
      <c r="Q185" s="39">
        <v>41506</v>
      </c>
    </row>
    <row r="186" spans="1:17" x14ac:dyDescent="0.3">
      <c r="A186" t="s">
        <v>390</v>
      </c>
      <c r="B186" t="s">
        <v>190</v>
      </c>
      <c r="C186" t="s">
        <v>87</v>
      </c>
      <c r="D186" t="s">
        <v>142</v>
      </c>
      <c r="E186">
        <v>17</v>
      </c>
      <c r="F186">
        <v>1</v>
      </c>
      <c r="G186">
        <v>41</v>
      </c>
      <c r="H186">
        <v>66</v>
      </c>
      <c r="I186">
        <v>1</v>
      </c>
      <c r="J186" s="15">
        <v>41506.359942129631</v>
      </c>
      <c r="K186" s="15">
        <v>41506.362233796295</v>
      </c>
      <c r="O186" s="17">
        <v>3.2999999960884452</v>
      </c>
      <c r="P186">
        <v>1</v>
      </c>
      <c r="Q186" s="39">
        <v>41506</v>
      </c>
    </row>
    <row r="187" spans="1:17" x14ac:dyDescent="0.3">
      <c r="A187" t="s">
        <v>391</v>
      </c>
      <c r="B187" t="s">
        <v>341</v>
      </c>
      <c r="C187" t="s">
        <v>96</v>
      </c>
      <c r="D187" t="s">
        <v>140</v>
      </c>
      <c r="E187">
        <v>7</v>
      </c>
      <c r="F187">
        <v>1</v>
      </c>
      <c r="G187">
        <v>20</v>
      </c>
      <c r="H187">
        <v>34</v>
      </c>
      <c r="I187">
        <v>1</v>
      </c>
      <c r="J187" s="15">
        <v>41506.617962962962</v>
      </c>
      <c r="K187" s="15">
        <v>41506.618831018517</v>
      </c>
      <c r="O187" s="17">
        <v>1.2499999988358468</v>
      </c>
      <c r="P187">
        <v>1</v>
      </c>
      <c r="Q187" s="39">
        <v>41506</v>
      </c>
    </row>
    <row r="188" spans="1:17" x14ac:dyDescent="0.3">
      <c r="A188" t="s">
        <v>392</v>
      </c>
      <c r="B188" t="s">
        <v>162</v>
      </c>
      <c r="C188" t="s">
        <v>82</v>
      </c>
      <c r="D188" t="s">
        <v>153</v>
      </c>
      <c r="E188">
        <v>3</v>
      </c>
      <c r="F188">
        <v>2</v>
      </c>
      <c r="G188">
        <v>114</v>
      </c>
      <c r="H188">
        <v>152</v>
      </c>
      <c r="I188">
        <v>1</v>
      </c>
      <c r="J188" s="15">
        <v>41506.61891203704</v>
      </c>
      <c r="K188" s="15">
        <v>41506.624456018515</v>
      </c>
      <c r="O188" s="17">
        <v>7.9833333240821958</v>
      </c>
      <c r="P188">
        <v>1</v>
      </c>
      <c r="Q188" s="39">
        <v>41506</v>
      </c>
    </row>
    <row r="189" spans="1:17" x14ac:dyDescent="0.3">
      <c r="A189" t="s">
        <v>393</v>
      </c>
      <c r="B189" t="s">
        <v>184</v>
      </c>
      <c r="C189" t="s">
        <v>94</v>
      </c>
      <c r="D189" t="s">
        <v>176</v>
      </c>
      <c r="E189">
        <v>41</v>
      </c>
      <c r="F189">
        <v>2</v>
      </c>
      <c r="G189">
        <v>99</v>
      </c>
      <c r="H189">
        <v>165</v>
      </c>
      <c r="I189">
        <v>1.5</v>
      </c>
      <c r="J189" s="15">
        <v>41506.624537037038</v>
      </c>
      <c r="K189" s="15">
        <v>41506.632939814815</v>
      </c>
      <c r="O189" s="17">
        <v>12.099999999627471</v>
      </c>
      <c r="P189">
        <v>1</v>
      </c>
      <c r="Q189" s="39">
        <v>41506</v>
      </c>
    </row>
    <row r="190" spans="1:17" x14ac:dyDescent="0.3">
      <c r="A190" t="s">
        <v>394</v>
      </c>
      <c r="B190" t="s">
        <v>190</v>
      </c>
      <c r="C190" t="s">
        <v>87</v>
      </c>
      <c r="D190" t="s">
        <v>146</v>
      </c>
      <c r="E190">
        <v>19</v>
      </c>
      <c r="F190">
        <v>1</v>
      </c>
      <c r="G190">
        <v>109</v>
      </c>
      <c r="H190">
        <v>121</v>
      </c>
      <c r="I190">
        <v>1</v>
      </c>
      <c r="J190" s="15">
        <v>41506.633611111109</v>
      </c>
      <c r="K190" s="15">
        <v>41506.634155092594</v>
      </c>
      <c r="O190" s="17">
        <v>0.78333333833143115</v>
      </c>
      <c r="P190">
        <v>1</v>
      </c>
      <c r="Q190" s="39">
        <v>41506</v>
      </c>
    </row>
    <row r="191" spans="1:17" x14ac:dyDescent="0.3">
      <c r="A191" t="s">
        <v>395</v>
      </c>
      <c r="B191" t="s">
        <v>192</v>
      </c>
      <c r="C191" t="s">
        <v>103</v>
      </c>
      <c r="D191" t="s">
        <v>136</v>
      </c>
      <c r="E191">
        <v>2</v>
      </c>
      <c r="F191">
        <v>1</v>
      </c>
      <c r="G191">
        <v>16</v>
      </c>
      <c r="H191">
        <v>38</v>
      </c>
      <c r="I191">
        <v>0</v>
      </c>
      <c r="J191" s="15">
        <v>41506.646701388891</v>
      </c>
      <c r="K191" s="15">
        <v>41506.649965277778</v>
      </c>
      <c r="O191" s="17">
        <v>4.69999999855645</v>
      </c>
      <c r="P191">
        <v>1</v>
      </c>
      <c r="Q191" s="39">
        <v>41506</v>
      </c>
    </row>
    <row r="192" spans="1:17" x14ac:dyDescent="0.3">
      <c r="A192" t="s">
        <v>396</v>
      </c>
      <c r="B192" t="s">
        <v>163</v>
      </c>
      <c r="C192" t="s">
        <v>90</v>
      </c>
      <c r="D192" t="s">
        <v>144</v>
      </c>
      <c r="E192">
        <v>17</v>
      </c>
      <c r="F192">
        <v>1</v>
      </c>
      <c r="G192">
        <v>23</v>
      </c>
      <c r="H192">
        <v>39</v>
      </c>
      <c r="I192">
        <v>1</v>
      </c>
      <c r="J192" s="15">
        <v>41506.650069444448</v>
      </c>
      <c r="K192" s="15">
        <v>41506.650648148148</v>
      </c>
      <c r="O192" s="17">
        <v>0.83333332906477153</v>
      </c>
      <c r="P192">
        <v>1</v>
      </c>
      <c r="Q192" s="39">
        <v>41506</v>
      </c>
    </row>
    <row r="193" spans="1:17" x14ac:dyDescent="0.3">
      <c r="A193" t="s">
        <v>397</v>
      </c>
      <c r="B193" t="s">
        <v>180</v>
      </c>
      <c r="C193" t="s">
        <v>133</v>
      </c>
      <c r="D193" t="s">
        <v>144</v>
      </c>
      <c r="E193">
        <v>48</v>
      </c>
      <c r="F193">
        <v>4</v>
      </c>
      <c r="G193">
        <v>12</v>
      </c>
      <c r="H193">
        <v>35</v>
      </c>
      <c r="I193">
        <v>2</v>
      </c>
      <c r="J193" s="15">
        <v>41506.650717592594</v>
      </c>
      <c r="K193" s="15">
        <v>41506.655740740738</v>
      </c>
      <c r="O193" s="17">
        <v>7.2333333268761635</v>
      </c>
      <c r="P193">
        <v>1</v>
      </c>
      <c r="Q193" s="39">
        <v>41506</v>
      </c>
    </row>
    <row r="194" spans="1:17" x14ac:dyDescent="0.3">
      <c r="A194" t="s">
        <v>398</v>
      </c>
      <c r="B194" t="s">
        <v>182</v>
      </c>
      <c r="C194" t="s">
        <v>134</v>
      </c>
      <c r="D194" t="s">
        <v>136</v>
      </c>
      <c r="E194">
        <v>1</v>
      </c>
      <c r="F194">
        <v>2</v>
      </c>
      <c r="G194">
        <v>36</v>
      </c>
      <c r="H194">
        <v>41</v>
      </c>
      <c r="I194">
        <v>1</v>
      </c>
      <c r="J194" s="15">
        <v>41506.655844907407</v>
      </c>
      <c r="K194" s="15">
        <v>41506.656377314815</v>
      </c>
      <c r="O194" s="17">
        <v>0.76666666776873171</v>
      </c>
      <c r="P194">
        <v>1</v>
      </c>
      <c r="Q194" s="39">
        <v>41506</v>
      </c>
    </row>
    <row r="195" spans="1:17" x14ac:dyDescent="0.3">
      <c r="A195" t="s">
        <v>399</v>
      </c>
      <c r="B195" t="s">
        <v>162</v>
      </c>
      <c r="C195" t="s">
        <v>82</v>
      </c>
      <c r="D195" t="s">
        <v>136</v>
      </c>
      <c r="E195">
        <v>5</v>
      </c>
      <c r="F195">
        <v>1.5</v>
      </c>
      <c r="G195">
        <v>95</v>
      </c>
      <c r="H195">
        <v>123</v>
      </c>
      <c r="I195">
        <v>0</v>
      </c>
      <c r="J195" s="15">
        <v>41506.656469907408</v>
      </c>
      <c r="K195" s="15">
        <v>41506.657569444447</v>
      </c>
      <c r="N195" t="s">
        <v>265</v>
      </c>
      <c r="O195" s="17">
        <v>1.5833333367481828</v>
      </c>
      <c r="P195">
        <v>1</v>
      </c>
      <c r="Q195" s="39">
        <v>41506</v>
      </c>
    </row>
    <row r="196" spans="1:17" x14ac:dyDescent="0.3">
      <c r="A196" t="s">
        <v>212</v>
      </c>
      <c r="B196" t="s">
        <v>162</v>
      </c>
      <c r="C196" t="s">
        <v>82</v>
      </c>
      <c r="D196" t="s">
        <v>146</v>
      </c>
      <c r="E196">
        <v>34</v>
      </c>
      <c r="F196">
        <v>2.5</v>
      </c>
      <c r="G196">
        <v>113</v>
      </c>
      <c r="H196">
        <v>150</v>
      </c>
      <c r="I196">
        <v>1</v>
      </c>
      <c r="J196" s="15">
        <v>41506.658993055556</v>
      </c>
      <c r="K196" s="15">
        <v>41506.667662037034</v>
      </c>
      <c r="M196">
        <v>1</v>
      </c>
      <c r="O196" s="17">
        <v>12.483333328273147</v>
      </c>
      <c r="P196">
        <v>2</v>
      </c>
      <c r="Q196" s="39">
        <v>41506</v>
      </c>
    </row>
    <row r="197" spans="1:17" x14ac:dyDescent="0.3">
      <c r="A197" t="s">
        <v>400</v>
      </c>
      <c r="B197" t="s">
        <v>183</v>
      </c>
      <c r="C197" t="s">
        <v>83</v>
      </c>
      <c r="D197" t="s">
        <v>155</v>
      </c>
      <c r="E197">
        <v>12</v>
      </c>
      <c r="F197">
        <v>1</v>
      </c>
      <c r="G197">
        <v>44</v>
      </c>
      <c r="H197">
        <v>60</v>
      </c>
      <c r="I197">
        <v>0.5</v>
      </c>
      <c r="J197" s="15">
        <v>41506.668761574074</v>
      </c>
      <c r="K197" s="15">
        <v>41506.669849537036</v>
      </c>
      <c r="O197" s="17">
        <v>1.5666666661854833</v>
      </c>
      <c r="P197">
        <v>1</v>
      </c>
      <c r="Q197" s="39">
        <v>41506</v>
      </c>
    </row>
    <row r="198" spans="1:17" x14ac:dyDescent="0.3">
      <c r="A198" t="s">
        <v>401</v>
      </c>
      <c r="B198" t="s">
        <v>341</v>
      </c>
      <c r="C198" t="s">
        <v>96</v>
      </c>
      <c r="D198" t="s">
        <v>136</v>
      </c>
      <c r="E198">
        <v>5</v>
      </c>
      <c r="F198">
        <v>1</v>
      </c>
      <c r="G198">
        <v>15</v>
      </c>
      <c r="H198">
        <v>30</v>
      </c>
      <c r="I198">
        <v>0.5</v>
      </c>
      <c r="J198" s="15">
        <v>41506.751574074071</v>
      </c>
      <c r="K198" s="15">
        <v>41506.753784722219</v>
      </c>
      <c r="O198" s="17">
        <v>3.183333333581686</v>
      </c>
      <c r="P198">
        <v>1</v>
      </c>
      <c r="Q198" s="39">
        <v>41506</v>
      </c>
    </row>
    <row r="199" spans="1:17" x14ac:dyDescent="0.3">
      <c r="A199" t="s">
        <v>402</v>
      </c>
      <c r="B199" t="s">
        <v>166</v>
      </c>
      <c r="C199" t="s">
        <v>92</v>
      </c>
      <c r="D199" t="s">
        <v>136</v>
      </c>
      <c r="E199">
        <v>4</v>
      </c>
      <c r="F199">
        <v>4</v>
      </c>
      <c r="G199">
        <v>31</v>
      </c>
      <c r="H199">
        <v>48</v>
      </c>
      <c r="I199">
        <v>1</v>
      </c>
      <c r="J199" s="15">
        <v>41506.753923611112</v>
      </c>
      <c r="K199" s="15">
        <v>41506.759212962963</v>
      </c>
      <c r="M199">
        <v>1</v>
      </c>
      <c r="O199" s="17">
        <v>7.6166666659992188</v>
      </c>
      <c r="P199">
        <v>1</v>
      </c>
      <c r="Q199" s="39">
        <v>41506</v>
      </c>
    </row>
    <row r="200" spans="1:17" x14ac:dyDescent="0.3">
      <c r="A200" t="s">
        <v>403</v>
      </c>
      <c r="B200" t="s">
        <v>189</v>
      </c>
      <c r="C200" t="s">
        <v>102</v>
      </c>
      <c r="D200" t="s">
        <v>136</v>
      </c>
      <c r="E200">
        <v>10</v>
      </c>
      <c r="F200">
        <v>2</v>
      </c>
      <c r="G200">
        <v>14</v>
      </c>
      <c r="H200">
        <v>33</v>
      </c>
      <c r="I200">
        <v>0.5</v>
      </c>
      <c r="J200" s="15">
        <v>41506.764733796299</v>
      </c>
      <c r="K200" s="15">
        <v>41506.767685185187</v>
      </c>
      <c r="O200" s="17">
        <v>4.2499999981373549</v>
      </c>
      <c r="P200">
        <v>1</v>
      </c>
      <c r="Q200" s="39">
        <v>41506</v>
      </c>
    </row>
    <row r="201" spans="1:17" x14ac:dyDescent="0.3">
      <c r="A201" t="s">
        <v>404</v>
      </c>
      <c r="B201" t="s">
        <v>184</v>
      </c>
      <c r="C201" t="s">
        <v>94</v>
      </c>
      <c r="D201" t="s">
        <v>136</v>
      </c>
      <c r="E201">
        <v>5</v>
      </c>
      <c r="F201">
        <v>2</v>
      </c>
      <c r="G201">
        <v>70</v>
      </c>
      <c r="H201">
        <v>121</v>
      </c>
      <c r="I201">
        <v>1.25</v>
      </c>
      <c r="J201" s="15">
        <v>41506.772280092591</v>
      </c>
      <c r="K201" s="15">
        <v>41506.773692129631</v>
      </c>
      <c r="O201" s="17">
        <v>2.0333333371672779</v>
      </c>
      <c r="P201">
        <v>1</v>
      </c>
      <c r="Q201" s="39">
        <v>41506</v>
      </c>
    </row>
    <row r="202" spans="1:17" x14ac:dyDescent="0.3">
      <c r="A202" t="s">
        <v>405</v>
      </c>
      <c r="B202" t="s">
        <v>183</v>
      </c>
      <c r="C202" t="s">
        <v>83</v>
      </c>
      <c r="D202" t="s">
        <v>150</v>
      </c>
      <c r="E202">
        <v>2</v>
      </c>
      <c r="F202">
        <v>4</v>
      </c>
      <c r="G202">
        <v>51</v>
      </c>
      <c r="H202">
        <v>69</v>
      </c>
      <c r="I202">
        <v>1.5</v>
      </c>
      <c r="J202" s="15">
        <v>41506.78365740741</v>
      </c>
      <c r="K202" s="15">
        <v>41506.789085648146</v>
      </c>
      <c r="O202" s="17">
        <v>7.8166666603647172</v>
      </c>
      <c r="P202">
        <v>1</v>
      </c>
      <c r="Q202" s="39">
        <v>41506</v>
      </c>
    </row>
    <row r="203" spans="1:17" x14ac:dyDescent="0.3">
      <c r="A203" t="s">
        <v>406</v>
      </c>
      <c r="B203" t="s">
        <v>184</v>
      </c>
      <c r="C203" t="s">
        <v>94</v>
      </c>
      <c r="D203" t="s">
        <v>164</v>
      </c>
      <c r="E203">
        <v>6</v>
      </c>
      <c r="F203">
        <v>1</v>
      </c>
      <c r="G203">
        <v>82</v>
      </c>
      <c r="H203">
        <v>143</v>
      </c>
      <c r="I203">
        <v>0</v>
      </c>
      <c r="J203" s="15">
        <v>41506.793611111112</v>
      </c>
      <c r="K203" s="15">
        <v>41506.796365740738</v>
      </c>
      <c r="O203" s="17">
        <v>3.9666666614357382</v>
      </c>
      <c r="P203">
        <v>1</v>
      </c>
      <c r="Q203" s="39">
        <v>41506</v>
      </c>
    </row>
    <row r="204" spans="1:17" x14ac:dyDescent="0.3">
      <c r="A204" t="s">
        <v>407</v>
      </c>
      <c r="B204" t="s">
        <v>190</v>
      </c>
      <c r="C204" t="s">
        <v>87</v>
      </c>
      <c r="D204" t="s">
        <v>144</v>
      </c>
      <c r="E204">
        <v>10</v>
      </c>
      <c r="F204">
        <v>1</v>
      </c>
      <c r="G204">
        <v>42</v>
      </c>
      <c r="H204">
        <v>68</v>
      </c>
      <c r="I204">
        <v>0</v>
      </c>
      <c r="J204" s="15">
        <v>41506.796805555554</v>
      </c>
      <c r="K204" s="15">
        <v>41506.798032407409</v>
      </c>
      <c r="O204" s="17">
        <v>1.7666666710283607</v>
      </c>
      <c r="P204">
        <v>1</v>
      </c>
      <c r="Q204" s="39">
        <v>41506</v>
      </c>
    </row>
    <row r="205" spans="1:17" x14ac:dyDescent="0.3">
      <c r="A205" t="s">
        <v>408</v>
      </c>
      <c r="B205" t="s">
        <v>185</v>
      </c>
      <c r="C205" t="s">
        <v>93</v>
      </c>
      <c r="D205" t="s">
        <v>136</v>
      </c>
      <c r="E205">
        <v>4</v>
      </c>
      <c r="F205">
        <v>2</v>
      </c>
      <c r="G205">
        <v>25</v>
      </c>
      <c r="H205">
        <v>36</v>
      </c>
      <c r="I205">
        <v>1.5</v>
      </c>
      <c r="J205" s="15">
        <v>41506.798194444447</v>
      </c>
      <c r="K205" s="15">
        <v>41506.800474537034</v>
      </c>
      <c r="O205" s="17">
        <v>3.2833333255257457</v>
      </c>
      <c r="P205">
        <v>1</v>
      </c>
      <c r="Q205" s="39">
        <v>41506</v>
      </c>
    </row>
    <row r="206" spans="1:17" x14ac:dyDescent="0.3">
      <c r="A206" t="s">
        <v>409</v>
      </c>
      <c r="B206" t="s">
        <v>162</v>
      </c>
      <c r="C206" t="s">
        <v>82</v>
      </c>
      <c r="D206" t="s">
        <v>136</v>
      </c>
      <c r="E206">
        <v>2</v>
      </c>
      <c r="F206">
        <v>2</v>
      </c>
      <c r="G206">
        <v>94</v>
      </c>
      <c r="H206">
        <v>121</v>
      </c>
      <c r="I206">
        <v>1</v>
      </c>
      <c r="J206" s="15">
        <v>41506.814062500001</v>
      </c>
      <c r="K206" s="15">
        <v>41506.814629629633</v>
      </c>
      <c r="O206" s="17">
        <v>0.81666666897945106</v>
      </c>
      <c r="P206">
        <v>1</v>
      </c>
      <c r="Q206" s="39">
        <v>41506</v>
      </c>
    </row>
    <row r="207" spans="1:17" x14ac:dyDescent="0.3">
      <c r="A207" t="s">
        <v>410</v>
      </c>
      <c r="B207" t="s">
        <v>191</v>
      </c>
      <c r="C207" t="s">
        <v>72</v>
      </c>
      <c r="D207" t="s">
        <v>142</v>
      </c>
      <c r="E207">
        <v>1</v>
      </c>
      <c r="F207">
        <v>1</v>
      </c>
      <c r="G207">
        <v>20</v>
      </c>
      <c r="H207">
        <v>32</v>
      </c>
      <c r="I207">
        <v>1</v>
      </c>
      <c r="J207" s="15">
        <v>41506.814780092594</v>
      </c>
      <c r="K207" s="15">
        <v>41506.81627314815</v>
      </c>
      <c r="O207" s="17">
        <v>2.1499999996740371</v>
      </c>
      <c r="P207">
        <v>1</v>
      </c>
      <c r="Q207" s="39">
        <v>41506</v>
      </c>
    </row>
    <row r="208" spans="1:17" x14ac:dyDescent="0.3">
      <c r="A208" t="s">
        <v>411</v>
      </c>
      <c r="B208" t="s">
        <v>162</v>
      </c>
      <c r="C208" t="s">
        <v>82</v>
      </c>
      <c r="D208" t="s">
        <v>146</v>
      </c>
      <c r="E208">
        <v>22</v>
      </c>
      <c r="F208">
        <v>2</v>
      </c>
      <c r="G208">
        <v>113</v>
      </c>
      <c r="H208">
        <v>150</v>
      </c>
      <c r="I208">
        <v>0</v>
      </c>
      <c r="J208" s="15">
        <v>41506.816423611112</v>
      </c>
      <c r="K208" s="15">
        <v>41506.821134259262</v>
      </c>
      <c r="N208" t="s">
        <v>265</v>
      </c>
      <c r="O208" s="17">
        <v>6.7833333369344473</v>
      </c>
      <c r="P208">
        <v>1</v>
      </c>
      <c r="Q208" s="39">
        <v>41506</v>
      </c>
    </row>
    <row r="209" spans="1:17" x14ac:dyDescent="0.3">
      <c r="A209" t="s">
        <v>412</v>
      </c>
      <c r="B209" t="s">
        <v>341</v>
      </c>
      <c r="C209" t="s">
        <v>96</v>
      </c>
      <c r="D209" t="s">
        <v>136</v>
      </c>
      <c r="E209">
        <v>6</v>
      </c>
      <c r="F209">
        <v>1</v>
      </c>
      <c r="G209">
        <v>15</v>
      </c>
      <c r="H209">
        <v>30</v>
      </c>
      <c r="I209">
        <v>0.5</v>
      </c>
      <c r="J209" s="15">
        <v>41506.821284722224</v>
      </c>
      <c r="K209" s="15">
        <v>41506.822754629633</v>
      </c>
      <c r="O209" s="17">
        <v>2.1166666690260172</v>
      </c>
      <c r="P209">
        <v>1</v>
      </c>
      <c r="Q209" s="39">
        <v>41506</v>
      </c>
    </row>
    <row r="210" spans="1:17" x14ac:dyDescent="0.3">
      <c r="A210" t="s">
        <v>413</v>
      </c>
      <c r="B210" t="s">
        <v>333</v>
      </c>
      <c r="C210" t="s">
        <v>99</v>
      </c>
      <c r="D210" t="s">
        <v>140</v>
      </c>
      <c r="E210">
        <v>31</v>
      </c>
      <c r="F210">
        <v>3</v>
      </c>
      <c r="G210">
        <v>20</v>
      </c>
      <c r="H210">
        <v>32</v>
      </c>
      <c r="I210">
        <v>1.5</v>
      </c>
      <c r="J210" s="15">
        <v>41506.822916666664</v>
      </c>
      <c r="K210" s="15">
        <v>41506.831562500003</v>
      </c>
      <c r="O210" s="17">
        <v>12.450000008102506</v>
      </c>
      <c r="P210">
        <v>1</v>
      </c>
      <c r="Q210" s="39">
        <v>41506</v>
      </c>
    </row>
    <row r="211" spans="1:17" x14ac:dyDescent="0.3">
      <c r="A211" t="s">
        <v>414</v>
      </c>
      <c r="B211" t="s">
        <v>341</v>
      </c>
      <c r="C211" t="s">
        <v>96</v>
      </c>
      <c r="D211" t="s">
        <v>136</v>
      </c>
      <c r="E211">
        <v>3</v>
      </c>
      <c r="F211">
        <v>1</v>
      </c>
      <c r="G211">
        <v>14</v>
      </c>
      <c r="H211">
        <v>30</v>
      </c>
      <c r="I211">
        <v>1</v>
      </c>
      <c r="J211" s="15">
        <v>41507.672233796293</v>
      </c>
      <c r="K211" s="15">
        <v>41507.67391203704</v>
      </c>
      <c r="O211" s="17">
        <v>2.4166666762903333</v>
      </c>
      <c r="P211">
        <v>1</v>
      </c>
      <c r="Q211" s="39">
        <v>41507</v>
      </c>
    </row>
    <row r="212" spans="1:17" x14ac:dyDescent="0.3">
      <c r="A212" t="s">
        <v>415</v>
      </c>
      <c r="B212" t="s">
        <v>191</v>
      </c>
      <c r="C212" t="s">
        <v>72</v>
      </c>
      <c r="D212" t="s">
        <v>138</v>
      </c>
      <c r="E212">
        <v>27</v>
      </c>
      <c r="F212">
        <v>2</v>
      </c>
      <c r="G212">
        <v>17</v>
      </c>
      <c r="H212">
        <v>29</v>
      </c>
      <c r="I212">
        <v>0</v>
      </c>
      <c r="J212" s="15">
        <v>41507.673993055556</v>
      </c>
      <c r="K212" s="15">
        <v>41507.677789351852</v>
      </c>
      <c r="O212" s="17">
        <v>5.4666666663251817</v>
      </c>
      <c r="P212">
        <v>1</v>
      </c>
      <c r="Q212" s="39">
        <v>41507</v>
      </c>
    </row>
    <row r="213" spans="1:17" x14ac:dyDescent="0.3">
      <c r="A213" t="s">
        <v>416</v>
      </c>
      <c r="B213" t="s">
        <v>187</v>
      </c>
      <c r="C213" t="s">
        <v>95</v>
      </c>
      <c r="D213" t="s">
        <v>136</v>
      </c>
      <c r="E213">
        <v>9</v>
      </c>
      <c r="F213">
        <v>3</v>
      </c>
      <c r="G213">
        <v>44</v>
      </c>
      <c r="H213">
        <v>71</v>
      </c>
      <c r="I213">
        <v>0.5</v>
      </c>
      <c r="J213" s="15">
        <v>41507.677858796298</v>
      </c>
      <c r="K213" s="15">
        <v>41507.685798611114</v>
      </c>
      <c r="O213" s="17">
        <v>11.433333334280178</v>
      </c>
      <c r="P213">
        <v>1</v>
      </c>
      <c r="Q213" s="39">
        <v>41507</v>
      </c>
    </row>
    <row r="214" spans="1:17" x14ac:dyDescent="0.3">
      <c r="A214" t="s">
        <v>417</v>
      </c>
      <c r="B214" t="s">
        <v>185</v>
      </c>
      <c r="C214" t="s">
        <v>93</v>
      </c>
      <c r="D214" t="s">
        <v>153</v>
      </c>
      <c r="E214">
        <v>34</v>
      </c>
      <c r="F214">
        <v>4.5</v>
      </c>
      <c r="G214">
        <v>32</v>
      </c>
      <c r="H214">
        <v>49</v>
      </c>
      <c r="I214">
        <v>1</v>
      </c>
      <c r="J214" s="15">
        <v>41507.686018518521</v>
      </c>
      <c r="K214" s="15">
        <v>41507.70045138889</v>
      </c>
      <c r="O214" s="17">
        <v>20.783333330182359</v>
      </c>
      <c r="P214">
        <v>1</v>
      </c>
      <c r="Q214" s="39">
        <v>41507</v>
      </c>
    </row>
    <row r="215" spans="1:17" x14ac:dyDescent="0.3">
      <c r="A215" t="s">
        <v>418</v>
      </c>
      <c r="B215" t="s">
        <v>163</v>
      </c>
      <c r="C215" t="s">
        <v>90</v>
      </c>
      <c r="D215" t="s">
        <v>153</v>
      </c>
      <c r="E215">
        <v>29</v>
      </c>
      <c r="F215">
        <v>2</v>
      </c>
      <c r="G215">
        <v>28</v>
      </c>
      <c r="H215">
        <v>47</v>
      </c>
      <c r="I215">
        <v>1.75</v>
      </c>
      <c r="J215" s="15">
        <v>41507.739803240744</v>
      </c>
      <c r="K215" s="15">
        <v>41507.741006944445</v>
      </c>
      <c r="O215" s="17">
        <v>1.7333333299029619</v>
      </c>
      <c r="P215">
        <v>1</v>
      </c>
      <c r="Q215" s="39">
        <v>41507</v>
      </c>
    </row>
    <row r="216" spans="1:17" x14ac:dyDescent="0.3">
      <c r="A216" t="s">
        <v>419</v>
      </c>
      <c r="B216" t="s">
        <v>191</v>
      </c>
      <c r="C216" t="s">
        <v>72</v>
      </c>
      <c r="D216" t="s">
        <v>140</v>
      </c>
      <c r="E216">
        <v>40</v>
      </c>
      <c r="F216">
        <v>2.5</v>
      </c>
      <c r="G216">
        <v>19</v>
      </c>
      <c r="H216">
        <v>31</v>
      </c>
      <c r="I216">
        <v>0.5</v>
      </c>
      <c r="J216" s="15">
        <v>41507.741099537037</v>
      </c>
      <c r="K216" s="15">
        <v>41507.743576388886</v>
      </c>
      <c r="O216" s="17">
        <v>3.5666666622273624</v>
      </c>
      <c r="P216">
        <v>1</v>
      </c>
      <c r="Q216" s="39">
        <v>41507</v>
      </c>
    </row>
    <row r="217" spans="1:17" x14ac:dyDescent="0.3">
      <c r="A217" t="s">
        <v>420</v>
      </c>
      <c r="B217" t="s">
        <v>189</v>
      </c>
      <c r="C217" t="s">
        <v>102</v>
      </c>
      <c r="D217" t="s">
        <v>138</v>
      </c>
      <c r="E217">
        <v>25</v>
      </c>
      <c r="F217">
        <v>3</v>
      </c>
      <c r="G217">
        <v>17</v>
      </c>
      <c r="H217">
        <v>35</v>
      </c>
      <c r="I217">
        <v>1</v>
      </c>
      <c r="J217" s="15">
        <v>41507.745046296295</v>
      </c>
      <c r="K217" s="15">
        <v>41507.750787037039</v>
      </c>
      <c r="M217">
        <v>1</v>
      </c>
      <c r="O217" s="17">
        <v>8.2666666712611914</v>
      </c>
      <c r="P217">
        <v>1</v>
      </c>
      <c r="Q217" s="39">
        <v>41507</v>
      </c>
    </row>
    <row r="218" spans="1:17" x14ac:dyDescent="0.3">
      <c r="A218" t="s">
        <v>421</v>
      </c>
      <c r="B218" t="s">
        <v>184</v>
      </c>
      <c r="C218" t="s">
        <v>94</v>
      </c>
      <c r="D218" t="s">
        <v>153</v>
      </c>
      <c r="E218">
        <v>26</v>
      </c>
      <c r="F218">
        <v>2</v>
      </c>
      <c r="G218">
        <v>113</v>
      </c>
      <c r="H218">
        <v>177</v>
      </c>
      <c r="I218">
        <v>1</v>
      </c>
      <c r="J218" s="15">
        <v>41507.750891203701</v>
      </c>
      <c r="K218" s="15">
        <v>41507.763506944444</v>
      </c>
      <c r="O218" s="17">
        <v>18.166666670003906</v>
      </c>
      <c r="P218">
        <v>1</v>
      </c>
      <c r="Q218" s="39">
        <v>41507</v>
      </c>
    </row>
    <row r="219" spans="1:17" x14ac:dyDescent="0.3">
      <c r="A219" t="s">
        <v>422</v>
      </c>
      <c r="B219" t="s">
        <v>163</v>
      </c>
      <c r="C219" t="s">
        <v>90</v>
      </c>
      <c r="D219" t="s">
        <v>136</v>
      </c>
      <c r="E219">
        <v>2</v>
      </c>
      <c r="F219">
        <v>1</v>
      </c>
      <c r="G219">
        <v>21</v>
      </c>
      <c r="H219">
        <v>30</v>
      </c>
      <c r="I219">
        <v>0.5</v>
      </c>
      <c r="J219" s="15">
        <v>41507.76358796296</v>
      </c>
      <c r="K219" s="15">
        <v>41507.765023148146</v>
      </c>
      <c r="O219" s="17">
        <v>2.0666666678152978</v>
      </c>
      <c r="P219">
        <v>1</v>
      </c>
      <c r="Q219" s="39">
        <v>41507</v>
      </c>
    </row>
    <row r="220" spans="1:17" x14ac:dyDescent="0.3">
      <c r="A220" t="s">
        <v>423</v>
      </c>
      <c r="B220" t="s">
        <v>189</v>
      </c>
      <c r="C220" t="s">
        <v>102</v>
      </c>
      <c r="D220" t="s">
        <v>172</v>
      </c>
      <c r="E220">
        <v>19</v>
      </c>
      <c r="F220">
        <v>1</v>
      </c>
      <c r="G220">
        <v>18</v>
      </c>
      <c r="H220">
        <v>36</v>
      </c>
      <c r="I220">
        <v>1</v>
      </c>
      <c r="J220" s="15">
        <v>41507.765138888892</v>
      </c>
      <c r="K220" s="15">
        <v>41507.766400462962</v>
      </c>
      <c r="O220" s="17">
        <v>1.8166666617617011</v>
      </c>
      <c r="P220">
        <v>1</v>
      </c>
      <c r="Q220" s="39">
        <v>41507</v>
      </c>
    </row>
    <row r="221" spans="1:17" x14ac:dyDescent="0.3">
      <c r="A221" t="s">
        <v>424</v>
      </c>
      <c r="B221" t="s">
        <v>188</v>
      </c>
      <c r="C221" t="s">
        <v>88</v>
      </c>
      <c r="D221" t="s">
        <v>136</v>
      </c>
      <c r="E221">
        <v>40</v>
      </c>
      <c r="F221">
        <v>1</v>
      </c>
      <c r="G221">
        <v>42</v>
      </c>
      <c r="H221">
        <v>68</v>
      </c>
      <c r="I221">
        <v>0</v>
      </c>
      <c r="J221" s="15">
        <v>41507.766481481478</v>
      </c>
      <c r="K221" s="15">
        <v>41507.766805555555</v>
      </c>
      <c r="N221" t="s">
        <v>265</v>
      </c>
      <c r="O221" s="17">
        <v>0.4666666709817946</v>
      </c>
      <c r="P221">
        <v>1</v>
      </c>
      <c r="Q221" s="39">
        <v>41507</v>
      </c>
    </row>
    <row r="222" spans="1:17" x14ac:dyDescent="0.3">
      <c r="A222" t="s">
        <v>425</v>
      </c>
      <c r="B222" t="s">
        <v>184</v>
      </c>
      <c r="C222" t="s">
        <v>94</v>
      </c>
      <c r="D222" t="s">
        <v>169</v>
      </c>
      <c r="E222">
        <v>48</v>
      </c>
      <c r="F222">
        <v>3</v>
      </c>
      <c r="G222">
        <v>87</v>
      </c>
      <c r="H222">
        <v>148</v>
      </c>
      <c r="I222">
        <v>1.5</v>
      </c>
      <c r="J222" s="15">
        <v>41507.766875000001</v>
      </c>
      <c r="K222" s="15">
        <v>41507.77375</v>
      </c>
      <c r="O222" s="17">
        <v>9.8999999987427145</v>
      </c>
      <c r="P222">
        <v>1</v>
      </c>
      <c r="Q222" s="39">
        <v>41507</v>
      </c>
    </row>
    <row r="223" spans="1:17" x14ac:dyDescent="0.3">
      <c r="A223" t="s">
        <v>426</v>
      </c>
      <c r="B223" t="s">
        <v>238</v>
      </c>
      <c r="C223" t="s">
        <v>89</v>
      </c>
      <c r="D223" t="s">
        <v>136</v>
      </c>
      <c r="E223">
        <v>6</v>
      </c>
      <c r="F223">
        <v>1</v>
      </c>
      <c r="G223">
        <v>44</v>
      </c>
      <c r="H223">
        <v>67</v>
      </c>
      <c r="I223">
        <v>1</v>
      </c>
      <c r="J223" s="15">
        <v>41508.309398148151</v>
      </c>
      <c r="K223" s="15">
        <v>41508.313078703701</v>
      </c>
      <c r="O223" s="17">
        <v>5.2999999921303242</v>
      </c>
      <c r="P223">
        <v>1</v>
      </c>
      <c r="Q223" s="39">
        <v>41508</v>
      </c>
    </row>
    <row r="224" spans="1:17" x14ac:dyDescent="0.3">
      <c r="A224" t="s">
        <v>427</v>
      </c>
      <c r="B224" t="s">
        <v>185</v>
      </c>
      <c r="C224" t="s">
        <v>93</v>
      </c>
      <c r="D224" t="s">
        <v>136</v>
      </c>
      <c r="E224">
        <v>37</v>
      </c>
      <c r="F224">
        <v>4</v>
      </c>
      <c r="G224">
        <v>35</v>
      </c>
      <c r="H224">
        <v>56</v>
      </c>
      <c r="I224">
        <v>0</v>
      </c>
      <c r="J224" s="15">
        <v>41508.313078703701</v>
      </c>
      <c r="K224" s="15">
        <v>41508.313425925924</v>
      </c>
      <c r="N224" t="s">
        <v>265</v>
      </c>
      <c r="O224" s="17">
        <v>0.50000000162981451</v>
      </c>
      <c r="P224">
        <v>1</v>
      </c>
      <c r="Q224" s="39">
        <v>41508</v>
      </c>
    </row>
    <row r="225" spans="1:17" x14ac:dyDescent="0.3">
      <c r="A225" t="s">
        <v>428</v>
      </c>
      <c r="B225" t="s">
        <v>192</v>
      </c>
      <c r="C225" t="s">
        <v>103</v>
      </c>
      <c r="D225" t="s">
        <v>136</v>
      </c>
      <c r="E225">
        <v>1</v>
      </c>
      <c r="F225">
        <v>1</v>
      </c>
      <c r="G225">
        <v>16</v>
      </c>
      <c r="H225">
        <v>38</v>
      </c>
      <c r="I225">
        <v>1</v>
      </c>
      <c r="J225" s="15">
        <v>41508.313425925924</v>
      </c>
      <c r="K225" s="15">
        <v>41508.314629629633</v>
      </c>
      <c r="O225" s="17">
        <v>1.7333333403803408</v>
      </c>
      <c r="P225">
        <v>1</v>
      </c>
      <c r="Q225" s="39">
        <v>41508</v>
      </c>
    </row>
    <row r="226" spans="1:17" x14ac:dyDescent="0.3">
      <c r="A226" t="s">
        <v>429</v>
      </c>
      <c r="B226" t="s">
        <v>188</v>
      </c>
      <c r="C226" t="s">
        <v>88</v>
      </c>
      <c r="D226" t="s">
        <v>165</v>
      </c>
      <c r="E226">
        <v>43</v>
      </c>
      <c r="F226">
        <v>3</v>
      </c>
      <c r="G226">
        <v>41</v>
      </c>
      <c r="H226">
        <v>66</v>
      </c>
      <c r="I226">
        <v>1.5</v>
      </c>
      <c r="J226" s="15">
        <v>41508.323055555556</v>
      </c>
      <c r="K226" s="15">
        <v>41508.32440972222</v>
      </c>
      <c r="M226">
        <v>1</v>
      </c>
      <c r="O226" s="17">
        <v>1.9499999948311597</v>
      </c>
      <c r="P226">
        <v>1</v>
      </c>
      <c r="Q226" s="39">
        <v>41508</v>
      </c>
    </row>
    <row r="227" spans="1:17" x14ac:dyDescent="0.3">
      <c r="A227" t="s">
        <v>430</v>
      </c>
      <c r="B227" t="s">
        <v>186</v>
      </c>
      <c r="C227" t="s">
        <v>98</v>
      </c>
      <c r="D227" t="s">
        <v>142</v>
      </c>
      <c r="E227">
        <v>48</v>
      </c>
      <c r="F227">
        <v>3</v>
      </c>
      <c r="G227">
        <v>22</v>
      </c>
      <c r="H227">
        <v>48</v>
      </c>
      <c r="I227">
        <v>2.75</v>
      </c>
      <c r="J227" s="15">
        <v>41508.411215277774</v>
      </c>
      <c r="K227" s="15">
        <v>41508.422685185185</v>
      </c>
      <c r="O227" s="17">
        <v>16.516666671959683</v>
      </c>
      <c r="P227">
        <v>1</v>
      </c>
      <c r="Q227" s="39">
        <v>41508</v>
      </c>
    </row>
    <row r="228" spans="1:17" x14ac:dyDescent="0.3">
      <c r="A228" t="s">
        <v>431</v>
      </c>
      <c r="B228" t="s">
        <v>180</v>
      </c>
      <c r="C228" t="s">
        <v>133</v>
      </c>
      <c r="D228" t="s">
        <v>152</v>
      </c>
      <c r="E228">
        <v>29</v>
      </c>
      <c r="F228">
        <v>2</v>
      </c>
      <c r="G228">
        <v>15</v>
      </c>
      <c r="H228">
        <v>43</v>
      </c>
      <c r="I228">
        <v>1.5</v>
      </c>
      <c r="J228" s="15">
        <v>41508.698275462964</v>
      </c>
      <c r="K228" s="15">
        <v>41508.699074074073</v>
      </c>
      <c r="O228" s="17">
        <v>1.1499999964144081</v>
      </c>
      <c r="P228">
        <v>1</v>
      </c>
      <c r="Q228" s="39">
        <v>41508</v>
      </c>
    </row>
    <row r="229" spans="1:17" x14ac:dyDescent="0.3">
      <c r="A229" t="s">
        <v>432</v>
      </c>
      <c r="B229" t="s">
        <v>184</v>
      </c>
      <c r="C229" t="s">
        <v>94</v>
      </c>
      <c r="D229" t="s">
        <v>165</v>
      </c>
      <c r="E229">
        <v>15</v>
      </c>
      <c r="F229">
        <v>1</v>
      </c>
      <c r="G229">
        <v>102</v>
      </c>
      <c r="H229">
        <v>169</v>
      </c>
      <c r="I229">
        <v>1</v>
      </c>
      <c r="J229" s="15">
        <v>41508.699143518519</v>
      </c>
      <c r="K229" s="15">
        <v>41508.699629629627</v>
      </c>
      <c r="O229" s="17">
        <v>0.69999999599531293</v>
      </c>
      <c r="P229">
        <v>1</v>
      </c>
      <c r="Q229" s="39">
        <v>41508</v>
      </c>
    </row>
    <row r="230" spans="1:17" x14ac:dyDescent="0.3">
      <c r="A230" t="s">
        <v>433</v>
      </c>
      <c r="B230" t="s">
        <v>186</v>
      </c>
      <c r="C230" t="s">
        <v>98</v>
      </c>
      <c r="D230" t="s">
        <v>142</v>
      </c>
      <c r="E230">
        <v>44</v>
      </c>
      <c r="F230">
        <v>2</v>
      </c>
      <c r="G230">
        <v>21</v>
      </c>
      <c r="H230">
        <v>47</v>
      </c>
      <c r="I230">
        <v>1</v>
      </c>
      <c r="J230" s="15">
        <v>41508.699733796297</v>
      </c>
      <c r="K230" s="15">
        <v>41508.709270833337</v>
      </c>
      <c r="M230">
        <v>1</v>
      </c>
      <c r="O230" s="17">
        <v>13.733333337586373</v>
      </c>
      <c r="P230">
        <v>1</v>
      </c>
      <c r="Q230" s="39">
        <v>41508</v>
      </c>
    </row>
    <row r="231" spans="1:17" x14ac:dyDescent="0.3">
      <c r="A231" t="s">
        <v>434</v>
      </c>
      <c r="B231" t="s">
        <v>159</v>
      </c>
      <c r="C231" t="s">
        <v>85</v>
      </c>
      <c r="D231" t="s">
        <v>136</v>
      </c>
      <c r="E231">
        <v>3</v>
      </c>
      <c r="F231">
        <v>2</v>
      </c>
      <c r="G231">
        <v>31</v>
      </c>
      <c r="H231">
        <v>43</v>
      </c>
      <c r="I231">
        <v>0.5</v>
      </c>
      <c r="J231" s="15">
        <v>41508.709421296298</v>
      </c>
      <c r="K231" s="15">
        <v>41508.710543981484</v>
      </c>
      <c r="O231" s="17">
        <v>1.6166666673962027</v>
      </c>
      <c r="P231">
        <v>1</v>
      </c>
      <c r="Q231" s="39">
        <v>41508</v>
      </c>
    </row>
    <row r="232" spans="1:17" x14ac:dyDescent="0.3">
      <c r="A232" t="s">
        <v>435</v>
      </c>
      <c r="B232" t="s">
        <v>188</v>
      </c>
      <c r="C232" t="s">
        <v>88</v>
      </c>
      <c r="D232" t="s">
        <v>138</v>
      </c>
      <c r="E232">
        <v>23</v>
      </c>
      <c r="F232">
        <v>2</v>
      </c>
      <c r="G232">
        <v>33</v>
      </c>
      <c r="H232">
        <v>58</v>
      </c>
      <c r="I232">
        <v>2</v>
      </c>
      <c r="J232" s="15">
        <v>41508.710810185185</v>
      </c>
      <c r="K232" s="15">
        <v>41508.713541666664</v>
      </c>
      <c r="O232" s="17">
        <v>3.9333333307877183</v>
      </c>
      <c r="P232">
        <v>1</v>
      </c>
      <c r="Q232" s="39">
        <v>41508</v>
      </c>
    </row>
    <row r="233" spans="1:17" x14ac:dyDescent="0.3">
      <c r="A233" t="s">
        <v>436</v>
      </c>
      <c r="B233" t="s">
        <v>183</v>
      </c>
      <c r="C233" t="s">
        <v>83</v>
      </c>
      <c r="D233" t="s">
        <v>142</v>
      </c>
      <c r="E233">
        <v>32</v>
      </c>
      <c r="F233">
        <v>3</v>
      </c>
      <c r="G233">
        <v>48</v>
      </c>
      <c r="H233">
        <v>65</v>
      </c>
      <c r="I233">
        <v>1</v>
      </c>
      <c r="J233" s="15">
        <v>41508.727696759262</v>
      </c>
      <c r="K233" s="15">
        <v>41508.730613425927</v>
      </c>
      <c r="L233" t="s">
        <v>338</v>
      </c>
      <c r="O233" s="17">
        <v>4.1999999969266355</v>
      </c>
      <c r="P233">
        <v>1</v>
      </c>
      <c r="Q233" s="39">
        <v>41508</v>
      </c>
    </row>
    <row r="234" spans="1:17" x14ac:dyDescent="0.3">
      <c r="A234" t="s">
        <v>229</v>
      </c>
      <c r="B234" t="s">
        <v>182</v>
      </c>
      <c r="C234" t="s">
        <v>134</v>
      </c>
      <c r="D234" t="s">
        <v>136</v>
      </c>
      <c r="E234">
        <v>4</v>
      </c>
      <c r="F234">
        <v>3</v>
      </c>
      <c r="G234">
        <v>36</v>
      </c>
      <c r="H234">
        <v>43</v>
      </c>
      <c r="I234">
        <v>0</v>
      </c>
      <c r="J234" s="15">
        <v>41508.733460648145</v>
      </c>
      <c r="K234" s="15">
        <v>41508.73704861111</v>
      </c>
      <c r="O234" s="17">
        <v>5.1666666695382446</v>
      </c>
      <c r="P234">
        <v>2</v>
      </c>
      <c r="Q234" s="39">
        <v>41508</v>
      </c>
    </row>
    <row r="235" spans="1:17" x14ac:dyDescent="0.3">
      <c r="A235" t="s">
        <v>437</v>
      </c>
      <c r="B235" t="s">
        <v>163</v>
      </c>
      <c r="C235" t="s">
        <v>90</v>
      </c>
      <c r="D235" t="s">
        <v>136</v>
      </c>
      <c r="E235">
        <v>6</v>
      </c>
      <c r="F235">
        <v>2</v>
      </c>
      <c r="G235">
        <v>21</v>
      </c>
      <c r="H235">
        <v>37</v>
      </c>
      <c r="I235">
        <v>2</v>
      </c>
      <c r="J235" s="15">
        <v>41508.745763888888</v>
      </c>
      <c r="K235" s="15">
        <v>41508.749710648146</v>
      </c>
      <c r="O235" s="17">
        <v>5.6833333312533796</v>
      </c>
      <c r="P235">
        <v>1</v>
      </c>
      <c r="Q235" s="39">
        <v>41508</v>
      </c>
    </row>
    <row r="236" spans="1:17" x14ac:dyDescent="0.3">
      <c r="A236" t="s">
        <v>438</v>
      </c>
      <c r="B236" t="s">
        <v>333</v>
      </c>
      <c r="C236" t="s">
        <v>99</v>
      </c>
      <c r="D236" t="s">
        <v>144</v>
      </c>
      <c r="E236">
        <v>2</v>
      </c>
      <c r="F236">
        <v>1</v>
      </c>
      <c r="G236">
        <v>22</v>
      </c>
      <c r="H236">
        <v>35</v>
      </c>
      <c r="I236">
        <v>0.5</v>
      </c>
      <c r="J236" s="15">
        <v>41508.749988425923</v>
      </c>
      <c r="K236" s="15">
        <v>41508.750462962962</v>
      </c>
      <c r="L236" t="s">
        <v>338</v>
      </c>
      <c r="O236" s="17">
        <v>0.68333333590999246</v>
      </c>
      <c r="P236">
        <v>1</v>
      </c>
      <c r="Q236" s="39">
        <v>41508</v>
      </c>
    </row>
    <row r="237" spans="1:17" x14ac:dyDescent="0.3">
      <c r="A237" t="s">
        <v>439</v>
      </c>
      <c r="B237" t="s">
        <v>187</v>
      </c>
      <c r="C237" t="s">
        <v>95</v>
      </c>
      <c r="D237" t="s">
        <v>136</v>
      </c>
      <c r="E237">
        <v>3</v>
      </c>
      <c r="F237">
        <v>3</v>
      </c>
      <c r="G237">
        <v>41</v>
      </c>
      <c r="H237">
        <v>60</v>
      </c>
      <c r="I237">
        <v>0</v>
      </c>
      <c r="J237" s="15">
        <v>41508.758715277778</v>
      </c>
      <c r="K237" s="15">
        <v>41508.767175925925</v>
      </c>
      <c r="M237">
        <v>1</v>
      </c>
      <c r="O237" s="17">
        <v>12.18333333148621</v>
      </c>
      <c r="P237">
        <v>1</v>
      </c>
      <c r="Q237" s="39">
        <v>41508</v>
      </c>
    </row>
    <row r="238" spans="1:17" x14ac:dyDescent="0.3">
      <c r="A238" t="s">
        <v>440</v>
      </c>
      <c r="B238" t="s">
        <v>333</v>
      </c>
      <c r="C238" t="s">
        <v>99</v>
      </c>
      <c r="D238" t="s">
        <v>136</v>
      </c>
      <c r="E238">
        <v>1</v>
      </c>
      <c r="F238">
        <v>2</v>
      </c>
      <c r="G238">
        <v>14</v>
      </c>
      <c r="H238">
        <v>25</v>
      </c>
      <c r="I238">
        <v>1.25</v>
      </c>
      <c r="J238" s="15">
        <v>41508.779120370367</v>
      </c>
      <c r="K238" s="15">
        <v>41508.783391203702</v>
      </c>
      <c r="O238" s="17">
        <v>6.1500000022351742</v>
      </c>
      <c r="P238">
        <v>1</v>
      </c>
      <c r="Q238" s="39">
        <v>41508</v>
      </c>
    </row>
    <row r="239" spans="1:17" x14ac:dyDescent="0.3">
      <c r="A239" t="s">
        <v>221</v>
      </c>
      <c r="B239" t="s">
        <v>159</v>
      </c>
      <c r="C239" t="s">
        <v>85</v>
      </c>
      <c r="D239" t="s">
        <v>136</v>
      </c>
      <c r="E239">
        <v>5</v>
      </c>
      <c r="F239">
        <v>2</v>
      </c>
      <c r="G239">
        <v>31</v>
      </c>
      <c r="H239">
        <v>48</v>
      </c>
      <c r="I239">
        <v>0.25</v>
      </c>
      <c r="J239" s="15">
        <v>41509.846898148149</v>
      </c>
      <c r="K239" s="15">
        <v>41509.850798611114</v>
      </c>
      <c r="M239">
        <v>1</v>
      </c>
      <c r="O239" s="17">
        <v>5.6166666699573398</v>
      </c>
      <c r="P239">
        <v>2</v>
      </c>
      <c r="Q239" s="39">
        <v>41509</v>
      </c>
    </row>
    <row r="240" spans="1:17" x14ac:dyDescent="0.3">
      <c r="A240" t="s">
        <v>441</v>
      </c>
      <c r="B240" t="s">
        <v>189</v>
      </c>
      <c r="C240" t="s">
        <v>102</v>
      </c>
      <c r="D240" t="s">
        <v>136</v>
      </c>
      <c r="E240">
        <v>3</v>
      </c>
      <c r="F240">
        <v>1</v>
      </c>
      <c r="G240">
        <v>11</v>
      </c>
      <c r="H240">
        <v>29</v>
      </c>
      <c r="I240">
        <v>0.5</v>
      </c>
      <c r="J240" s="15">
        <v>41509.850972222222</v>
      </c>
      <c r="K240" s="15">
        <v>41509.854155092595</v>
      </c>
      <c r="O240" s="17">
        <v>4.5833333360496908</v>
      </c>
      <c r="P240">
        <v>1</v>
      </c>
      <c r="Q240" s="39">
        <v>41509</v>
      </c>
    </row>
    <row r="241" spans="1:17" x14ac:dyDescent="0.3">
      <c r="A241" t="s">
        <v>442</v>
      </c>
      <c r="B241" t="s">
        <v>183</v>
      </c>
      <c r="C241" t="s">
        <v>83</v>
      </c>
      <c r="D241" t="s">
        <v>136</v>
      </c>
      <c r="E241">
        <v>1</v>
      </c>
      <c r="F241">
        <v>1</v>
      </c>
      <c r="G241">
        <v>40</v>
      </c>
      <c r="H241">
        <v>54</v>
      </c>
      <c r="I241">
        <v>1</v>
      </c>
      <c r="J241" s="15">
        <v>41509.854409722226</v>
      </c>
      <c r="K241" s="15">
        <v>41509.856493055559</v>
      </c>
      <c r="O241" s="17">
        <v>2.9999999993015081</v>
      </c>
      <c r="P241">
        <v>1</v>
      </c>
      <c r="Q241" s="39">
        <v>41509</v>
      </c>
    </row>
    <row r="242" spans="1:17" x14ac:dyDescent="0.3">
      <c r="A242" t="s">
        <v>443</v>
      </c>
      <c r="B242" t="s">
        <v>187</v>
      </c>
      <c r="C242" t="s">
        <v>95</v>
      </c>
      <c r="D242" t="s">
        <v>136</v>
      </c>
      <c r="E242">
        <v>11</v>
      </c>
      <c r="F242">
        <v>2</v>
      </c>
      <c r="G242">
        <v>45</v>
      </c>
      <c r="H242">
        <v>72</v>
      </c>
      <c r="I242">
        <v>1.5</v>
      </c>
      <c r="J242" s="15">
        <v>41510.480104166665</v>
      </c>
      <c r="K242" s="15">
        <v>41510.482662037037</v>
      </c>
      <c r="O242" s="17">
        <v>3.6833333352115005</v>
      </c>
      <c r="P242">
        <v>1</v>
      </c>
      <c r="Q242" s="39">
        <v>41510</v>
      </c>
    </row>
    <row r="243" spans="1:17" x14ac:dyDescent="0.3">
      <c r="A243" t="s">
        <v>444</v>
      </c>
      <c r="B243" t="s">
        <v>192</v>
      </c>
      <c r="C243" t="s">
        <v>103</v>
      </c>
      <c r="D243" t="s">
        <v>140</v>
      </c>
      <c r="E243">
        <v>42</v>
      </c>
      <c r="F243">
        <v>1.5</v>
      </c>
      <c r="G243">
        <v>27</v>
      </c>
      <c r="H243">
        <v>47</v>
      </c>
      <c r="I243">
        <v>0.25</v>
      </c>
      <c r="J243" s="15">
        <v>41510.482800925929</v>
      </c>
      <c r="K243" s="15">
        <v>41510.489074074074</v>
      </c>
      <c r="O243" s="17">
        <v>9.0333333285525441</v>
      </c>
      <c r="P243">
        <v>1</v>
      </c>
      <c r="Q243" s="39">
        <v>41510</v>
      </c>
    </row>
    <row r="244" spans="1:17" x14ac:dyDescent="0.3">
      <c r="A244" t="s">
        <v>445</v>
      </c>
      <c r="B244" t="s">
        <v>192</v>
      </c>
      <c r="C244" t="s">
        <v>103</v>
      </c>
      <c r="D244" t="s">
        <v>140</v>
      </c>
      <c r="E244">
        <v>5</v>
      </c>
      <c r="F244">
        <v>1</v>
      </c>
      <c r="G244">
        <v>27</v>
      </c>
      <c r="H244">
        <v>47</v>
      </c>
      <c r="I244">
        <v>0.5</v>
      </c>
      <c r="J244" s="15">
        <v>41510.489293981482</v>
      </c>
      <c r="K244" s="15">
        <v>41510.495428240742</v>
      </c>
      <c r="O244" s="17">
        <v>8.8333333341870457</v>
      </c>
      <c r="P244">
        <v>1</v>
      </c>
      <c r="Q244" s="39">
        <v>41510</v>
      </c>
    </row>
    <row r="245" spans="1:17" x14ac:dyDescent="0.3">
      <c r="A245" t="s">
        <v>446</v>
      </c>
      <c r="B245" t="s">
        <v>158</v>
      </c>
      <c r="C245" t="s">
        <v>18</v>
      </c>
      <c r="D245" t="s">
        <v>153</v>
      </c>
      <c r="E245">
        <v>28</v>
      </c>
      <c r="F245">
        <v>3</v>
      </c>
      <c r="G245">
        <v>31</v>
      </c>
      <c r="H245">
        <v>47</v>
      </c>
      <c r="I245">
        <v>2</v>
      </c>
      <c r="J245" s="15">
        <v>41510.529641203706</v>
      </c>
      <c r="K245" s="15">
        <v>41510.536192129628</v>
      </c>
      <c r="O245" s="17">
        <v>9.4333333277609199</v>
      </c>
      <c r="P245">
        <v>1</v>
      </c>
      <c r="Q245" s="39">
        <v>41510</v>
      </c>
    </row>
    <row r="246" spans="1:17" x14ac:dyDescent="0.3">
      <c r="A246" t="s">
        <v>447</v>
      </c>
      <c r="B246" t="s">
        <v>192</v>
      </c>
      <c r="C246" t="s">
        <v>103</v>
      </c>
      <c r="D246" t="s">
        <v>140</v>
      </c>
      <c r="E246">
        <v>2</v>
      </c>
      <c r="F246">
        <v>1</v>
      </c>
      <c r="G246">
        <v>26</v>
      </c>
      <c r="H246">
        <v>46</v>
      </c>
      <c r="I246">
        <v>0</v>
      </c>
      <c r="J246" s="15">
        <v>41510.539942129632</v>
      </c>
      <c r="K246" s="15">
        <v>41510.54105324074</v>
      </c>
      <c r="O246" s="17">
        <v>1.5999999968335032</v>
      </c>
      <c r="P246">
        <v>1</v>
      </c>
      <c r="Q246" s="39">
        <v>41510</v>
      </c>
    </row>
    <row r="247" spans="1:17" x14ac:dyDescent="0.3">
      <c r="A247" t="s">
        <v>448</v>
      </c>
      <c r="B247" t="s">
        <v>180</v>
      </c>
      <c r="C247" t="s">
        <v>133</v>
      </c>
      <c r="D247" t="s">
        <v>138</v>
      </c>
      <c r="E247">
        <v>18</v>
      </c>
      <c r="F247">
        <v>1</v>
      </c>
      <c r="G247">
        <v>7</v>
      </c>
      <c r="H247">
        <v>29</v>
      </c>
      <c r="I247">
        <v>1</v>
      </c>
      <c r="J247" s="15">
        <v>41510.541192129633</v>
      </c>
      <c r="K247" s="15">
        <v>41510.542314814818</v>
      </c>
      <c r="N247" t="s">
        <v>449</v>
      </c>
      <c r="O247" s="17">
        <v>1.6166666673962027</v>
      </c>
      <c r="P247">
        <v>1</v>
      </c>
      <c r="Q247" s="39">
        <v>41510</v>
      </c>
    </row>
    <row r="248" spans="1:17" x14ac:dyDescent="0.3">
      <c r="A248" t="s">
        <v>450</v>
      </c>
      <c r="B248" t="s">
        <v>341</v>
      </c>
      <c r="C248" t="s">
        <v>96</v>
      </c>
      <c r="D248" t="s">
        <v>153</v>
      </c>
      <c r="E248">
        <v>31</v>
      </c>
      <c r="F248">
        <v>4</v>
      </c>
      <c r="G248">
        <v>28</v>
      </c>
      <c r="H248">
        <v>43</v>
      </c>
      <c r="I248">
        <v>2.5</v>
      </c>
      <c r="J248" s="15">
        <v>41512.296875</v>
      </c>
      <c r="K248" s="15">
        <v>41512.321493055555</v>
      </c>
      <c r="O248" s="17">
        <v>35.449999999254942</v>
      </c>
      <c r="P248">
        <v>1</v>
      </c>
      <c r="Q248" s="39">
        <v>41512</v>
      </c>
    </row>
    <row r="249" spans="1:17" x14ac:dyDescent="0.3">
      <c r="A249" t="s">
        <v>451</v>
      </c>
      <c r="B249" t="s">
        <v>160</v>
      </c>
      <c r="C249" t="s">
        <v>86</v>
      </c>
      <c r="D249" t="s">
        <v>136</v>
      </c>
      <c r="E249">
        <v>2</v>
      </c>
      <c r="F249">
        <v>3</v>
      </c>
      <c r="G249">
        <v>17</v>
      </c>
      <c r="H249">
        <v>34</v>
      </c>
      <c r="I249">
        <v>0.25</v>
      </c>
      <c r="J249" s="15">
        <v>41512.346701388888</v>
      </c>
      <c r="K249" s="15">
        <v>41512.353680555556</v>
      </c>
      <c r="O249" s="17">
        <v>10.050000002374873</v>
      </c>
      <c r="P249">
        <v>1</v>
      </c>
      <c r="Q249" s="39">
        <v>41512</v>
      </c>
    </row>
    <row r="250" spans="1:17" x14ac:dyDescent="0.3">
      <c r="A250" t="s">
        <v>452</v>
      </c>
      <c r="B250" t="s">
        <v>158</v>
      </c>
      <c r="C250" t="s">
        <v>18</v>
      </c>
      <c r="D250" t="s">
        <v>136</v>
      </c>
      <c r="E250">
        <v>1</v>
      </c>
      <c r="F250">
        <v>6.5</v>
      </c>
      <c r="G250">
        <v>26</v>
      </c>
      <c r="H250">
        <v>32</v>
      </c>
      <c r="I250">
        <v>3</v>
      </c>
      <c r="J250" s="15">
        <v>41512.634675925925</v>
      </c>
      <c r="K250" s="15">
        <v>41512.644652777781</v>
      </c>
      <c r="O250" s="17">
        <v>14.366666672285646</v>
      </c>
      <c r="P250">
        <v>1</v>
      </c>
      <c r="Q250" s="39">
        <v>41512</v>
      </c>
    </row>
    <row r="251" spans="1:17" x14ac:dyDescent="0.3">
      <c r="A251" t="s">
        <v>453</v>
      </c>
      <c r="B251" t="s">
        <v>192</v>
      </c>
      <c r="C251" t="s">
        <v>103</v>
      </c>
      <c r="D251" t="s">
        <v>136</v>
      </c>
      <c r="E251">
        <v>3</v>
      </c>
      <c r="F251">
        <v>1</v>
      </c>
      <c r="G251">
        <v>16</v>
      </c>
      <c r="H251">
        <v>38</v>
      </c>
      <c r="I251">
        <v>1</v>
      </c>
      <c r="J251" s="15">
        <v>41512.644733796296</v>
      </c>
      <c r="K251" s="15">
        <v>41512.647314814814</v>
      </c>
      <c r="O251" s="17">
        <v>3.7166666658595204</v>
      </c>
      <c r="P251">
        <v>1</v>
      </c>
      <c r="Q251" s="39">
        <v>41512</v>
      </c>
    </row>
    <row r="252" spans="1:17" x14ac:dyDescent="0.3">
      <c r="A252" t="s">
        <v>454</v>
      </c>
      <c r="B252" t="s">
        <v>238</v>
      </c>
      <c r="C252" t="s">
        <v>89</v>
      </c>
      <c r="D252" t="s">
        <v>146</v>
      </c>
      <c r="E252">
        <v>30</v>
      </c>
      <c r="F252">
        <v>2.5</v>
      </c>
      <c r="G252">
        <v>63</v>
      </c>
      <c r="H252">
        <v>100</v>
      </c>
      <c r="I252">
        <v>1</v>
      </c>
      <c r="J252" s="15">
        <v>41512.647407407407</v>
      </c>
      <c r="K252" s="15">
        <v>41512.651597222219</v>
      </c>
      <c r="O252" s="17">
        <v>6.033333329251036</v>
      </c>
      <c r="P252">
        <v>1</v>
      </c>
      <c r="Q252" s="39">
        <v>41512</v>
      </c>
    </row>
    <row r="253" spans="1:17" x14ac:dyDescent="0.3">
      <c r="A253" t="s">
        <v>455</v>
      </c>
      <c r="B253" t="s">
        <v>189</v>
      </c>
      <c r="C253" t="s">
        <v>102</v>
      </c>
      <c r="D253" t="s">
        <v>176</v>
      </c>
      <c r="E253">
        <v>2</v>
      </c>
      <c r="F253">
        <v>1</v>
      </c>
      <c r="G253">
        <v>20</v>
      </c>
      <c r="H253">
        <v>38</v>
      </c>
      <c r="I253">
        <v>1</v>
      </c>
      <c r="J253" s="15">
        <v>41512.651701388888</v>
      </c>
      <c r="K253" s="15">
        <v>41512.653032407405</v>
      </c>
      <c r="O253" s="17">
        <v>1.9166666641831398</v>
      </c>
      <c r="P253">
        <v>1</v>
      </c>
      <c r="Q253" s="39">
        <v>41512</v>
      </c>
    </row>
    <row r="254" spans="1:17" x14ac:dyDescent="0.3">
      <c r="A254" t="s">
        <v>456</v>
      </c>
      <c r="B254" t="s">
        <v>160</v>
      </c>
      <c r="C254" t="s">
        <v>86</v>
      </c>
      <c r="D254" t="s">
        <v>153</v>
      </c>
      <c r="E254">
        <v>30</v>
      </c>
      <c r="F254">
        <v>3</v>
      </c>
      <c r="G254">
        <v>26</v>
      </c>
      <c r="H254">
        <v>42</v>
      </c>
      <c r="I254">
        <v>1</v>
      </c>
      <c r="J254" s="15">
        <v>41512.65315972222</v>
      </c>
      <c r="K254" s="15">
        <v>41512.666875000003</v>
      </c>
      <c r="M254">
        <v>1</v>
      </c>
      <c r="O254" s="17">
        <v>19.750000006752089</v>
      </c>
      <c r="P254">
        <v>1</v>
      </c>
      <c r="Q254" s="39">
        <v>41512</v>
      </c>
    </row>
    <row r="255" spans="1:17" x14ac:dyDescent="0.3">
      <c r="A255" t="s">
        <v>457</v>
      </c>
      <c r="B255" t="s">
        <v>341</v>
      </c>
      <c r="C255" t="s">
        <v>96</v>
      </c>
      <c r="D255" t="s">
        <v>144</v>
      </c>
      <c r="E255">
        <v>44</v>
      </c>
      <c r="F255">
        <v>2</v>
      </c>
      <c r="G255">
        <v>25</v>
      </c>
      <c r="H255">
        <v>39</v>
      </c>
      <c r="I255">
        <v>1.25</v>
      </c>
      <c r="J255" s="15">
        <v>41512.721666666665</v>
      </c>
      <c r="K255" s="15">
        <v>41512.725370370368</v>
      </c>
      <c r="O255" s="17">
        <v>5.3333333332557231</v>
      </c>
      <c r="P255">
        <v>1</v>
      </c>
      <c r="Q255" s="39">
        <v>41512</v>
      </c>
    </row>
    <row r="256" spans="1:17" x14ac:dyDescent="0.3">
      <c r="A256" t="s">
        <v>458</v>
      </c>
      <c r="B256" t="s">
        <v>160</v>
      </c>
      <c r="C256" t="s">
        <v>86</v>
      </c>
      <c r="D256" t="s">
        <v>136</v>
      </c>
      <c r="E256">
        <v>7</v>
      </c>
      <c r="F256">
        <v>4</v>
      </c>
      <c r="G256">
        <v>20</v>
      </c>
      <c r="H256">
        <v>38</v>
      </c>
      <c r="I256">
        <v>2.5</v>
      </c>
      <c r="J256" s="15">
        <v>41512.726018518515</v>
      </c>
      <c r="K256" s="15">
        <v>41512.733090277776</v>
      </c>
      <c r="M256">
        <v>1</v>
      </c>
      <c r="O256" s="17">
        <v>10.183333335444331</v>
      </c>
      <c r="P256">
        <v>1</v>
      </c>
      <c r="Q256" s="39">
        <v>41512</v>
      </c>
    </row>
    <row r="257" spans="1:17" x14ac:dyDescent="0.3">
      <c r="A257" t="s">
        <v>459</v>
      </c>
      <c r="B257" t="s">
        <v>189</v>
      </c>
      <c r="C257" t="s">
        <v>102</v>
      </c>
      <c r="D257" t="s">
        <v>136</v>
      </c>
      <c r="E257">
        <v>6</v>
      </c>
      <c r="F257">
        <v>3</v>
      </c>
      <c r="G257">
        <v>12</v>
      </c>
      <c r="H257">
        <v>31</v>
      </c>
      <c r="I257">
        <v>1</v>
      </c>
      <c r="J257" s="15">
        <v>41512.757557870369</v>
      </c>
      <c r="K257" s="15">
        <v>41512.759548611109</v>
      </c>
      <c r="O257" s="17">
        <v>2.8666666662320495</v>
      </c>
      <c r="P257">
        <v>1</v>
      </c>
      <c r="Q257" s="39">
        <v>41512</v>
      </c>
    </row>
    <row r="258" spans="1:17" x14ac:dyDescent="0.3">
      <c r="A258" t="s">
        <v>460</v>
      </c>
      <c r="B258" t="s">
        <v>158</v>
      </c>
      <c r="C258" t="s">
        <v>18</v>
      </c>
      <c r="D258" t="s">
        <v>142</v>
      </c>
      <c r="E258">
        <v>19</v>
      </c>
      <c r="F258">
        <v>1</v>
      </c>
      <c r="G258">
        <v>29</v>
      </c>
      <c r="H258">
        <v>41</v>
      </c>
      <c r="I258">
        <v>1</v>
      </c>
      <c r="J258" s="15">
        <v>41512.768645833334</v>
      </c>
      <c r="K258" s="15">
        <v>41512.769618055558</v>
      </c>
      <c r="O258" s="17">
        <v>1.4000000024680048</v>
      </c>
      <c r="P258">
        <v>1</v>
      </c>
      <c r="Q258" s="39">
        <v>41512</v>
      </c>
    </row>
    <row r="259" spans="1:17" x14ac:dyDescent="0.3">
      <c r="A259" t="s">
        <v>461</v>
      </c>
      <c r="B259" t="s">
        <v>238</v>
      </c>
      <c r="C259" t="s">
        <v>89</v>
      </c>
      <c r="D259" t="s">
        <v>142</v>
      </c>
      <c r="E259">
        <v>37</v>
      </c>
      <c r="F259">
        <v>3</v>
      </c>
      <c r="G259">
        <v>57</v>
      </c>
      <c r="H259">
        <v>94</v>
      </c>
      <c r="I259">
        <v>2.5</v>
      </c>
      <c r="J259" s="15">
        <v>41512.769699074073</v>
      </c>
      <c r="K259" s="15">
        <v>41512.772557870368</v>
      </c>
      <c r="O259" s="17">
        <v>4.1166666650678962</v>
      </c>
      <c r="P259">
        <v>1</v>
      </c>
      <c r="Q259" s="39">
        <v>41512</v>
      </c>
    </row>
    <row r="260" spans="1:17" x14ac:dyDescent="0.3">
      <c r="A260" t="s">
        <v>462</v>
      </c>
      <c r="B260" t="s">
        <v>186</v>
      </c>
      <c r="C260" t="s">
        <v>98</v>
      </c>
      <c r="D260" t="s">
        <v>150</v>
      </c>
      <c r="E260">
        <v>32</v>
      </c>
      <c r="F260">
        <v>4</v>
      </c>
      <c r="G260">
        <v>28</v>
      </c>
      <c r="H260">
        <v>52</v>
      </c>
      <c r="I260">
        <v>1.5</v>
      </c>
      <c r="J260" s="15">
        <v>41512.77579861111</v>
      </c>
      <c r="K260" s="15">
        <v>41512.784444444442</v>
      </c>
      <c r="M260">
        <v>1</v>
      </c>
      <c r="N260" t="s">
        <v>463</v>
      </c>
      <c r="O260" s="17">
        <v>12.449999997625127</v>
      </c>
      <c r="P260">
        <v>1</v>
      </c>
      <c r="Q260" s="39">
        <v>41512</v>
      </c>
    </row>
    <row r="261" spans="1:17" x14ac:dyDescent="0.3">
      <c r="A261" t="s">
        <v>464</v>
      </c>
      <c r="B261" t="s">
        <v>186</v>
      </c>
      <c r="C261" t="s">
        <v>98</v>
      </c>
      <c r="D261" t="s">
        <v>146</v>
      </c>
      <c r="E261">
        <v>47</v>
      </c>
      <c r="F261">
        <v>2</v>
      </c>
      <c r="G261">
        <v>26</v>
      </c>
      <c r="H261">
        <v>51</v>
      </c>
      <c r="I261">
        <v>1</v>
      </c>
      <c r="J261" s="15">
        <v>41513.663182870368</v>
      </c>
      <c r="K261" s="15">
        <v>41513.667986111112</v>
      </c>
      <c r="M261">
        <v>1</v>
      </c>
      <c r="O261" s="17">
        <v>6.9166666700039059</v>
      </c>
      <c r="P261">
        <v>1</v>
      </c>
      <c r="Q261" s="39">
        <v>41513</v>
      </c>
    </row>
    <row r="262" spans="1:17" x14ac:dyDescent="0.3">
      <c r="A262" t="s">
        <v>465</v>
      </c>
      <c r="B262" t="s">
        <v>341</v>
      </c>
      <c r="C262" t="s">
        <v>96</v>
      </c>
      <c r="D262" t="s">
        <v>146</v>
      </c>
      <c r="E262">
        <v>48</v>
      </c>
      <c r="F262">
        <v>2.5</v>
      </c>
      <c r="G262">
        <v>25</v>
      </c>
      <c r="H262">
        <v>40</v>
      </c>
      <c r="I262">
        <v>1.25</v>
      </c>
      <c r="J262" s="15">
        <v>41513.668078703704</v>
      </c>
      <c r="K262" s="15">
        <v>41513.678206018521</v>
      </c>
      <c r="O262" s="17">
        <v>14.583333337213844</v>
      </c>
      <c r="P262">
        <v>1</v>
      </c>
      <c r="Q262" s="39">
        <v>41513</v>
      </c>
    </row>
    <row r="263" spans="1:17" x14ac:dyDescent="0.3">
      <c r="A263" t="s">
        <v>466</v>
      </c>
      <c r="B263" t="s">
        <v>238</v>
      </c>
      <c r="C263" t="s">
        <v>89</v>
      </c>
      <c r="D263" t="s">
        <v>165</v>
      </c>
      <c r="E263">
        <v>33</v>
      </c>
      <c r="F263">
        <v>2.5</v>
      </c>
      <c r="G263">
        <v>62</v>
      </c>
      <c r="H263">
        <v>99</v>
      </c>
      <c r="I263">
        <v>1.25</v>
      </c>
      <c r="J263" s="15">
        <v>41513.678310185183</v>
      </c>
      <c r="K263" s="15">
        <v>41513.679178240738</v>
      </c>
      <c r="N263" t="s">
        <v>467</v>
      </c>
      <c r="O263" s="17">
        <v>1.2499999988358468</v>
      </c>
      <c r="P263">
        <v>1</v>
      </c>
      <c r="Q263" s="39">
        <v>41513</v>
      </c>
    </row>
    <row r="264" spans="1:17" x14ac:dyDescent="0.3">
      <c r="A264" t="s">
        <v>468</v>
      </c>
      <c r="B264" t="s">
        <v>192</v>
      </c>
      <c r="C264" t="s">
        <v>103</v>
      </c>
      <c r="D264" t="s">
        <v>146</v>
      </c>
      <c r="E264">
        <v>18</v>
      </c>
      <c r="F264">
        <v>1</v>
      </c>
      <c r="G264">
        <v>33</v>
      </c>
      <c r="H264">
        <v>52</v>
      </c>
      <c r="I264">
        <v>0.25</v>
      </c>
      <c r="J264" s="15">
        <v>41513.679270833331</v>
      </c>
      <c r="K264" s="15">
        <v>41513.68273148148</v>
      </c>
      <c r="M264">
        <v>1</v>
      </c>
      <c r="O264" s="17">
        <v>4.9833333352580667</v>
      </c>
      <c r="P264">
        <v>1</v>
      </c>
      <c r="Q264" s="39">
        <v>41513</v>
      </c>
    </row>
    <row r="265" spans="1:17" x14ac:dyDescent="0.3">
      <c r="A265" t="s">
        <v>469</v>
      </c>
      <c r="B265" t="s">
        <v>187</v>
      </c>
      <c r="C265" t="s">
        <v>95</v>
      </c>
      <c r="D265" t="s">
        <v>138</v>
      </c>
      <c r="E265">
        <v>30</v>
      </c>
      <c r="F265">
        <v>2.5</v>
      </c>
      <c r="G265">
        <v>46</v>
      </c>
      <c r="H265">
        <v>75</v>
      </c>
      <c r="I265">
        <v>1</v>
      </c>
      <c r="J265" s="15">
        <v>41513.682824074072</v>
      </c>
      <c r="K265" s="15">
        <v>41513.695590277777</v>
      </c>
      <c r="M265">
        <v>1</v>
      </c>
      <c r="O265" s="17">
        <v>18.383333334932104</v>
      </c>
      <c r="P265">
        <v>1</v>
      </c>
      <c r="Q265" s="39">
        <v>41513</v>
      </c>
    </row>
    <row r="266" spans="1:17" x14ac:dyDescent="0.3">
      <c r="A266" t="s">
        <v>470</v>
      </c>
      <c r="B266" t="s">
        <v>192</v>
      </c>
      <c r="C266" t="s">
        <v>103</v>
      </c>
      <c r="D266" t="s">
        <v>136</v>
      </c>
      <c r="E266">
        <v>4</v>
      </c>
      <c r="F266">
        <v>2</v>
      </c>
      <c r="G266">
        <v>17</v>
      </c>
      <c r="H266">
        <v>39</v>
      </c>
      <c r="I266">
        <v>1</v>
      </c>
      <c r="J266" s="15">
        <v>41513.696261574078</v>
      </c>
      <c r="K266" s="15">
        <v>41513.703287037039</v>
      </c>
      <c r="O266" s="17">
        <v>10.116666663670912</v>
      </c>
      <c r="P266">
        <v>1</v>
      </c>
      <c r="Q266" s="39">
        <v>41513</v>
      </c>
    </row>
    <row r="267" spans="1:17" x14ac:dyDescent="0.3">
      <c r="A267" t="s">
        <v>216</v>
      </c>
      <c r="B267" t="s">
        <v>183</v>
      </c>
      <c r="C267" t="s">
        <v>83</v>
      </c>
      <c r="D267" t="s">
        <v>136</v>
      </c>
      <c r="E267">
        <v>4</v>
      </c>
      <c r="F267">
        <v>1</v>
      </c>
      <c r="G267">
        <v>40</v>
      </c>
      <c r="H267">
        <v>55</v>
      </c>
      <c r="I267">
        <v>0</v>
      </c>
      <c r="J267" s="15">
        <v>41513.704247685186</v>
      </c>
      <c r="K267" s="15">
        <v>41513.706620370373</v>
      </c>
      <c r="M267">
        <v>1</v>
      </c>
      <c r="O267" s="17">
        <v>3.4166666690725833</v>
      </c>
      <c r="P267">
        <v>2</v>
      </c>
      <c r="Q267" s="39">
        <v>41513</v>
      </c>
    </row>
    <row r="268" spans="1:17" x14ac:dyDescent="0.3">
      <c r="A268" t="s">
        <v>471</v>
      </c>
      <c r="B268" t="s">
        <v>341</v>
      </c>
      <c r="C268" t="s">
        <v>96</v>
      </c>
      <c r="D268" t="s">
        <v>140</v>
      </c>
      <c r="E268">
        <v>27</v>
      </c>
      <c r="F268">
        <v>1.75</v>
      </c>
      <c r="G268">
        <v>20</v>
      </c>
      <c r="H268">
        <v>35</v>
      </c>
      <c r="I268">
        <v>1.5</v>
      </c>
      <c r="J268" s="15">
        <v>41513.706701388888</v>
      </c>
      <c r="K268" s="15">
        <v>41513.708333333336</v>
      </c>
      <c r="O268" s="17">
        <v>2.3500000045169145</v>
      </c>
      <c r="P268">
        <v>1</v>
      </c>
      <c r="Q268" s="39">
        <v>41513</v>
      </c>
    </row>
    <row r="269" spans="1:17" x14ac:dyDescent="0.3">
      <c r="A269" t="s">
        <v>472</v>
      </c>
      <c r="B269" t="s">
        <v>186</v>
      </c>
      <c r="C269" t="s">
        <v>98</v>
      </c>
      <c r="D269" t="s">
        <v>140</v>
      </c>
      <c r="E269">
        <v>4</v>
      </c>
      <c r="F269">
        <v>1</v>
      </c>
      <c r="G269">
        <v>18</v>
      </c>
      <c r="H269">
        <v>45</v>
      </c>
      <c r="I269">
        <v>1</v>
      </c>
      <c r="J269" s="15">
        <v>41513.711296296293</v>
      </c>
      <c r="K269" s="15">
        <v>41513.712152777778</v>
      </c>
      <c r="O269" s="17">
        <v>1.2333333387505263</v>
      </c>
      <c r="P269">
        <v>1</v>
      </c>
      <c r="Q269" s="39">
        <v>41513</v>
      </c>
    </row>
    <row r="270" spans="1:17" x14ac:dyDescent="0.3">
      <c r="A270" t="s">
        <v>473</v>
      </c>
      <c r="B270" t="s">
        <v>189</v>
      </c>
      <c r="C270" t="s">
        <v>102</v>
      </c>
      <c r="D270" t="s">
        <v>138</v>
      </c>
      <c r="E270">
        <v>24</v>
      </c>
      <c r="F270">
        <v>2</v>
      </c>
      <c r="G270">
        <v>16</v>
      </c>
      <c r="H270">
        <v>35</v>
      </c>
      <c r="I270">
        <v>0</v>
      </c>
      <c r="J270" s="15">
        <v>41513.712453703702</v>
      </c>
      <c r="K270" s="15">
        <v>41513.71534722222</v>
      </c>
      <c r="M270">
        <v>1</v>
      </c>
      <c r="O270" s="17">
        <v>4.1666666662786156</v>
      </c>
      <c r="P270">
        <v>1</v>
      </c>
      <c r="Q270" s="39">
        <v>41513</v>
      </c>
    </row>
    <row r="271" spans="1:17" x14ac:dyDescent="0.3">
      <c r="A271" t="s">
        <v>474</v>
      </c>
      <c r="B271" t="s">
        <v>158</v>
      </c>
      <c r="C271" t="s">
        <v>18</v>
      </c>
      <c r="D271" t="s">
        <v>136</v>
      </c>
      <c r="E271">
        <v>5</v>
      </c>
      <c r="F271">
        <v>4</v>
      </c>
      <c r="G271">
        <v>26</v>
      </c>
      <c r="H271">
        <v>36</v>
      </c>
      <c r="I271">
        <v>2</v>
      </c>
      <c r="J271" s="15">
        <v>41513.716666666667</v>
      </c>
      <c r="K271" s="15">
        <v>41513.718865740739</v>
      </c>
      <c r="N271" t="s">
        <v>265</v>
      </c>
      <c r="O271" s="17">
        <v>3.1666666630189866</v>
      </c>
      <c r="P271">
        <v>1</v>
      </c>
      <c r="Q271" s="39">
        <v>41513</v>
      </c>
    </row>
    <row r="272" spans="1:17" x14ac:dyDescent="0.3">
      <c r="A272" t="s">
        <v>475</v>
      </c>
      <c r="B272" t="s">
        <v>189</v>
      </c>
      <c r="C272" t="s">
        <v>102</v>
      </c>
      <c r="D272" t="s">
        <v>140</v>
      </c>
      <c r="E272">
        <v>17</v>
      </c>
      <c r="F272">
        <v>1</v>
      </c>
      <c r="G272">
        <v>18</v>
      </c>
      <c r="H272">
        <v>36</v>
      </c>
      <c r="I272">
        <v>1</v>
      </c>
      <c r="J272" s="15">
        <v>41513.719166666669</v>
      </c>
      <c r="K272" s="15">
        <v>41513.720891203702</v>
      </c>
      <c r="O272" s="17">
        <v>2.4833333271089941</v>
      </c>
      <c r="P272">
        <v>1</v>
      </c>
      <c r="Q272" s="39">
        <v>41513</v>
      </c>
    </row>
    <row r="273" spans="1:17" x14ac:dyDescent="0.3">
      <c r="A273" t="s">
        <v>476</v>
      </c>
      <c r="B273" t="s">
        <v>184</v>
      </c>
      <c r="C273" t="s">
        <v>94</v>
      </c>
      <c r="D273" t="s">
        <v>142</v>
      </c>
      <c r="E273">
        <v>39</v>
      </c>
      <c r="F273">
        <v>2</v>
      </c>
      <c r="G273">
        <v>97</v>
      </c>
      <c r="H273">
        <v>162</v>
      </c>
      <c r="I273">
        <v>0</v>
      </c>
      <c r="J273" s="15">
        <v>41513.721076388887</v>
      </c>
      <c r="K273" s="15">
        <v>41513.725138888891</v>
      </c>
      <c r="M273">
        <v>1</v>
      </c>
      <c r="O273" s="17">
        <v>5.8500000054482371</v>
      </c>
      <c r="P273">
        <v>1</v>
      </c>
      <c r="Q273" s="39">
        <v>41513</v>
      </c>
    </row>
    <row r="274" spans="1:17" x14ac:dyDescent="0.3">
      <c r="A274" t="s">
        <v>477</v>
      </c>
      <c r="B274" t="s">
        <v>192</v>
      </c>
      <c r="C274" t="s">
        <v>103</v>
      </c>
      <c r="D274" t="s">
        <v>146</v>
      </c>
      <c r="E274">
        <v>45</v>
      </c>
      <c r="F274">
        <v>4</v>
      </c>
      <c r="G274">
        <v>34</v>
      </c>
      <c r="H274">
        <v>53</v>
      </c>
      <c r="I274">
        <v>3</v>
      </c>
      <c r="J274" s="15">
        <v>41513.725243055553</v>
      </c>
      <c r="K274" s="15">
        <v>41513.745740740742</v>
      </c>
      <c r="M274">
        <v>1</v>
      </c>
      <c r="O274" s="17">
        <v>29.516666672425345</v>
      </c>
      <c r="P274">
        <v>1</v>
      </c>
      <c r="Q274" s="39">
        <v>41513</v>
      </c>
    </row>
    <row r="275" spans="1:17" x14ac:dyDescent="0.3">
      <c r="A275" t="s">
        <v>478</v>
      </c>
      <c r="B275" t="s">
        <v>189</v>
      </c>
      <c r="C275" t="s">
        <v>102</v>
      </c>
      <c r="D275" t="s">
        <v>177</v>
      </c>
      <c r="E275">
        <v>26</v>
      </c>
      <c r="F275">
        <v>1</v>
      </c>
      <c r="G275">
        <v>15</v>
      </c>
      <c r="H275">
        <v>34</v>
      </c>
      <c r="I275">
        <v>1</v>
      </c>
      <c r="J275" s="15">
        <v>41513.746064814812</v>
      </c>
      <c r="K275" s="15">
        <v>41513.746793981481</v>
      </c>
      <c r="O275" s="17">
        <v>1.0500000044703484</v>
      </c>
      <c r="P275">
        <v>1</v>
      </c>
      <c r="Q275" s="39">
        <v>41513</v>
      </c>
    </row>
    <row r="276" spans="1:17" x14ac:dyDescent="0.3">
      <c r="A276" t="s">
        <v>479</v>
      </c>
      <c r="B276" t="s">
        <v>190</v>
      </c>
      <c r="C276" t="s">
        <v>87</v>
      </c>
      <c r="D276" t="s">
        <v>150</v>
      </c>
      <c r="E276">
        <v>25</v>
      </c>
      <c r="F276">
        <v>2</v>
      </c>
      <c r="G276">
        <v>46</v>
      </c>
      <c r="H276">
        <v>77</v>
      </c>
      <c r="I276">
        <v>1</v>
      </c>
      <c r="J276" s="15">
        <v>41513.746898148151</v>
      </c>
      <c r="K276" s="15">
        <v>41513.755497685182</v>
      </c>
      <c r="O276" s="17">
        <v>12.383333325851709</v>
      </c>
      <c r="P276">
        <v>1</v>
      </c>
      <c r="Q276" s="39">
        <v>41513</v>
      </c>
    </row>
    <row r="277" spans="1:17" x14ac:dyDescent="0.3">
      <c r="A277" t="s">
        <v>480</v>
      </c>
      <c r="B277" t="s">
        <v>190</v>
      </c>
      <c r="C277" t="s">
        <v>87</v>
      </c>
      <c r="D277" t="s">
        <v>153</v>
      </c>
      <c r="E277">
        <v>22</v>
      </c>
      <c r="F277">
        <v>2.25</v>
      </c>
      <c r="G277">
        <v>48</v>
      </c>
      <c r="H277">
        <v>80</v>
      </c>
      <c r="I277">
        <v>1.5</v>
      </c>
      <c r="J277" s="15">
        <v>41513.76902777778</v>
      </c>
      <c r="K277" s="15">
        <v>41513.776365740741</v>
      </c>
      <c r="O277" s="17">
        <v>10.566666664090008</v>
      </c>
      <c r="P277">
        <v>1</v>
      </c>
      <c r="Q277" s="39">
        <v>41513</v>
      </c>
    </row>
    <row r="278" spans="1:17" x14ac:dyDescent="0.3">
      <c r="A278" t="s">
        <v>481</v>
      </c>
      <c r="B278" t="s">
        <v>190</v>
      </c>
      <c r="C278" t="s">
        <v>87</v>
      </c>
      <c r="D278" t="s">
        <v>140</v>
      </c>
      <c r="E278">
        <v>31</v>
      </c>
      <c r="F278">
        <v>3</v>
      </c>
      <c r="G278">
        <v>106</v>
      </c>
      <c r="H278">
        <v>118</v>
      </c>
      <c r="I278">
        <v>2.5</v>
      </c>
      <c r="J278" s="15">
        <v>41513.779675925929</v>
      </c>
      <c r="K278" s="15">
        <v>41513.784259259257</v>
      </c>
      <c r="O278" s="17">
        <v>6.5999999921768904</v>
      </c>
      <c r="P278">
        <v>1</v>
      </c>
      <c r="Q278" s="39">
        <v>41513</v>
      </c>
    </row>
    <row r="279" spans="1:17" x14ac:dyDescent="0.3">
      <c r="A279" t="s">
        <v>482</v>
      </c>
      <c r="B279" t="s">
        <v>180</v>
      </c>
      <c r="C279" t="s">
        <v>133</v>
      </c>
      <c r="D279" t="s">
        <v>138</v>
      </c>
      <c r="E279">
        <v>48</v>
      </c>
      <c r="F279">
        <v>3</v>
      </c>
      <c r="G279">
        <v>8</v>
      </c>
      <c r="H279">
        <v>30</v>
      </c>
      <c r="I279">
        <v>1.5</v>
      </c>
      <c r="J279" s="15">
        <v>41514.308310185188</v>
      </c>
      <c r="K279" s="15">
        <v>41514.309236111112</v>
      </c>
      <c r="O279" s="17">
        <v>1.333333330694586</v>
      </c>
      <c r="P279">
        <v>1</v>
      </c>
      <c r="Q279" s="39">
        <v>41514</v>
      </c>
    </row>
    <row r="280" spans="1:17" x14ac:dyDescent="0.3">
      <c r="A280" t="s">
        <v>483</v>
      </c>
      <c r="B280" t="s">
        <v>186</v>
      </c>
      <c r="C280" t="s">
        <v>98</v>
      </c>
      <c r="D280" t="s">
        <v>136</v>
      </c>
      <c r="E280">
        <v>2</v>
      </c>
      <c r="F280">
        <v>1</v>
      </c>
      <c r="G280">
        <v>13</v>
      </c>
      <c r="H280">
        <v>35</v>
      </c>
      <c r="I280">
        <v>0.25</v>
      </c>
      <c r="J280" s="15">
        <v>41514.312118055554</v>
      </c>
      <c r="K280" s="15">
        <v>41514.327951388892</v>
      </c>
      <c r="O280" s="17">
        <v>22.800000007264316</v>
      </c>
      <c r="P280">
        <v>1</v>
      </c>
      <c r="Q280" s="39">
        <v>41514</v>
      </c>
    </row>
    <row r="281" spans="1:17" x14ac:dyDescent="0.3">
      <c r="A281" t="s">
        <v>484</v>
      </c>
      <c r="B281" t="s">
        <v>160</v>
      </c>
      <c r="C281" t="s">
        <v>86</v>
      </c>
      <c r="D281" t="s">
        <v>136</v>
      </c>
      <c r="E281">
        <v>3</v>
      </c>
      <c r="F281">
        <v>1.5</v>
      </c>
      <c r="G281">
        <v>18</v>
      </c>
      <c r="H281">
        <v>34</v>
      </c>
      <c r="I281">
        <v>1.25</v>
      </c>
      <c r="J281" s="15">
        <v>41514.328159722223</v>
      </c>
      <c r="K281" s="15">
        <v>41514.335138888891</v>
      </c>
      <c r="O281" s="17">
        <v>10.050000002374873</v>
      </c>
      <c r="P281">
        <v>1</v>
      </c>
      <c r="Q281" s="39">
        <v>41514</v>
      </c>
    </row>
    <row r="282" spans="1:17" x14ac:dyDescent="0.3">
      <c r="A282" t="s">
        <v>485</v>
      </c>
      <c r="B282" t="s">
        <v>184</v>
      </c>
      <c r="C282" t="s">
        <v>94</v>
      </c>
      <c r="D282" t="s">
        <v>172</v>
      </c>
      <c r="E282">
        <v>37</v>
      </c>
      <c r="F282">
        <v>3</v>
      </c>
      <c r="G282">
        <v>91</v>
      </c>
      <c r="H282">
        <v>157</v>
      </c>
      <c r="I282">
        <v>1</v>
      </c>
      <c r="J282" s="15">
        <v>41514.335347222222</v>
      </c>
      <c r="K282" s="15">
        <v>41514.344282407408</v>
      </c>
      <c r="O282" s="17">
        <v>12.866666667396203</v>
      </c>
      <c r="P282">
        <v>1</v>
      </c>
      <c r="Q282" s="39">
        <v>41514</v>
      </c>
    </row>
    <row r="283" spans="1:17" x14ac:dyDescent="0.3">
      <c r="A283" t="s">
        <v>486</v>
      </c>
      <c r="B283" t="s">
        <v>184</v>
      </c>
      <c r="C283" t="s">
        <v>94</v>
      </c>
      <c r="D283" t="s">
        <v>144</v>
      </c>
      <c r="E283">
        <v>42</v>
      </c>
      <c r="F283">
        <v>3</v>
      </c>
      <c r="G283">
        <v>100</v>
      </c>
      <c r="H283">
        <v>166</v>
      </c>
      <c r="I283">
        <v>2.5</v>
      </c>
      <c r="J283" s="15">
        <v>41514.350532407407</v>
      </c>
      <c r="K283" s="15">
        <v>41514.361134259256</v>
      </c>
      <c r="O283" s="17">
        <v>15.266666662646458</v>
      </c>
      <c r="P283">
        <v>1</v>
      </c>
      <c r="Q283" s="39">
        <v>41514</v>
      </c>
    </row>
    <row r="284" spans="1:17" x14ac:dyDescent="0.3">
      <c r="A284" t="s">
        <v>487</v>
      </c>
      <c r="B284" t="s">
        <v>188</v>
      </c>
      <c r="C284" t="s">
        <v>88</v>
      </c>
      <c r="D284" t="s">
        <v>136</v>
      </c>
      <c r="E284">
        <v>5</v>
      </c>
      <c r="F284">
        <v>1</v>
      </c>
      <c r="G284">
        <v>26</v>
      </c>
      <c r="H284">
        <v>51</v>
      </c>
      <c r="I284">
        <v>0.5</v>
      </c>
      <c r="J284" s="15">
        <v>41514.365520833337</v>
      </c>
      <c r="K284" s="15">
        <v>41514.366539351853</v>
      </c>
      <c r="O284" s="17">
        <v>1.4666666637640446</v>
      </c>
      <c r="P284">
        <v>1</v>
      </c>
      <c r="Q284" s="39">
        <v>41514</v>
      </c>
    </row>
    <row r="285" spans="1:17" x14ac:dyDescent="0.3">
      <c r="A285" t="s">
        <v>488</v>
      </c>
      <c r="B285" t="s">
        <v>192</v>
      </c>
      <c r="C285" t="s">
        <v>103</v>
      </c>
      <c r="D285" t="s">
        <v>153</v>
      </c>
      <c r="E285">
        <v>36</v>
      </c>
      <c r="F285">
        <v>4</v>
      </c>
      <c r="G285">
        <v>36</v>
      </c>
      <c r="H285">
        <v>55</v>
      </c>
      <c r="I285">
        <v>2.5</v>
      </c>
      <c r="J285" s="15">
        <v>41514.3675</v>
      </c>
      <c r="K285" s="15">
        <v>41514.384004629632</v>
      </c>
      <c r="O285" s="17">
        <v>23.766666669398546</v>
      </c>
      <c r="P285">
        <v>1</v>
      </c>
      <c r="Q285" s="39">
        <v>41514</v>
      </c>
    </row>
    <row r="286" spans="1:17" x14ac:dyDescent="0.3">
      <c r="A286" t="s">
        <v>489</v>
      </c>
      <c r="B286" t="s">
        <v>183</v>
      </c>
      <c r="C286" t="s">
        <v>83</v>
      </c>
      <c r="D286" t="s">
        <v>144</v>
      </c>
      <c r="E286">
        <v>47</v>
      </c>
      <c r="F286">
        <v>2</v>
      </c>
      <c r="G286">
        <v>49</v>
      </c>
      <c r="H286">
        <v>66</v>
      </c>
      <c r="I286">
        <v>1</v>
      </c>
      <c r="J286" s="15">
        <v>41514.388819444444</v>
      </c>
      <c r="K286" s="15">
        <v>41514.397037037037</v>
      </c>
      <c r="O286" s="17">
        <v>11.833333333488554</v>
      </c>
      <c r="P286">
        <v>1</v>
      </c>
      <c r="Q286" s="39">
        <v>41514</v>
      </c>
    </row>
    <row r="287" spans="1:17" x14ac:dyDescent="0.3">
      <c r="A287" t="s">
        <v>490</v>
      </c>
      <c r="B287" t="s">
        <v>184</v>
      </c>
      <c r="C287" t="s">
        <v>94</v>
      </c>
      <c r="D287" t="s">
        <v>164</v>
      </c>
      <c r="E287">
        <v>11</v>
      </c>
      <c r="F287">
        <v>1</v>
      </c>
      <c r="G287">
        <v>83</v>
      </c>
      <c r="H287">
        <v>143</v>
      </c>
      <c r="I287">
        <v>0.5</v>
      </c>
      <c r="J287" s="15">
        <v>41514.410312499997</v>
      </c>
      <c r="K287" s="15">
        <v>41514.413171296299</v>
      </c>
      <c r="O287" s="17">
        <v>4.1166666755452752</v>
      </c>
      <c r="P287">
        <v>1</v>
      </c>
      <c r="Q287" s="39">
        <v>41514</v>
      </c>
    </row>
    <row r="288" spans="1:17" x14ac:dyDescent="0.3">
      <c r="A288" t="s">
        <v>491</v>
      </c>
      <c r="B288" t="s">
        <v>160</v>
      </c>
      <c r="C288" t="s">
        <v>86</v>
      </c>
      <c r="D288" t="s">
        <v>136</v>
      </c>
      <c r="E288">
        <v>4</v>
      </c>
      <c r="F288">
        <v>3</v>
      </c>
      <c r="G288">
        <v>18</v>
      </c>
      <c r="H288">
        <v>35</v>
      </c>
      <c r="I288">
        <v>2</v>
      </c>
      <c r="J288" s="15">
        <v>41514.413391203707</v>
      </c>
      <c r="K288" s="15">
        <v>41514.419976851852</v>
      </c>
      <c r="M288">
        <v>1</v>
      </c>
      <c r="N288" t="s">
        <v>492</v>
      </c>
      <c r="O288" s="17">
        <v>9.4833333289716393</v>
      </c>
      <c r="P288">
        <v>1</v>
      </c>
      <c r="Q288" s="39">
        <v>41514</v>
      </c>
    </row>
    <row r="289" spans="1:17" x14ac:dyDescent="0.3">
      <c r="A289" t="s">
        <v>493</v>
      </c>
      <c r="B289" t="s">
        <v>341</v>
      </c>
      <c r="C289" t="s">
        <v>96</v>
      </c>
      <c r="D289" t="s">
        <v>150</v>
      </c>
      <c r="E289">
        <v>31</v>
      </c>
      <c r="F289">
        <v>2</v>
      </c>
      <c r="G289">
        <v>26</v>
      </c>
      <c r="H289">
        <v>41</v>
      </c>
      <c r="I289">
        <v>1.25</v>
      </c>
      <c r="J289" s="15">
        <v>41519.543368055558</v>
      </c>
      <c r="K289" s="15">
        <v>41519.549513888887</v>
      </c>
      <c r="O289" s="17">
        <v>8.8499999942723662</v>
      </c>
      <c r="P289">
        <v>1</v>
      </c>
      <c r="Q289" s="39">
        <v>41519</v>
      </c>
    </row>
    <row r="290" spans="1:17" x14ac:dyDescent="0.3">
      <c r="A290" t="s">
        <v>494</v>
      </c>
      <c r="B290" t="s">
        <v>238</v>
      </c>
      <c r="C290" t="s">
        <v>89</v>
      </c>
      <c r="D290" t="s">
        <v>140</v>
      </c>
      <c r="E290">
        <v>29</v>
      </c>
      <c r="F290">
        <v>3.75</v>
      </c>
      <c r="G290">
        <v>56</v>
      </c>
      <c r="H290">
        <v>89</v>
      </c>
      <c r="I290">
        <v>3.75</v>
      </c>
      <c r="J290" s="15">
        <v>41519.550057870372</v>
      </c>
      <c r="K290" s="15">
        <v>41519.55537037037</v>
      </c>
      <c r="O290" s="17">
        <v>7.6499999966472387</v>
      </c>
      <c r="P290">
        <v>1</v>
      </c>
      <c r="Q290" s="39">
        <v>41519</v>
      </c>
    </row>
    <row r="291" spans="1:17" x14ac:dyDescent="0.3">
      <c r="A291" t="s">
        <v>495</v>
      </c>
      <c r="B291" t="s">
        <v>187</v>
      </c>
      <c r="C291" t="s">
        <v>95</v>
      </c>
      <c r="D291" t="s">
        <v>140</v>
      </c>
      <c r="E291">
        <v>43</v>
      </c>
      <c r="F291">
        <v>4.75</v>
      </c>
      <c r="G291">
        <v>49</v>
      </c>
      <c r="H291">
        <v>78</v>
      </c>
      <c r="I291">
        <v>2</v>
      </c>
      <c r="J291" s="15">
        <v>41519.555520833332</v>
      </c>
      <c r="K291" s="15">
        <v>41519.573240740741</v>
      </c>
      <c r="O291" s="17">
        <v>25.516666669864208</v>
      </c>
      <c r="P291">
        <v>1</v>
      </c>
      <c r="Q291" s="39">
        <v>41519</v>
      </c>
    </row>
    <row r="292" spans="1:17" x14ac:dyDescent="0.3">
      <c r="A292" t="s">
        <v>496</v>
      </c>
      <c r="B292" t="s">
        <v>183</v>
      </c>
      <c r="C292" t="s">
        <v>83</v>
      </c>
      <c r="D292" t="s">
        <v>136</v>
      </c>
      <c r="E292">
        <v>2</v>
      </c>
      <c r="F292">
        <v>5</v>
      </c>
      <c r="G292">
        <v>40</v>
      </c>
      <c r="H292">
        <v>54</v>
      </c>
      <c r="I292">
        <v>5</v>
      </c>
      <c r="J292" s="15">
        <v>41519.650046296294</v>
      </c>
      <c r="K292" s="15">
        <v>41519.653935185182</v>
      </c>
      <c r="O292" s="17">
        <v>5.5999999993946403</v>
      </c>
      <c r="P292">
        <v>1</v>
      </c>
      <c r="Q292" s="39">
        <v>41519</v>
      </c>
    </row>
    <row r="293" spans="1:17" x14ac:dyDescent="0.3">
      <c r="A293" t="s">
        <v>497</v>
      </c>
      <c r="B293" t="s">
        <v>182</v>
      </c>
      <c r="C293" t="s">
        <v>134</v>
      </c>
      <c r="D293" t="s">
        <v>136</v>
      </c>
      <c r="E293">
        <v>11</v>
      </c>
      <c r="F293">
        <v>2</v>
      </c>
      <c r="G293">
        <v>39</v>
      </c>
      <c r="H293">
        <v>47</v>
      </c>
      <c r="I293">
        <v>0</v>
      </c>
      <c r="J293" s="15">
        <v>41519.741041666668</v>
      </c>
      <c r="K293" s="15">
        <v>41519.744618055556</v>
      </c>
      <c r="O293" s="17">
        <v>5.1499999989755452</v>
      </c>
      <c r="P293">
        <v>1</v>
      </c>
      <c r="Q293" s="39">
        <v>41519</v>
      </c>
    </row>
    <row r="294" spans="1:17" x14ac:dyDescent="0.3">
      <c r="A294" t="s">
        <v>498</v>
      </c>
      <c r="B294" t="s">
        <v>181</v>
      </c>
      <c r="C294" t="s">
        <v>91</v>
      </c>
      <c r="D294" t="s">
        <v>136</v>
      </c>
      <c r="E294">
        <v>9</v>
      </c>
      <c r="F294">
        <v>1</v>
      </c>
      <c r="G294">
        <v>37</v>
      </c>
      <c r="H294">
        <v>57</v>
      </c>
      <c r="I294">
        <v>0.5</v>
      </c>
      <c r="J294" s="15">
        <v>41519.744756944441</v>
      </c>
      <c r="K294" s="15">
        <v>41519.746342592596</v>
      </c>
      <c r="O294" s="17">
        <v>2.2833333432208747</v>
      </c>
      <c r="P294">
        <v>1</v>
      </c>
      <c r="Q294" s="39">
        <v>41519</v>
      </c>
    </row>
    <row r="295" spans="1:17" x14ac:dyDescent="0.3">
      <c r="A295" t="s">
        <v>499</v>
      </c>
      <c r="B295" t="s">
        <v>188</v>
      </c>
      <c r="C295" t="s">
        <v>88</v>
      </c>
      <c r="D295" t="s">
        <v>138</v>
      </c>
      <c r="E295">
        <v>1</v>
      </c>
      <c r="F295">
        <v>1</v>
      </c>
      <c r="G295">
        <v>31</v>
      </c>
      <c r="H295">
        <v>57</v>
      </c>
      <c r="I295">
        <v>0</v>
      </c>
      <c r="J295" s="15">
        <v>41519.746701388889</v>
      </c>
      <c r="K295" s="15">
        <v>41519.749340277776</v>
      </c>
      <c r="O295" s="17">
        <v>3.7999999977182597</v>
      </c>
      <c r="P295">
        <v>1</v>
      </c>
      <c r="Q295" s="39">
        <v>41519</v>
      </c>
    </row>
    <row r="296" spans="1:17" x14ac:dyDescent="0.3">
      <c r="A296" t="s">
        <v>500</v>
      </c>
      <c r="B296" t="s">
        <v>189</v>
      </c>
      <c r="C296" t="s">
        <v>102</v>
      </c>
      <c r="D296" t="s">
        <v>136</v>
      </c>
      <c r="E296">
        <v>5</v>
      </c>
      <c r="F296">
        <v>3</v>
      </c>
      <c r="G296">
        <v>12</v>
      </c>
      <c r="H296">
        <v>30</v>
      </c>
      <c r="I296">
        <v>1</v>
      </c>
      <c r="J296" s="15">
        <v>41519.749479166669</v>
      </c>
      <c r="K296" s="15">
        <v>41519.753125000003</v>
      </c>
      <c r="O296" s="17">
        <v>5.2500000013969839</v>
      </c>
      <c r="P296">
        <v>1</v>
      </c>
      <c r="Q296" s="39">
        <v>41519</v>
      </c>
    </row>
    <row r="297" spans="1:17" x14ac:dyDescent="0.3">
      <c r="A297" t="s">
        <v>501</v>
      </c>
      <c r="B297" t="s">
        <v>162</v>
      </c>
      <c r="C297" t="s">
        <v>82</v>
      </c>
      <c r="D297" t="s">
        <v>136</v>
      </c>
      <c r="E297">
        <v>35</v>
      </c>
      <c r="F297">
        <v>2</v>
      </c>
      <c r="G297">
        <v>107</v>
      </c>
      <c r="H297">
        <v>141</v>
      </c>
      <c r="I297">
        <v>2</v>
      </c>
      <c r="J297" s="15">
        <v>41519.767418981479</v>
      </c>
      <c r="K297" s="15">
        <v>41519.771597222221</v>
      </c>
      <c r="O297" s="17">
        <v>6.0166666691657156</v>
      </c>
      <c r="P297">
        <v>1</v>
      </c>
      <c r="Q297" s="39">
        <v>41519</v>
      </c>
    </row>
    <row r="298" spans="1:17" x14ac:dyDescent="0.3">
      <c r="A298" t="s">
        <v>502</v>
      </c>
      <c r="B298" t="s">
        <v>188</v>
      </c>
      <c r="C298" t="s">
        <v>88</v>
      </c>
      <c r="D298" t="s">
        <v>141</v>
      </c>
      <c r="E298">
        <v>30</v>
      </c>
      <c r="F298">
        <v>3</v>
      </c>
      <c r="G298">
        <v>36</v>
      </c>
      <c r="H298">
        <v>62</v>
      </c>
      <c r="I298">
        <v>1.75</v>
      </c>
      <c r="J298" s="15">
        <v>41519.783263888887</v>
      </c>
      <c r="K298" s="15">
        <v>41519.786249999997</v>
      </c>
      <c r="O298" s="17">
        <v>4.2999999993480742</v>
      </c>
      <c r="P298">
        <v>1</v>
      </c>
      <c r="Q298" s="39">
        <v>41519</v>
      </c>
    </row>
    <row r="299" spans="1:17" x14ac:dyDescent="0.3">
      <c r="A299" t="s">
        <v>503</v>
      </c>
      <c r="B299" t="s">
        <v>187</v>
      </c>
      <c r="C299" t="s">
        <v>95</v>
      </c>
      <c r="D299" t="s">
        <v>143</v>
      </c>
      <c r="E299">
        <v>34</v>
      </c>
      <c r="F299">
        <v>3</v>
      </c>
      <c r="G299">
        <v>52</v>
      </c>
      <c r="H299">
        <v>84</v>
      </c>
      <c r="I299">
        <v>0</v>
      </c>
      <c r="J299" s="15">
        <v>41519.786412037036</v>
      </c>
      <c r="K299" s="15">
        <v>41519.790451388886</v>
      </c>
      <c r="M299">
        <v>1</v>
      </c>
      <c r="N299" t="s">
        <v>504</v>
      </c>
      <c r="O299" s="17">
        <v>5.8166666643228382</v>
      </c>
      <c r="P299">
        <v>1</v>
      </c>
      <c r="Q299" s="39">
        <v>41519</v>
      </c>
    </row>
    <row r="300" spans="1:17" x14ac:dyDescent="0.3">
      <c r="A300" t="s">
        <v>505</v>
      </c>
      <c r="B300" t="s">
        <v>183</v>
      </c>
      <c r="C300" t="s">
        <v>83</v>
      </c>
      <c r="D300" t="s">
        <v>146</v>
      </c>
      <c r="E300">
        <v>2</v>
      </c>
      <c r="F300">
        <v>1</v>
      </c>
      <c r="G300">
        <v>50</v>
      </c>
      <c r="H300">
        <v>67</v>
      </c>
      <c r="I300">
        <v>1</v>
      </c>
      <c r="J300" s="15">
        <v>41519.811226851853</v>
      </c>
      <c r="K300" s="15">
        <v>41519.812465277777</v>
      </c>
      <c r="O300" s="17">
        <v>1.7833333311136812</v>
      </c>
      <c r="P300">
        <v>1</v>
      </c>
      <c r="Q300" s="39">
        <v>41519</v>
      </c>
    </row>
    <row r="301" spans="1:17" x14ac:dyDescent="0.3">
      <c r="A301" t="s">
        <v>506</v>
      </c>
      <c r="B301" t="s">
        <v>162</v>
      </c>
      <c r="C301" t="s">
        <v>82</v>
      </c>
      <c r="D301" t="s">
        <v>136</v>
      </c>
      <c r="E301">
        <v>18</v>
      </c>
      <c r="F301">
        <v>4</v>
      </c>
      <c r="G301">
        <v>100</v>
      </c>
      <c r="H301">
        <v>131</v>
      </c>
      <c r="I301">
        <v>0</v>
      </c>
      <c r="J301" s="15">
        <v>41519.813761574071</v>
      </c>
      <c r="K301" s="15">
        <v>41519.814421296294</v>
      </c>
      <c r="O301" s="17">
        <v>0.95000000204890966</v>
      </c>
      <c r="P301">
        <v>1</v>
      </c>
      <c r="Q301" s="39">
        <v>41519</v>
      </c>
    </row>
    <row r="302" spans="1:17" x14ac:dyDescent="0.3">
      <c r="A302" t="s">
        <v>507</v>
      </c>
      <c r="B302" t="s">
        <v>333</v>
      </c>
      <c r="C302" t="s">
        <v>99</v>
      </c>
      <c r="D302" t="s">
        <v>170</v>
      </c>
      <c r="E302">
        <v>32</v>
      </c>
      <c r="F302">
        <v>3</v>
      </c>
      <c r="G302">
        <v>18</v>
      </c>
      <c r="H302">
        <v>30</v>
      </c>
      <c r="I302">
        <v>2</v>
      </c>
      <c r="J302" s="15">
        <v>41519.814571759256</v>
      </c>
      <c r="K302" s="15">
        <v>41519.820196759261</v>
      </c>
      <c r="O302" s="17">
        <v>8.1000000075437129</v>
      </c>
      <c r="P302">
        <v>1</v>
      </c>
      <c r="Q302" s="39">
        <v>41519</v>
      </c>
    </row>
    <row r="303" spans="1:17" x14ac:dyDescent="0.3">
      <c r="A303" t="s">
        <v>508</v>
      </c>
      <c r="B303" t="s">
        <v>192</v>
      </c>
      <c r="C303" t="s">
        <v>103</v>
      </c>
      <c r="D303" t="s">
        <v>154</v>
      </c>
      <c r="E303">
        <v>30</v>
      </c>
      <c r="F303">
        <v>4</v>
      </c>
      <c r="G303">
        <v>36</v>
      </c>
      <c r="H303">
        <v>55</v>
      </c>
      <c r="I303">
        <v>3</v>
      </c>
      <c r="J303" s="15">
        <v>41520.288530092592</v>
      </c>
      <c r="K303" s="15">
        <v>41520.304479166669</v>
      </c>
      <c r="O303" s="17">
        <v>22.966666670981795</v>
      </c>
      <c r="P303">
        <v>1</v>
      </c>
      <c r="Q303" s="39">
        <v>41520</v>
      </c>
    </row>
    <row r="304" spans="1:17" x14ac:dyDescent="0.3">
      <c r="A304" t="s">
        <v>509</v>
      </c>
      <c r="B304" t="s">
        <v>194</v>
      </c>
      <c r="C304" t="s">
        <v>135</v>
      </c>
      <c r="D304" t="s">
        <v>136</v>
      </c>
      <c r="E304">
        <v>1</v>
      </c>
      <c r="F304">
        <v>3</v>
      </c>
      <c r="G304">
        <v>7</v>
      </c>
      <c r="H304">
        <v>10</v>
      </c>
      <c r="I304">
        <v>1.5</v>
      </c>
      <c r="J304" s="15">
        <v>41520.304722222223</v>
      </c>
      <c r="K304" s="15">
        <v>41520.310914351852</v>
      </c>
      <c r="O304" s="17">
        <v>8.916666666045785</v>
      </c>
      <c r="P304">
        <v>1</v>
      </c>
      <c r="Q304" s="39">
        <v>41520</v>
      </c>
    </row>
    <row r="305" spans="1:17" x14ac:dyDescent="0.3">
      <c r="A305" t="s">
        <v>510</v>
      </c>
      <c r="B305" t="s">
        <v>186</v>
      </c>
      <c r="C305" t="s">
        <v>98</v>
      </c>
      <c r="D305" t="s">
        <v>145</v>
      </c>
      <c r="E305">
        <v>10</v>
      </c>
      <c r="F305">
        <v>1</v>
      </c>
      <c r="G305">
        <v>25</v>
      </c>
      <c r="H305">
        <v>50</v>
      </c>
      <c r="I305">
        <v>0.5</v>
      </c>
      <c r="J305" s="15">
        <v>41520.31722222222</v>
      </c>
      <c r="K305" s="15">
        <v>41520.319664351853</v>
      </c>
      <c r="O305" s="17">
        <v>3.516666671494022</v>
      </c>
      <c r="P305">
        <v>1</v>
      </c>
      <c r="Q305" s="39">
        <v>41520</v>
      </c>
    </row>
    <row r="306" spans="1:17" x14ac:dyDescent="0.3">
      <c r="A306" t="s">
        <v>511</v>
      </c>
      <c r="B306" t="s">
        <v>190</v>
      </c>
      <c r="C306" t="s">
        <v>87</v>
      </c>
      <c r="D306" t="s">
        <v>144</v>
      </c>
      <c r="E306">
        <v>32</v>
      </c>
      <c r="F306">
        <v>3</v>
      </c>
      <c r="G306">
        <v>43</v>
      </c>
      <c r="H306">
        <v>70</v>
      </c>
      <c r="I306">
        <v>1</v>
      </c>
      <c r="J306" s="15">
        <v>41520.319907407407</v>
      </c>
      <c r="K306" s="15">
        <v>41520.325706018521</v>
      </c>
      <c r="O306" s="17">
        <v>8.3500000031199306</v>
      </c>
      <c r="P306">
        <v>1</v>
      </c>
      <c r="Q306" s="39">
        <v>41520</v>
      </c>
    </row>
    <row r="307" spans="1:17" x14ac:dyDescent="0.3">
      <c r="A307" t="s">
        <v>512</v>
      </c>
      <c r="B307" t="s">
        <v>162</v>
      </c>
      <c r="C307" t="s">
        <v>82</v>
      </c>
      <c r="D307" t="s">
        <v>136</v>
      </c>
      <c r="E307">
        <v>23</v>
      </c>
      <c r="F307">
        <v>1.5</v>
      </c>
      <c r="G307">
        <v>103</v>
      </c>
      <c r="H307">
        <v>133</v>
      </c>
      <c r="I307">
        <v>0.5</v>
      </c>
      <c r="J307" s="15">
        <v>41520.843969907408</v>
      </c>
      <c r="K307" s="15">
        <v>41520.846030092594</v>
      </c>
      <c r="O307" s="17">
        <v>2.9666666686534882</v>
      </c>
      <c r="P307">
        <v>1</v>
      </c>
      <c r="Q307" s="39">
        <v>41520</v>
      </c>
    </row>
    <row r="308" spans="1:17" x14ac:dyDescent="0.3">
      <c r="A308" t="s">
        <v>513</v>
      </c>
      <c r="B308" t="s">
        <v>161</v>
      </c>
      <c r="C308" t="s">
        <v>97</v>
      </c>
      <c r="D308" t="s">
        <v>147</v>
      </c>
      <c r="E308">
        <v>17</v>
      </c>
      <c r="F308">
        <v>1</v>
      </c>
      <c r="G308">
        <v>16</v>
      </c>
      <c r="H308">
        <v>22</v>
      </c>
      <c r="I308">
        <v>1</v>
      </c>
      <c r="J308" s="15">
        <v>41521.289398148147</v>
      </c>
      <c r="K308" s="15">
        <v>41521.291886574072</v>
      </c>
      <c r="O308" s="17">
        <v>3.5833333327900618</v>
      </c>
      <c r="P308">
        <v>1</v>
      </c>
      <c r="Q308" s="39">
        <v>41521</v>
      </c>
    </row>
    <row r="309" spans="1:17" x14ac:dyDescent="0.3">
      <c r="A309" t="s">
        <v>514</v>
      </c>
      <c r="B309" t="s">
        <v>182</v>
      </c>
      <c r="C309" t="s">
        <v>134</v>
      </c>
      <c r="D309" t="s">
        <v>136</v>
      </c>
      <c r="E309">
        <v>8</v>
      </c>
      <c r="F309">
        <v>3</v>
      </c>
      <c r="G309">
        <v>38</v>
      </c>
      <c r="H309">
        <v>46</v>
      </c>
      <c r="I309">
        <v>0</v>
      </c>
      <c r="J309" s="15">
        <v>41521.293773148151</v>
      </c>
      <c r="K309" s="15">
        <v>41521.298576388886</v>
      </c>
      <c r="O309" s="17">
        <v>6.9166666595265269</v>
      </c>
      <c r="P309">
        <v>1</v>
      </c>
      <c r="Q309" s="39">
        <v>41521</v>
      </c>
    </row>
    <row r="310" spans="1:17" x14ac:dyDescent="0.3">
      <c r="A310" t="s">
        <v>515</v>
      </c>
      <c r="B310" t="s">
        <v>186</v>
      </c>
      <c r="C310" t="s">
        <v>98</v>
      </c>
      <c r="D310" t="s">
        <v>144</v>
      </c>
      <c r="E310">
        <v>14</v>
      </c>
      <c r="F310">
        <v>1</v>
      </c>
      <c r="G310">
        <v>24</v>
      </c>
      <c r="H310">
        <v>50</v>
      </c>
      <c r="I310">
        <v>0</v>
      </c>
      <c r="J310" s="15">
        <v>41521.803981481484</v>
      </c>
      <c r="K310" s="15">
        <v>41521.806689814817</v>
      </c>
      <c r="O310" s="17">
        <v>3.9000000001396984</v>
      </c>
      <c r="P310">
        <v>1</v>
      </c>
      <c r="Q310" s="39">
        <v>41521</v>
      </c>
    </row>
    <row r="311" spans="1:17" x14ac:dyDescent="0.3">
      <c r="A311" t="s">
        <v>516</v>
      </c>
      <c r="B311" t="s">
        <v>191</v>
      </c>
      <c r="C311" t="s">
        <v>72</v>
      </c>
      <c r="D311" t="s">
        <v>139</v>
      </c>
      <c r="E311">
        <v>6</v>
      </c>
      <c r="F311">
        <v>1</v>
      </c>
      <c r="G311">
        <v>18</v>
      </c>
      <c r="H311">
        <v>30</v>
      </c>
      <c r="I311">
        <v>1</v>
      </c>
      <c r="J311" s="15">
        <v>41522.27107638889</v>
      </c>
      <c r="K311" s="15">
        <v>41522.27306712963</v>
      </c>
      <c r="O311" s="17">
        <v>2.8666666662320495</v>
      </c>
      <c r="P311">
        <v>1</v>
      </c>
      <c r="Q311" s="39">
        <v>41522</v>
      </c>
    </row>
    <row r="312" spans="1:17" x14ac:dyDescent="0.3">
      <c r="A312" t="s">
        <v>517</v>
      </c>
      <c r="B312" t="s">
        <v>238</v>
      </c>
      <c r="C312" t="s">
        <v>89</v>
      </c>
      <c r="D312" t="s">
        <v>136</v>
      </c>
      <c r="E312">
        <v>40</v>
      </c>
      <c r="F312">
        <v>1</v>
      </c>
      <c r="G312">
        <v>50</v>
      </c>
      <c r="H312">
        <v>76</v>
      </c>
      <c r="I312">
        <v>1</v>
      </c>
      <c r="J312" s="15">
        <v>41522.341539351852</v>
      </c>
      <c r="K312" s="15">
        <v>41522.3437962963</v>
      </c>
      <c r="O312" s="17">
        <v>3.2500000053551048</v>
      </c>
      <c r="P312">
        <v>1</v>
      </c>
      <c r="Q312" s="39">
        <v>41522</v>
      </c>
    </row>
    <row r="313" spans="1:17" x14ac:dyDescent="0.3">
      <c r="A313" t="s">
        <v>518</v>
      </c>
      <c r="B313" t="s">
        <v>159</v>
      </c>
      <c r="C313" t="s">
        <v>85</v>
      </c>
      <c r="D313" t="s">
        <v>136</v>
      </c>
      <c r="E313">
        <v>11</v>
      </c>
      <c r="F313">
        <v>1</v>
      </c>
      <c r="G313">
        <v>35</v>
      </c>
      <c r="H313">
        <v>52</v>
      </c>
      <c r="I313">
        <v>0</v>
      </c>
      <c r="J313" s="15">
        <v>41522.3515625</v>
      </c>
      <c r="K313" s="15">
        <v>41522.353981481479</v>
      </c>
      <c r="M313">
        <v>1</v>
      </c>
      <c r="O313" s="17">
        <v>3.4833333303686231</v>
      </c>
      <c r="P313">
        <v>1</v>
      </c>
      <c r="Q313" s="39">
        <v>41522</v>
      </c>
    </row>
    <row r="314" spans="1:17" x14ac:dyDescent="0.3">
      <c r="A314" t="s">
        <v>519</v>
      </c>
      <c r="B314" t="s">
        <v>192</v>
      </c>
      <c r="C314" t="s">
        <v>103</v>
      </c>
      <c r="D314" t="s">
        <v>141</v>
      </c>
      <c r="E314">
        <v>9</v>
      </c>
      <c r="F314">
        <v>1</v>
      </c>
      <c r="G314">
        <v>28</v>
      </c>
      <c r="H314">
        <v>48</v>
      </c>
      <c r="I314">
        <v>0.25</v>
      </c>
      <c r="J314" s="15">
        <v>41523.27002314815</v>
      </c>
      <c r="K314" s="15">
        <v>41523.273020833331</v>
      </c>
      <c r="O314" s="17">
        <v>4.3166666594333947</v>
      </c>
      <c r="P314">
        <v>1</v>
      </c>
      <c r="Q314" s="39">
        <v>41523</v>
      </c>
    </row>
    <row r="315" spans="1:17" x14ac:dyDescent="0.3">
      <c r="A315" t="s">
        <v>520</v>
      </c>
      <c r="B315" t="s">
        <v>184</v>
      </c>
      <c r="C315" t="s">
        <v>94</v>
      </c>
      <c r="D315" t="s">
        <v>168</v>
      </c>
      <c r="E315">
        <v>45</v>
      </c>
      <c r="F315">
        <v>4</v>
      </c>
      <c r="G315">
        <v>85</v>
      </c>
      <c r="H315">
        <v>145</v>
      </c>
      <c r="I315">
        <v>1</v>
      </c>
      <c r="J315" s="15">
        <v>41523.273576388892</v>
      </c>
      <c r="K315" s="15">
        <v>41523.291296296295</v>
      </c>
      <c r="O315" s="17">
        <v>25.516666659386829</v>
      </c>
      <c r="P315">
        <v>1</v>
      </c>
      <c r="Q315" s="39">
        <v>41523</v>
      </c>
    </row>
    <row r="316" spans="1:17" x14ac:dyDescent="0.3">
      <c r="A316" t="s">
        <v>521</v>
      </c>
      <c r="B316" t="s">
        <v>182</v>
      </c>
      <c r="C316" t="s">
        <v>134</v>
      </c>
      <c r="D316" t="s">
        <v>148</v>
      </c>
      <c r="E316">
        <v>9</v>
      </c>
      <c r="F316">
        <v>2</v>
      </c>
      <c r="G316">
        <v>39</v>
      </c>
      <c r="H316">
        <v>47</v>
      </c>
      <c r="I316">
        <v>2</v>
      </c>
      <c r="J316" s="15">
        <v>41523.291875000003</v>
      </c>
      <c r="K316" s="15">
        <v>41523.295925925922</v>
      </c>
      <c r="L316" t="s">
        <v>338</v>
      </c>
      <c r="O316" s="17">
        <v>5.8333333244081587</v>
      </c>
      <c r="P316">
        <v>1</v>
      </c>
      <c r="Q316" s="39">
        <v>41523</v>
      </c>
    </row>
    <row r="317" spans="1:17" x14ac:dyDescent="0.3">
      <c r="A317" t="s">
        <v>522</v>
      </c>
      <c r="B317" t="s">
        <v>189</v>
      </c>
      <c r="C317" t="s">
        <v>102</v>
      </c>
      <c r="D317" t="s">
        <v>148</v>
      </c>
      <c r="E317">
        <v>27</v>
      </c>
      <c r="F317">
        <v>4</v>
      </c>
      <c r="G317">
        <v>22</v>
      </c>
      <c r="H317">
        <v>41</v>
      </c>
      <c r="I317">
        <v>3</v>
      </c>
      <c r="J317" s="15">
        <v>41523.296354166669</v>
      </c>
      <c r="K317" s="15">
        <v>41523.303993055553</v>
      </c>
      <c r="O317" s="17">
        <v>10.999999993946403</v>
      </c>
      <c r="P317">
        <v>1</v>
      </c>
      <c r="Q317" s="39">
        <v>41523</v>
      </c>
    </row>
    <row r="318" spans="1:17" x14ac:dyDescent="0.3">
      <c r="A318" t="s">
        <v>523</v>
      </c>
      <c r="B318" t="s">
        <v>194</v>
      </c>
      <c r="C318" t="s">
        <v>135</v>
      </c>
      <c r="D318" t="s">
        <v>148</v>
      </c>
      <c r="E318">
        <v>24</v>
      </c>
      <c r="F318">
        <v>2</v>
      </c>
      <c r="G318">
        <v>9</v>
      </c>
      <c r="H318">
        <v>13</v>
      </c>
      <c r="I318">
        <v>1.5</v>
      </c>
      <c r="J318" s="15">
        <v>41523.339062500003</v>
      </c>
      <c r="K318" s="15">
        <v>41523.340891203705</v>
      </c>
      <c r="O318" s="17">
        <v>2.6333333307411522</v>
      </c>
      <c r="P318">
        <v>1</v>
      </c>
      <c r="Q318" s="39">
        <v>41523</v>
      </c>
    </row>
    <row r="319" spans="1:17" x14ac:dyDescent="0.3">
      <c r="A319" t="s">
        <v>524</v>
      </c>
      <c r="B319" t="s">
        <v>162</v>
      </c>
      <c r="C319" t="s">
        <v>82</v>
      </c>
      <c r="D319" t="s">
        <v>136</v>
      </c>
      <c r="E319">
        <v>26</v>
      </c>
      <c r="F319">
        <v>1</v>
      </c>
      <c r="G319">
        <v>104</v>
      </c>
      <c r="H319">
        <v>134</v>
      </c>
      <c r="I319">
        <v>0</v>
      </c>
      <c r="J319" s="15">
        <v>41523.342141203706</v>
      </c>
      <c r="K319" s="15">
        <v>41523.346712962964</v>
      </c>
      <c r="M319">
        <v>1</v>
      </c>
      <c r="O319" s="17">
        <v>6.5833333320915699</v>
      </c>
      <c r="P319">
        <v>1</v>
      </c>
      <c r="Q319" s="39">
        <v>41523</v>
      </c>
    </row>
    <row r="320" spans="1:17" x14ac:dyDescent="0.3">
      <c r="A320" t="s">
        <v>525</v>
      </c>
      <c r="B320" t="s">
        <v>191</v>
      </c>
      <c r="C320" t="s">
        <v>72</v>
      </c>
      <c r="D320" t="s">
        <v>137</v>
      </c>
      <c r="E320">
        <v>42</v>
      </c>
      <c r="F320">
        <v>3</v>
      </c>
      <c r="G320">
        <v>16</v>
      </c>
      <c r="H320">
        <v>28</v>
      </c>
      <c r="I320">
        <v>0.5</v>
      </c>
      <c r="J320" s="15">
        <v>41523.354583333334</v>
      </c>
      <c r="K320" s="15">
        <v>41523.370254629626</v>
      </c>
      <c r="O320" s="17">
        <v>22.56666666129604</v>
      </c>
      <c r="P320">
        <v>1</v>
      </c>
      <c r="Q320" s="39">
        <v>41523</v>
      </c>
    </row>
    <row r="321" spans="1:17" x14ac:dyDescent="0.3">
      <c r="A321" t="s">
        <v>526</v>
      </c>
      <c r="B321" t="s">
        <v>188</v>
      </c>
      <c r="C321" t="s">
        <v>88</v>
      </c>
      <c r="D321" t="s">
        <v>154</v>
      </c>
      <c r="E321">
        <v>22</v>
      </c>
      <c r="F321">
        <v>2</v>
      </c>
      <c r="G321">
        <v>48</v>
      </c>
      <c r="H321">
        <v>75</v>
      </c>
      <c r="I321">
        <v>1</v>
      </c>
      <c r="J321" s="15">
        <v>41523.590219907404</v>
      </c>
      <c r="K321" s="15">
        <v>41523.593101851853</v>
      </c>
      <c r="O321" s="17">
        <v>4.1500000061932951</v>
      </c>
      <c r="P321">
        <v>1</v>
      </c>
      <c r="Q321" s="39">
        <v>41523</v>
      </c>
    </row>
    <row r="322" spans="1:17" x14ac:dyDescent="0.3">
      <c r="A322" t="s">
        <v>527</v>
      </c>
      <c r="B322" t="s">
        <v>190</v>
      </c>
      <c r="C322" t="s">
        <v>87</v>
      </c>
      <c r="D322" t="s">
        <v>136</v>
      </c>
      <c r="E322">
        <v>12</v>
      </c>
      <c r="F322">
        <v>3</v>
      </c>
      <c r="G322">
        <v>37</v>
      </c>
      <c r="H322">
        <v>59</v>
      </c>
      <c r="I322">
        <v>1</v>
      </c>
      <c r="J322" s="15">
        <v>41523.743611111109</v>
      </c>
      <c r="K322" s="15">
        <v>41523.752384259256</v>
      </c>
      <c r="O322" s="17">
        <v>12.633333331905305</v>
      </c>
      <c r="P322">
        <v>1</v>
      </c>
      <c r="Q322" s="39">
        <v>41523</v>
      </c>
    </row>
    <row r="323" spans="1:17" x14ac:dyDescent="0.3">
      <c r="A323" t="s">
        <v>528</v>
      </c>
      <c r="B323" t="s">
        <v>194</v>
      </c>
      <c r="C323" t="s">
        <v>135</v>
      </c>
      <c r="D323" t="s">
        <v>143</v>
      </c>
      <c r="E323">
        <v>4</v>
      </c>
      <c r="F323">
        <v>1</v>
      </c>
      <c r="G323">
        <v>8</v>
      </c>
      <c r="H323">
        <v>13</v>
      </c>
      <c r="I323">
        <v>1</v>
      </c>
      <c r="J323" s="15">
        <v>41523.753530092596</v>
      </c>
      <c r="K323" s="15">
        <v>41523.754270833335</v>
      </c>
      <c r="O323" s="17">
        <v>1.0666666645556688</v>
      </c>
      <c r="P323">
        <v>1</v>
      </c>
      <c r="Q323" s="39">
        <v>41523</v>
      </c>
    </row>
    <row r="324" spans="1:17" x14ac:dyDescent="0.3">
      <c r="A324" t="s">
        <v>529</v>
      </c>
      <c r="B324" t="s">
        <v>191</v>
      </c>
      <c r="C324" t="s">
        <v>72</v>
      </c>
      <c r="D324" t="s">
        <v>139</v>
      </c>
      <c r="E324">
        <v>29</v>
      </c>
      <c r="F324">
        <v>2</v>
      </c>
      <c r="G324">
        <v>19</v>
      </c>
      <c r="H324">
        <v>31</v>
      </c>
      <c r="I324">
        <v>0.25</v>
      </c>
      <c r="J324" s="15">
        <v>41523.75476851852</v>
      </c>
      <c r="K324" s="15">
        <v>41523.756631944445</v>
      </c>
      <c r="O324" s="17">
        <v>2.6833333319518715</v>
      </c>
      <c r="P324">
        <v>1</v>
      </c>
      <c r="Q324" s="39">
        <v>41523</v>
      </c>
    </row>
    <row r="325" spans="1:17" x14ac:dyDescent="0.3">
      <c r="A325" t="s">
        <v>530</v>
      </c>
      <c r="B325" t="s">
        <v>194</v>
      </c>
      <c r="C325" t="s">
        <v>135</v>
      </c>
      <c r="D325" t="s">
        <v>153</v>
      </c>
      <c r="E325">
        <v>21</v>
      </c>
      <c r="F325">
        <v>1.5</v>
      </c>
      <c r="G325">
        <v>9</v>
      </c>
      <c r="H325">
        <v>13</v>
      </c>
      <c r="I325">
        <v>0.5</v>
      </c>
      <c r="J325" s="15">
        <v>41523.759062500001</v>
      </c>
      <c r="K325" s="15">
        <v>41523.763888888891</v>
      </c>
      <c r="O325" s="17">
        <v>6.9500000006519258</v>
      </c>
      <c r="P325">
        <v>1</v>
      </c>
      <c r="Q325" s="39">
        <v>41523</v>
      </c>
    </row>
    <row r="326" spans="1:17" x14ac:dyDescent="0.3">
      <c r="A326" t="s">
        <v>531</v>
      </c>
      <c r="B326" t="s">
        <v>161</v>
      </c>
      <c r="C326" t="s">
        <v>97</v>
      </c>
      <c r="D326" t="s">
        <v>147</v>
      </c>
      <c r="E326">
        <v>38</v>
      </c>
      <c r="F326">
        <v>1.5</v>
      </c>
      <c r="G326">
        <v>16</v>
      </c>
      <c r="H326">
        <v>23</v>
      </c>
      <c r="I326">
        <v>1.5</v>
      </c>
      <c r="J326" s="15">
        <v>41523.766435185185</v>
      </c>
      <c r="K326" s="15">
        <v>41523.768680555557</v>
      </c>
      <c r="O326" s="17">
        <v>3.2333333347924054</v>
      </c>
      <c r="P326">
        <v>1</v>
      </c>
      <c r="Q326" s="39">
        <v>41523</v>
      </c>
    </row>
    <row r="327" spans="1:17" x14ac:dyDescent="0.3">
      <c r="A327" t="s">
        <v>532</v>
      </c>
      <c r="B327" t="s">
        <v>190</v>
      </c>
      <c r="C327" t="s">
        <v>87</v>
      </c>
      <c r="D327" t="s">
        <v>136</v>
      </c>
      <c r="E327">
        <v>14</v>
      </c>
      <c r="F327">
        <v>3.5</v>
      </c>
      <c r="G327">
        <v>38</v>
      </c>
      <c r="H327">
        <v>61</v>
      </c>
      <c r="I327">
        <v>2.5</v>
      </c>
      <c r="J327" s="15">
        <v>41523.768819444442</v>
      </c>
      <c r="K327" s="15">
        <v>41523.77584490741</v>
      </c>
      <c r="O327" s="17">
        <v>10.116666674148291</v>
      </c>
      <c r="P327">
        <v>1</v>
      </c>
      <c r="Q327" s="39">
        <v>41523</v>
      </c>
    </row>
    <row r="328" spans="1:17" x14ac:dyDescent="0.3">
      <c r="A328" t="s">
        <v>533</v>
      </c>
      <c r="B328" t="s">
        <v>189</v>
      </c>
      <c r="C328" t="s">
        <v>102</v>
      </c>
      <c r="D328" t="s">
        <v>151</v>
      </c>
      <c r="E328">
        <v>25</v>
      </c>
      <c r="F328">
        <v>3</v>
      </c>
      <c r="G328">
        <v>23</v>
      </c>
      <c r="H328">
        <v>42</v>
      </c>
      <c r="I328">
        <v>3</v>
      </c>
      <c r="J328" s="15">
        <v>41523.780127314814</v>
      </c>
      <c r="K328" s="15">
        <v>41523.784085648149</v>
      </c>
      <c r="O328" s="17">
        <v>5.700000001816079</v>
      </c>
      <c r="P328">
        <v>1</v>
      </c>
      <c r="Q328" s="39">
        <v>41523</v>
      </c>
    </row>
    <row r="329" spans="1:17" x14ac:dyDescent="0.3">
      <c r="A329" t="s">
        <v>534</v>
      </c>
      <c r="B329" t="s">
        <v>188</v>
      </c>
      <c r="C329" t="s">
        <v>88</v>
      </c>
      <c r="D329" t="s">
        <v>137</v>
      </c>
      <c r="E329">
        <v>17</v>
      </c>
      <c r="F329">
        <v>1</v>
      </c>
      <c r="G329">
        <v>31</v>
      </c>
      <c r="H329">
        <v>57</v>
      </c>
      <c r="I329">
        <v>0.5</v>
      </c>
      <c r="J329" s="15">
        <v>41523.784212962964</v>
      </c>
      <c r="K329" s="15">
        <v>41523.785393518519</v>
      </c>
      <c r="O329" s="17">
        <v>1.6999999992549419</v>
      </c>
      <c r="P329">
        <v>1</v>
      </c>
      <c r="Q329" s="39">
        <v>41523</v>
      </c>
    </row>
    <row r="330" spans="1:17" x14ac:dyDescent="0.3">
      <c r="A330" t="s">
        <v>535</v>
      </c>
      <c r="B330" t="s">
        <v>161</v>
      </c>
      <c r="C330" t="s">
        <v>97</v>
      </c>
      <c r="D330" t="s">
        <v>137</v>
      </c>
      <c r="E330">
        <v>40</v>
      </c>
      <c r="F330">
        <v>2</v>
      </c>
      <c r="G330">
        <v>12</v>
      </c>
      <c r="H330">
        <v>18</v>
      </c>
      <c r="I330">
        <v>2</v>
      </c>
      <c r="J330" s="15">
        <v>41523.785868055558</v>
      </c>
      <c r="K330" s="15">
        <v>41523.788773148146</v>
      </c>
      <c r="O330" s="17">
        <v>4.1833333263639361</v>
      </c>
      <c r="P330">
        <v>1</v>
      </c>
      <c r="Q330" s="39">
        <v>41523</v>
      </c>
    </row>
    <row r="331" spans="1:17" x14ac:dyDescent="0.3">
      <c r="A331" t="s">
        <v>536</v>
      </c>
      <c r="B331" t="s">
        <v>188</v>
      </c>
      <c r="C331" t="s">
        <v>88</v>
      </c>
      <c r="D331" t="s">
        <v>175</v>
      </c>
      <c r="E331">
        <v>28</v>
      </c>
      <c r="F331">
        <v>1</v>
      </c>
      <c r="G331">
        <v>37</v>
      </c>
      <c r="H331">
        <v>62</v>
      </c>
      <c r="I331">
        <v>1</v>
      </c>
      <c r="J331" s="15">
        <v>41523.789166666669</v>
      </c>
      <c r="K331" s="15">
        <v>41523.793668981481</v>
      </c>
      <c r="O331" s="17">
        <v>6.4833333296701312</v>
      </c>
      <c r="P331">
        <v>1</v>
      </c>
      <c r="Q331" s="39">
        <v>41523</v>
      </c>
    </row>
    <row r="332" spans="1:17" x14ac:dyDescent="0.3">
      <c r="A332" t="s">
        <v>537</v>
      </c>
      <c r="B332" t="s">
        <v>189</v>
      </c>
      <c r="C332" t="s">
        <v>102</v>
      </c>
      <c r="D332" t="s">
        <v>137</v>
      </c>
      <c r="E332">
        <v>16</v>
      </c>
      <c r="F332">
        <v>1</v>
      </c>
      <c r="G332">
        <v>15</v>
      </c>
      <c r="H332">
        <v>34</v>
      </c>
      <c r="I332">
        <v>0</v>
      </c>
      <c r="J332" s="15">
        <v>41523.793807870374</v>
      </c>
      <c r="K332" s="15">
        <v>41523.795081018521</v>
      </c>
      <c r="O332" s="17">
        <v>1.8333333323244005</v>
      </c>
      <c r="P332">
        <v>1</v>
      </c>
      <c r="Q332" s="39">
        <v>41523</v>
      </c>
    </row>
    <row r="333" spans="1:17" x14ac:dyDescent="0.3">
      <c r="A333" t="s">
        <v>538</v>
      </c>
      <c r="B333" t="s">
        <v>191</v>
      </c>
      <c r="C333" t="s">
        <v>72</v>
      </c>
      <c r="D333" t="s">
        <v>139</v>
      </c>
      <c r="E333">
        <v>7</v>
      </c>
      <c r="F333">
        <v>1</v>
      </c>
      <c r="G333">
        <v>19</v>
      </c>
      <c r="H333">
        <v>30</v>
      </c>
      <c r="I333">
        <v>0</v>
      </c>
      <c r="J333" s="15">
        <v>41523.795231481483</v>
      </c>
      <c r="K333" s="15">
        <v>41523.797951388886</v>
      </c>
      <c r="O333" s="17">
        <v>3.9166666602250189</v>
      </c>
      <c r="P333">
        <v>1</v>
      </c>
      <c r="Q333" s="39">
        <v>41523</v>
      </c>
    </row>
    <row r="334" spans="1:17" x14ac:dyDescent="0.3">
      <c r="A334" t="s">
        <v>539</v>
      </c>
      <c r="B334" t="s">
        <v>191</v>
      </c>
      <c r="C334" t="s">
        <v>72</v>
      </c>
      <c r="D334" t="s">
        <v>141</v>
      </c>
      <c r="E334">
        <v>29</v>
      </c>
      <c r="F334">
        <v>3</v>
      </c>
      <c r="G334">
        <v>20</v>
      </c>
      <c r="H334">
        <v>32</v>
      </c>
      <c r="I334">
        <v>1.25</v>
      </c>
      <c r="J334" s="15">
        <v>41523.798101851855</v>
      </c>
      <c r="K334" s="15">
        <v>41523.799502314818</v>
      </c>
      <c r="O334" s="17">
        <v>2.0166666666045785</v>
      </c>
      <c r="P334">
        <v>1</v>
      </c>
      <c r="Q334" s="39">
        <v>41523</v>
      </c>
    </row>
    <row r="335" spans="1:17" x14ac:dyDescent="0.3">
      <c r="A335" t="s">
        <v>540</v>
      </c>
      <c r="B335" t="s">
        <v>190</v>
      </c>
      <c r="C335" t="s">
        <v>87</v>
      </c>
      <c r="D335" t="s">
        <v>138</v>
      </c>
      <c r="E335">
        <v>36</v>
      </c>
      <c r="F335">
        <v>3</v>
      </c>
      <c r="G335">
        <v>103</v>
      </c>
      <c r="H335">
        <v>115</v>
      </c>
      <c r="I335">
        <v>1</v>
      </c>
      <c r="J335" s="15">
        <v>41523.799733796295</v>
      </c>
      <c r="K335" s="15">
        <v>41523.807847222219</v>
      </c>
      <c r="M335">
        <v>1</v>
      </c>
      <c r="O335" s="17">
        <v>11.683333329856396</v>
      </c>
      <c r="P335">
        <v>1</v>
      </c>
      <c r="Q335" s="39">
        <v>41523</v>
      </c>
    </row>
    <row r="336" spans="1:17" x14ac:dyDescent="0.3">
      <c r="A336" t="s">
        <v>541</v>
      </c>
      <c r="B336" t="s">
        <v>191</v>
      </c>
      <c r="C336" t="s">
        <v>72</v>
      </c>
      <c r="D336" t="s">
        <v>154</v>
      </c>
      <c r="E336">
        <v>23</v>
      </c>
      <c r="F336">
        <v>2.5</v>
      </c>
      <c r="G336">
        <v>23</v>
      </c>
      <c r="H336">
        <v>38</v>
      </c>
      <c r="I336">
        <v>2.25</v>
      </c>
      <c r="J336" s="15">
        <v>41523.824143518519</v>
      </c>
      <c r="K336" s="15">
        <v>41523.827465277776</v>
      </c>
      <c r="O336" s="17">
        <v>4.7833333304151893</v>
      </c>
      <c r="P336">
        <v>1</v>
      </c>
      <c r="Q336" s="39">
        <v>41523</v>
      </c>
    </row>
    <row r="337" spans="1:17" x14ac:dyDescent="0.3">
      <c r="A337" t="s">
        <v>542</v>
      </c>
      <c r="B337" t="s">
        <v>189</v>
      </c>
      <c r="C337" t="s">
        <v>102</v>
      </c>
      <c r="D337" t="s">
        <v>143</v>
      </c>
      <c r="E337">
        <v>25</v>
      </c>
      <c r="F337">
        <v>2</v>
      </c>
      <c r="G337">
        <v>20</v>
      </c>
      <c r="H337">
        <v>38</v>
      </c>
      <c r="I337">
        <v>0</v>
      </c>
      <c r="J337" s="15">
        <v>41523.827638888892</v>
      </c>
      <c r="K337" s="15">
        <v>41523.828923611109</v>
      </c>
      <c r="M337">
        <v>1</v>
      </c>
      <c r="O337" s="17">
        <v>1.849999992409721</v>
      </c>
      <c r="P337">
        <v>1</v>
      </c>
      <c r="Q337" s="39">
        <v>41523</v>
      </c>
    </row>
    <row r="338" spans="1:17" x14ac:dyDescent="0.3">
      <c r="A338" t="s">
        <v>543</v>
      </c>
      <c r="B338" t="s">
        <v>189</v>
      </c>
      <c r="C338" t="s">
        <v>102</v>
      </c>
      <c r="D338" t="s">
        <v>137</v>
      </c>
      <c r="E338">
        <v>41</v>
      </c>
      <c r="F338">
        <v>3</v>
      </c>
      <c r="G338">
        <v>16</v>
      </c>
      <c r="H338">
        <v>34</v>
      </c>
      <c r="I338">
        <v>1.25</v>
      </c>
      <c r="J338" s="15">
        <v>41523.829050925924</v>
      </c>
      <c r="K338" s="15">
        <v>41523.836655092593</v>
      </c>
      <c r="M338">
        <v>1</v>
      </c>
      <c r="O338" s="17">
        <v>10.950000003213063</v>
      </c>
      <c r="P338">
        <v>1</v>
      </c>
      <c r="Q338" s="39">
        <v>41523</v>
      </c>
    </row>
    <row r="339" spans="1:17" x14ac:dyDescent="0.3">
      <c r="A339" t="s">
        <v>544</v>
      </c>
      <c r="B339" t="s">
        <v>191</v>
      </c>
      <c r="C339" t="s">
        <v>72</v>
      </c>
      <c r="D339" t="s">
        <v>143</v>
      </c>
      <c r="E339">
        <v>6</v>
      </c>
      <c r="F339">
        <v>1</v>
      </c>
      <c r="G339">
        <v>21</v>
      </c>
      <c r="H339">
        <v>33</v>
      </c>
      <c r="I339">
        <v>1</v>
      </c>
      <c r="J339" s="15">
        <v>41523.837245370371</v>
      </c>
      <c r="K339" s="15">
        <v>41523.837511574071</v>
      </c>
      <c r="O339" s="17">
        <v>0.38333332864567637</v>
      </c>
      <c r="P339">
        <v>1</v>
      </c>
      <c r="Q339" s="39">
        <v>41523</v>
      </c>
    </row>
    <row r="340" spans="1:17" x14ac:dyDescent="0.3">
      <c r="A340" t="s">
        <v>545</v>
      </c>
      <c r="B340" t="s">
        <v>189</v>
      </c>
      <c r="C340" t="s">
        <v>102</v>
      </c>
      <c r="D340" t="s">
        <v>139</v>
      </c>
      <c r="E340">
        <v>34</v>
      </c>
      <c r="F340">
        <v>3</v>
      </c>
      <c r="G340">
        <v>17</v>
      </c>
      <c r="H340">
        <v>36</v>
      </c>
      <c r="I340">
        <v>1.5</v>
      </c>
      <c r="J340" s="15">
        <v>41523.838784722226</v>
      </c>
      <c r="K340" s="15">
        <v>41523.839999999997</v>
      </c>
      <c r="M340">
        <v>1</v>
      </c>
      <c r="O340" s="17">
        <v>1.7499999899882823</v>
      </c>
      <c r="P340">
        <v>1</v>
      </c>
      <c r="Q340" s="39">
        <v>41523</v>
      </c>
    </row>
    <row r="341" spans="1:17" x14ac:dyDescent="0.3">
      <c r="A341" t="s">
        <v>546</v>
      </c>
      <c r="B341" t="s">
        <v>161</v>
      </c>
      <c r="C341" t="s">
        <v>97</v>
      </c>
      <c r="D341" t="s">
        <v>137</v>
      </c>
      <c r="E341">
        <v>15</v>
      </c>
      <c r="F341">
        <v>1</v>
      </c>
      <c r="G341">
        <v>12</v>
      </c>
      <c r="H341">
        <v>18</v>
      </c>
      <c r="I341">
        <v>0</v>
      </c>
      <c r="J341" s="15">
        <v>41524.320173611108</v>
      </c>
      <c r="K341" s="15">
        <v>41524.322962962964</v>
      </c>
      <c r="O341" s="17">
        <v>4.0166666731238365</v>
      </c>
      <c r="P341">
        <v>1</v>
      </c>
      <c r="Q341" s="39">
        <v>41524</v>
      </c>
    </row>
    <row r="342" spans="1:17" x14ac:dyDescent="0.3">
      <c r="A342" t="s">
        <v>547</v>
      </c>
      <c r="B342" t="s">
        <v>191</v>
      </c>
      <c r="C342" t="s">
        <v>72</v>
      </c>
      <c r="D342" t="s">
        <v>148</v>
      </c>
      <c r="E342">
        <v>29</v>
      </c>
      <c r="F342">
        <v>2</v>
      </c>
      <c r="G342">
        <v>22</v>
      </c>
      <c r="H342">
        <v>35</v>
      </c>
      <c r="I342">
        <v>1.5</v>
      </c>
      <c r="J342" s="15">
        <v>41524.397129629629</v>
      </c>
      <c r="K342" s="15">
        <v>41524.400393518517</v>
      </c>
      <c r="O342" s="17">
        <v>4.69999999855645</v>
      </c>
      <c r="P342">
        <v>1</v>
      </c>
      <c r="Q342" s="39">
        <v>41524</v>
      </c>
    </row>
    <row r="343" spans="1:17" x14ac:dyDescent="0.3">
      <c r="A343" t="s">
        <v>548</v>
      </c>
      <c r="B343" t="s">
        <v>191</v>
      </c>
      <c r="C343" t="s">
        <v>72</v>
      </c>
      <c r="D343" t="s">
        <v>141</v>
      </c>
      <c r="E343">
        <v>15</v>
      </c>
      <c r="F343">
        <v>1</v>
      </c>
      <c r="G343">
        <v>19</v>
      </c>
      <c r="H343">
        <v>32</v>
      </c>
      <c r="I343">
        <v>1</v>
      </c>
      <c r="J343" s="15">
        <v>41524.400462962964</v>
      </c>
      <c r="K343" s="15">
        <v>41524.404340277775</v>
      </c>
      <c r="O343" s="17">
        <v>5.5833333288319409</v>
      </c>
      <c r="P343">
        <v>1</v>
      </c>
      <c r="Q343" s="39">
        <v>41524</v>
      </c>
    </row>
    <row r="344" spans="1:17" x14ac:dyDescent="0.3">
      <c r="A344" t="s">
        <v>549</v>
      </c>
      <c r="B344" t="s">
        <v>161</v>
      </c>
      <c r="C344" t="s">
        <v>97</v>
      </c>
      <c r="D344" t="s">
        <v>141</v>
      </c>
      <c r="E344">
        <v>12</v>
      </c>
      <c r="F344">
        <v>1</v>
      </c>
      <c r="G344">
        <v>14</v>
      </c>
      <c r="H344">
        <v>20</v>
      </c>
      <c r="I344">
        <v>1</v>
      </c>
      <c r="J344" s="15">
        <v>41524.418379629627</v>
      </c>
      <c r="K344" s="15">
        <v>41524.419340277775</v>
      </c>
      <c r="O344" s="17">
        <v>1.3833333319053054</v>
      </c>
      <c r="P344">
        <v>1</v>
      </c>
      <c r="Q344" s="39">
        <v>41524</v>
      </c>
    </row>
    <row r="345" spans="1:17" x14ac:dyDescent="0.3">
      <c r="A345" t="s">
        <v>550</v>
      </c>
      <c r="B345" t="s">
        <v>191</v>
      </c>
      <c r="C345" t="s">
        <v>72</v>
      </c>
      <c r="D345" t="s">
        <v>137</v>
      </c>
      <c r="E345">
        <v>19</v>
      </c>
      <c r="F345">
        <v>1</v>
      </c>
      <c r="G345">
        <v>16</v>
      </c>
      <c r="H345">
        <v>28</v>
      </c>
      <c r="I345">
        <v>0.5</v>
      </c>
      <c r="J345" s="15">
        <v>41524.419409722221</v>
      </c>
      <c r="K345" s="15">
        <v>41524.420289351852</v>
      </c>
      <c r="O345" s="17">
        <v>1.2666666693985462</v>
      </c>
      <c r="P345">
        <v>1</v>
      </c>
      <c r="Q345" s="39">
        <v>41524</v>
      </c>
    </row>
    <row r="346" spans="1:17" x14ac:dyDescent="0.3">
      <c r="A346" t="s">
        <v>551</v>
      </c>
      <c r="B346" t="s">
        <v>191</v>
      </c>
      <c r="C346" t="s">
        <v>72</v>
      </c>
      <c r="D346" t="s">
        <v>154</v>
      </c>
      <c r="E346">
        <v>20</v>
      </c>
      <c r="F346">
        <v>1.5</v>
      </c>
      <c r="G346">
        <v>22</v>
      </c>
      <c r="H346">
        <v>37</v>
      </c>
      <c r="I346">
        <v>1.25</v>
      </c>
      <c r="J346" s="15">
        <v>41524.420358796298</v>
      </c>
      <c r="K346" s="15">
        <v>41524.426319444443</v>
      </c>
      <c r="O346" s="17">
        <v>8.583333328133449</v>
      </c>
      <c r="P346">
        <v>1</v>
      </c>
      <c r="Q346" s="39">
        <v>41524</v>
      </c>
    </row>
    <row r="347" spans="1:17" x14ac:dyDescent="0.3">
      <c r="A347" t="s">
        <v>552</v>
      </c>
      <c r="B347" t="s">
        <v>189</v>
      </c>
      <c r="C347" t="s">
        <v>102</v>
      </c>
      <c r="D347" t="s">
        <v>139</v>
      </c>
      <c r="E347">
        <v>10</v>
      </c>
      <c r="F347">
        <v>1</v>
      </c>
      <c r="G347">
        <v>17</v>
      </c>
      <c r="H347">
        <v>35</v>
      </c>
      <c r="I347">
        <v>0.5</v>
      </c>
      <c r="J347" s="15">
        <v>41524.434594907405</v>
      </c>
      <c r="K347" s="15">
        <v>41524.43582175926</v>
      </c>
      <c r="O347" s="17">
        <v>1.7666666710283607</v>
      </c>
      <c r="P347">
        <v>1</v>
      </c>
      <c r="Q347" s="39">
        <v>41524</v>
      </c>
    </row>
    <row r="348" spans="1:17" x14ac:dyDescent="0.3">
      <c r="A348" t="s">
        <v>553</v>
      </c>
      <c r="B348" t="s">
        <v>161</v>
      </c>
      <c r="C348" t="s">
        <v>97</v>
      </c>
      <c r="D348" t="s">
        <v>145</v>
      </c>
      <c r="E348">
        <v>28</v>
      </c>
      <c r="F348">
        <v>3</v>
      </c>
      <c r="G348">
        <v>15</v>
      </c>
      <c r="H348">
        <v>21</v>
      </c>
      <c r="I348">
        <v>2.25</v>
      </c>
      <c r="J348" s="15">
        <v>41524.435891203706</v>
      </c>
      <c r="K348" s="15">
        <v>41524.4372337963</v>
      </c>
      <c r="O348" s="17">
        <v>1.9333333347458392</v>
      </c>
      <c r="P348">
        <v>1</v>
      </c>
      <c r="Q348" s="39">
        <v>41524</v>
      </c>
    </row>
    <row r="349" spans="1:17" x14ac:dyDescent="0.3">
      <c r="A349" t="s">
        <v>554</v>
      </c>
      <c r="B349" t="s">
        <v>190</v>
      </c>
      <c r="C349" t="s">
        <v>87</v>
      </c>
      <c r="D349" t="s">
        <v>136</v>
      </c>
      <c r="E349">
        <v>7</v>
      </c>
      <c r="F349">
        <v>2</v>
      </c>
      <c r="G349">
        <v>35</v>
      </c>
      <c r="H349">
        <v>56</v>
      </c>
      <c r="I349">
        <v>1.75</v>
      </c>
      <c r="J349" s="15">
        <v>41524.438263888886</v>
      </c>
      <c r="K349" s="15">
        <v>41524.44226851852</v>
      </c>
      <c r="O349" s="17">
        <v>5.7666666735894978</v>
      </c>
      <c r="P349">
        <v>1</v>
      </c>
      <c r="Q349" s="39">
        <v>41524</v>
      </c>
    </row>
    <row r="350" spans="1:17" x14ac:dyDescent="0.3">
      <c r="A350" t="s">
        <v>555</v>
      </c>
      <c r="B350" t="s">
        <v>190</v>
      </c>
      <c r="C350" t="s">
        <v>87</v>
      </c>
      <c r="D350" t="s">
        <v>141</v>
      </c>
      <c r="E350">
        <v>31</v>
      </c>
      <c r="F350">
        <v>3</v>
      </c>
      <c r="G350">
        <v>41</v>
      </c>
      <c r="H350">
        <v>64</v>
      </c>
      <c r="I350">
        <v>2.25</v>
      </c>
      <c r="J350" s="15">
        <v>41524.442361111112</v>
      </c>
      <c r="K350" s="15">
        <v>41524.446817129632</v>
      </c>
      <c r="O350" s="17">
        <v>6.4166666683740914</v>
      </c>
      <c r="P350">
        <v>1</v>
      </c>
      <c r="Q350" s="39">
        <v>41524</v>
      </c>
    </row>
    <row r="351" spans="1:17" x14ac:dyDescent="0.3">
      <c r="A351" t="s">
        <v>556</v>
      </c>
      <c r="B351" t="s">
        <v>188</v>
      </c>
      <c r="C351" t="s">
        <v>88</v>
      </c>
      <c r="D351" t="s">
        <v>136</v>
      </c>
      <c r="E351">
        <v>12</v>
      </c>
      <c r="F351">
        <v>3</v>
      </c>
      <c r="G351">
        <v>28</v>
      </c>
      <c r="H351">
        <v>55</v>
      </c>
      <c r="I351">
        <v>3</v>
      </c>
      <c r="J351" s="15">
        <v>41524.451111111113</v>
      </c>
      <c r="K351" s="15">
        <v>41524.456886574073</v>
      </c>
      <c r="O351" s="17">
        <v>8.3166666619945318</v>
      </c>
      <c r="P351">
        <v>1</v>
      </c>
      <c r="Q351" s="39">
        <v>41524</v>
      </c>
    </row>
    <row r="352" spans="1:17" x14ac:dyDescent="0.3">
      <c r="A352" t="s">
        <v>557</v>
      </c>
      <c r="B352" t="s">
        <v>166</v>
      </c>
      <c r="C352" t="s">
        <v>92</v>
      </c>
      <c r="D352" t="s">
        <v>136</v>
      </c>
      <c r="E352">
        <v>9</v>
      </c>
      <c r="F352">
        <v>3</v>
      </c>
      <c r="G352">
        <v>34</v>
      </c>
      <c r="H352">
        <v>56</v>
      </c>
      <c r="I352">
        <v>2</v>
      </c>
      <c r="J352" s="15">
        <v>41524.479571759257</v>
      </c>
      <c r="K352" s="15">
        <v>41524.485127314816</v>
      </c>
      <c r="O352" s="17">
        <v>8.0000000051222742</v>
      </c>
      <c r="P352">
        <v>1</v>
      </c>
      <c r="Q352" s="39">
        <v>41524</v>
      </c>
    </row>
    <row r="353" spans="1:17" x14ac:dyDescent="0.3">
      <c r="A353" t="s">
        <v>558</v>
      </c>
      <c r="B353" t="s">
        <v>166</v>
      </c>
      <c r="C353" t="s">
        <v>92</v>
      </c>
      <c r="D353" t="s">
        <v>136</v>
      </c>
      <c r="E353">
        <v>13</v>
      </c>
      <c r="F353">
        <v>3</v>
      </c>
      <c r="G353">
        <v>35</v>
      </c>
      <c r="H353">
        <v>61</v>
      </c>
      <c r="I353">
        <v>0</v>
      </c>
      <c r="J353" s="15">
        <v>41524.485208333332</v>
      </c>
      <c r="K353" s="15">
        <v>41524.487858796296</v>
      </c>
      <c r="N353" t="s">
        <v>265</v>
      </c>
      <c r="O353" s="17">
        <v>3.8166666682809591</v>
      </c>
      <c r="P353">
        <v>1</v>
      </c>
      <c r="Q353" s="39">
        <v>41524</v>
      </c>
    </row>
    <row r="354" spans="1:17" x14ac:dyDescent="0.3">
      <c r="A354" t="s">
        <v>559</v>
      </c>
      <c r="B354" t="s">
        <v>166</v>
      </c>
      <c r="C354" t="s">
        <v>92</v>
      </c>
      <c r="D354" t="s">
        <v>136</v>
      </c>
      <c r="E354">
        <v>14</v>
      </c>
      <c r="F354">
        <v>2.5</v>
      </c>
      <c r="G354">
        <v>36</v>
      </c>
      <c r="H354">
        <v>61</v>
      </c>
      <c r="I354">
        <v>2.5</v>
      </c>
      <c r="J354" s="15">
        <v>41524.487962962965</v>
      </c>
      <c r="K354" s="15">
        <v>41524.489606481482</v>
      </c>
      <c r="O354" s="17">
        <v>2.366666664602235</v>
      </c>
      <c r="P354">
        <v>1</v>
      </c>
      <c r="Q354" s="39">
        <v>41524</v>
      </c>
    </row>
    <row r="355" spans="1:17" x14ac:dyDescent="0.3">
      <c r="A355" t="s">
        <v>560</v>
      </c>
      <c r="B355" t="s">
        <v>160</v>
      </c>
      <c r="C355" t="s">
        <v>86</v>
      </c>
      <c r="D355" t="s">
        <v>145</v>
      </c>
      <c r="E355">
        <v>35</v>
      </c>
      <c r="F355">
        <v>3</v>
      </c>
      <c r="G355">
        <v>22</v>
      </c>
      <c r="H355">
        <v>39</v>
      </c>
      <c r="I355">
        <v>1</v>
      </c>
      <c r="J355" s="15">
        <v>41524.489687499998</v>
      </c>
      <c r="K355" s="15">
        <v>41524.501076388886</v>
      </c>
      <c r="O355" s="17">
        <v>16.399999998975545</v>
      </c>
      <c r="P355">
        <v>1</v>
      </c>
      <c r="Q355" s="39">
        <v>41524</v>
      </c>
    </row>
    <row r="356" spans="1:17" x14ac:dyDescent="0.3">
      <c r="A356" t="s">
        <v>561</v>
      </c>
      <c r="B356" t="s">
        <v>166</v>
      </c>
      <c r="C356" t="s">
        <v>92</v>
      </c>
      <c r="D356" t="s">
        <v>136</v>
      </c>
      <c r="E356">
        <v>7</v>
      </c>
      <c r="F356">
        <v>3</v>
      </c>
      <c r="G356">
        <v>34</v>
      </c>
      <c r="H356">
        <v>55</v>
      </c>
      <c r="I356">
        <v>1.5</v>
      </c>
      <c r="J356" s="15">
        <v>41524.501157407409</v>
      </c>
      <c r="K356" s="15">
        <v>41524.501539351855</v>
      </c>
      <c r="N356" t="s">
        <v>265</v>
      </c>
      <c r="O356" s="17">
        <v>0.55000000284053385</v>
      </c>
      <c r="P356">
        <v>1</v>
      </c>
      <c r="Q356" s="39">
        <v>41524</v>
      </c>
    </row>
    <row r="357" spans="1:17" x14ac:dyDescent="0.3">
      <c r="A357" t="s">
        <v>562</v>
      </c>
      <c r="B357" t="s">
        <v>184</v>
      </c>
      <c r="C357" t="s">
        <v>94</v>
      </c>
      <c r="D357" t="s">
        <v>139</v>
      </c>
      <c r="E357" t="s">
        <v>171</v>
      </c>
      <c r="F357">
        <v>2.5</v>
      </c>
      <c r="G357">
        <v>91</v>
      </c>
      <c r="H357">
        <v>156</v>
      </c>
      <c r="I357">
        <v>1.25</v>
      </c>
      <c r="J357" s="15">
        <v>41524.501597222225</v>
      </c>
      <c r="K357" s="15">
        <v>41524.506840277776</v>
      </c>
      <c r="O357" s="17">
        <v>7.5499999942258</v>
      </c>
      <c r="P357">
        <v>1</v>
      </c>
      <c r="Q357" s="39">
        <v>41524</v>
      </c>
    </row>
    <row r="358" spans="1:17" x14ac:dyDescent="0.3">
      <c r="A358" t="s">
        <v>563</v>
      </c>
      <c r="B358" t="s">
        <v>184</v>
      </c>
      <c r="C358" t="s">
        <v>94</v>
      </c>
      <c r="D358" t="s">
        <v>154</v>
      </c>
      <c r="E358">
        <v>17</v>
      </c>
      <c r="F358">
        <v>2</v>
      </c>
      <c r="G358">
        <v>115</v>
      </c>
      <c r="H358">
        <v>178</v>
      </c>
      <c r="I358">
        <v>1</v>
      </c>
      <c r="J358" s="15">
        <v>41524.519050925926</v>
      </c>
      <c r="K358" s="15">
        <v>41524.525879629633</v>
      </c>
      <c r="O358" s="17">
        <v>9.8333333374466747</v>
      </c>
      <c r="P358">
        <v>1</v>
      </c>
      <c r="Q358" s="39">
        <v>41524</v>
      </c>
    </row>
    <row r="359" spans="1:17" x14ac:dyDescent="0.3">
      <c r="A359" t="s">
        <v>564</v>
      </c>
      <c r="B359" t="s">
        <v>185</v>
      </c>
      <c r="C359" t="s">
        <v>93</v>
      </c>
      <c r="D359" t="s">
        <v>136</v>
      </c>
      <c r="E359">
        <v>11</v>
      </c>
      <c r="F359">
        <v>2</v>
      </c>
      <c r="G359">
        <v>26</v>
      </c>
      <c r="H359">
        <v>39</v>
      </c>
      <c r="I359">
        <v>0.5</v>
      </c>
      <c r="J359" s="15">
        <v>41524.525960648149</v>
      </c>
      <c r="K359" s="15">
        <v>41524.527766203704</v>
      </c>
      <c r="O359" s="17">
        <v>2.6000000000931323</v>
      </c>
      <c r="P359">
        <v>1</v>
      </c>
      <c r="Q359" s="39">
        <v>41524</v>
      </c>
    </row>
    <row r="360" spans="1:17" x14ac:dyDescent="0.3">
      <c r="A360" t="s">
        <v>565</v>
      </c>
      <c r="B360" t="s">
        <v>185</v>
      </c>
      <c r="C360" t="s">
        <v>93</v>
      </c>
      <c r="D360" t="s">
        <v>136</v>
      </c>
      <c r="E360">
        <v>7</v>
      </c>
      <c r="F360">
        <v>1</v>
      </c>
      <c r="G360">
        <v>26</v>
      </c>
      <c r="H360">
        <v>38</v>
      </c>
      <c r="I360">
        <v>1</v>
      </c>
      <c r="J360" s="15">
        <v>41524.529479166667</v>
      </c>
      <c r="K360" s="15">
        <v>41524.529560185183</v>
      </c>
      <c r="O360" s="17">
        <v>0.11666666250675917</v>
      </c>
      <c r="P360">
        <v>1</v>
      </c>
      <c r="Q360" s="39">
        <v>41524</v>
      </c>
    </row>
    <row r="361" spans="1:17" x14ac:dyDescent="0.3">
      <c r="A361" t="s">
        <v>566</v>
      </c>
      <c r="B361" t="s">
        <v>185</v>
      </c>
      <c r="C361" t="s">
        <v>93</v>
      </c>
      <c r="D361" t="s">
        <v>136</v>
      </c>
      <c r="E361">
        <v>26</v>
      </c>
      <c r="F361">
        <v>3</v>
      </c>
      <c r="G361">
        <v>30</v>
      </c>
      <c r="H361">
        <v>46</v>
      </c>
      <c r="I361">
        <v>1</v>
      </c>
      <c r="J361" s="15">
        <v>41524.541388888887</v>
      </c>
      <c r="K361" s="15">
        <v>41524.543333333335</v>
      </c>
      <c r="O361" s="17">
        <v>2.8000000049360096</v>
      </c>
      <c r="P361">
        <v>1</v>
      </c>
      <c r="Q361" s="39">
        <v>41524</v>
      </c>
    </row>
    <row r="362" spans="1:17" x14ac:dyDescent="0.3">
      <c r="A362" t="s">
        <v>567</v>
      </c>
      <c r="B362" t="s">
        <v>184</v>
      </c>
      <c r="C362" t="s">
        <v>94</v>
      </c>
      <c r="D362" t="s">
        <v>148</v>
      </c>
      <c r="E362">
        <v>7</v>
      </c>
      <c r="F362">
        <v>2</v>
      </c>
      <c r="G362">
        <v>107</v>
      </c>
      <c r="H362">
        <v>172</v>
      </c>
      <c r="I362">
        <v>1.5</v>
      </c>
      <c r="J362" s="15">
        <v>41524.563391203701</v>
      </c>
      <c r="K362" s="15">
        <v>41524.571134259262</v>
      </c>
      <c r="O362" s="17">
        <v>11.15000000805594</v>
      </c>
      <c r="P362">
        <v>1</v>
      </c>
      <c r="Q362" s="39">
        <v>41524</v>
      </c>
    </row>
    <row r="363" spans="1:17" x14ac:dyDescent="0.3">
      <c r="A363" t="s">
        <v>568</v>
      </c>
      <c r="B363" t="s">
        <v>333</v>
      </c>
      <c r="C363" t="s">
        <v>99</v>
      </c>
      <c r="D363" t="s">
        <v>154</v>
      </c>
      <c r="E363">
        <v>26</v>
      </c>
      <c r="F363">
        <v>2.5</v>
      </c>
      <c r="G363">
        <v>23</v>
      </c>
      <c r="H363">
        <v>37</v>
      </c>
      <c r="I363">
        <v>2</v>
      </c>
      <c r="J363" s="15">
        <v>41524.571238425924</v>
      </c>
      <c r="K363" s="15">
        <v>41524.576678240737</v>
      </c>
      <c r="O363" s="17">
        <v>7.8333333309274167</v>
      </c>
      <c r="P363">
        <v>1</v>
      </c>
      <c r="Q363" s="39">
        <v>41524</v>
      </c>
    </row>
    <row r="364" spans="1:17" x14ac:dyDescent="0.3">
      <c r="A364" t="s">
        <v>569</v>
      </c>
      <c r="B364" t="s">
        <v>184</v>
      </c>
      <c r="C364" t="s">
        <v>94</v>
      </c>
      <c r="D364" t="s">
        <v>141</v>
      </c>
      <c r="E364" t="s">
        <v>174</v>
      </c>
      <c r="F364">
        <v>1</v>
      </c>
      <c r="G364">
        <v>94</v>
      </c>
      <c r="H364">
        <v>160</v>
      </c>
      <c r="I364">
        <v>0.5</v>
      </c>
      <c r="J364" s="15">
        <v>41524.576793981483</v>
      </c>
      <c r="K364" s="15">
        <v>41524.580335648148</v>
      </c>
      <c r="O364" s="17">
        <v>5.0999999977648258</v>
      </c>
      <c r="P364">
        <v>1</v>
      </c>
      <c r="Q364" s="39">
        <v>41524</v>
      </c>
    </row>
    <row r="365" spans="1:17" x14ac:dyDescent="0.3">
      <c r="A365" t="s">
        <v>570</v>
      </c>
      <c r="B365" t="s">
        <v>166</v>
      </c>
      <c r="C365" t="s">
        <v>92</v>
      </c>
      <c r="D365" t="s">
        <v>136</v>
      </c>
      <c r="E365">
        <v>10</v>
      </c>
      <c r="F365">
        <v>6</v>
      </c>
      <c r="G365">
        <v>35</v>
      </c>
      <c r="H365">
        <v>56</v>
      </c>
      <c r="I365">
        <v>3</v>
      </c>
      <c r="J365" s="15">
        <v>41524.580416666664</v>
      </c>
      <c r="K365" s="15">
        <v>41524.592800925922</v>
      </c>
      <c r="N365" t="s">
        <v>265</v>
      </c>
      <c r="O365" s="17">
        <v>17.83333333209157</v>
      </c>
      <c r="P365">
        <v>1</v>
      </c>
      <c r="Q365" s="39">
        <v>41524</v>
      </c>
    </row>
    <row r="366" spans="1:17" x14ac:dyDescent="0.3">
      <c r="A366" t="s">
        <v>571</v>
      </c>
      <c r="B366" t="s">
        <v>166</v>
      </c>
      <c r="C366" t="s">
        <v>92</v>
      </c>
      <c r="D366" t="s">
        <v>136</v>
      </c>
      <c r="E366">
        <v>11</v>
      </c>
      <c r="F366">
        <v>1</v>
      </c>
      <c r="G366">
        <v>35</v>
      </c>
      <c r="H366">
        <v>59</v>
      </c>
      <c r="I366">
        <v>0</v>
      </c>
      <c r="J366" s="15">
        <v>41524.595995370371</v>
      </c>
      <c r="K366" s="15">
        <v>41524.596736111111</v>
      </c>
      <c r="O366" s="17">
        <v>1.0666666645556688</v>
      </c>
      <c r="P366">
        <v>1</v>
      </c>
      <c r="Q366" s="39">
        <v>41524</v>
      </c>
    </row>
    <row r="367" spans="1:17" x14ac:dyDescent="0.3">
      <c r="A367" t="s">
        <v>572</v>
      </c>
      <c r="B367" t="s">
        <v>160</v>
      </c>
      <c r="C367" t="s">
        <v>86</v>
      </c>
      <c r="D367" t="s">
        <v>151</v>
      </c>
      <c r="E367">
        <v>33</v>
      </c>
      <c r="F367">
        <v>3</v>
      </c>
      <c r="G367">
        <v>25</v>
      </c>
      <c r="H367">
        <v>41</v>
      </c>
      <c r="I367">
        <v>2.25</v>
      </c>
      <c r="J367" s="15">
        <v>41524.596817129626</v>
      </c>
      <c r="K367" s="15">
        <v>41524.603182870371</v>
      </c>
      <c r="O367" s="17">
        <v>9.1666666720993817</v>
      </c>
      <c r="P367">
        <v>1</v>
      </c>
      <c r="Q367" s="39">
        <v>41524</v>
      </c>
    </row>
    <row r="368" spans="1:17" x14ac:dyDescent="0.3">
      <c r="A368" t="s">
        <v>573</v>
      </c>
      <c r="B368" t="s">
        <v>166</v>
      </c>
      <c r="C368" t="s">
        <v>92</v>
      </c>
      <c r="D368" t="s">
        <v>136</v>
      </c>
      <c r="E368">
        <v>8</v>
      </c>
      <c r="F368">
        <v>3</v>
      </c>
      <c r="G368">
        <v>34</v>
      </c>
      <c r="H368">
        <v>55</v>
      </c>
      <c r="I368">
        <v>0</v>
      </c>
      <c r="J368" s="15">
        <v>41524.612303240741</v>
      </c>
      <c r="K368" s="15">
        <v>41524.612870370373</v>
      </c>
      <c r="M368">
        <v>1</v>
      </c>
      <c r="O368" s="17">
        <v>0.81666666897945106</v>
      </c>
      <c r="P368">
        <v>1</v>
      </c>
      <c r="Q368" s="39">
        <v>41524</v>
      </c>
    </row>
    <row r="369" spans="1:17" x14ac:dyDescent="0.3">
      <c r="A369" t="s">
        <v>574</v>
      </c>
      <c r="B369" t="s">
        <v>185</v>
      </c>
      <c r="C369" t="s">
        <v>93</v>
      </c>
      <c r="D369" t="s">
        <v>136</v>
      </c>
      <c r="E369">
        <v>9</v>
      </c>
      <c r="F369">
        <v>2</v>
      </c>
      <c r="G369">
        <v>26</v>
      </c>
      <c r="H369">
        <v>38</v>
      </c>
      <c r="I369">
        <v>1.5</v>
      </c>
      <c r="J369" s="15">
        <v>41524.612962962965</v>
      </c>
      <c r="K369" s="15">
        <v>41524.615752314814</v>
      </c>
      <c r="O369" s="17">
        <v>4.0166666626464576</v>
      </c>
      <c r="P369">
        <v>1</v>
      </c>
      <c r="Q369" s="39">
        <v>41524</v>
      </c>
    </row>
    <row r="370" spans="1:17" x14ac:dyDescent="0.3">
      <c r="A370" t="s">
        <v>575</v>
      </c>
      <c r="B370" t="s">
        <v>184</v>
      </c>
      <c r="C370" t="s">
        <v>94</v>
      </c>
      <c r="D370" t="s">
        <v>148</v>
      </c>
      <c r="E370">
        <v>6</v>
      </c>
      <c r="F370">
        <v>2</v>
      </c>
      <c r="G370">
        <v>106</v>
      </c>
      <c r="H370">
        <v>171</v>
      </c>
      <c r="I370">
        <v>1</v>
      </c>
      <c r="J370" s="15">
        <v>41524.615844907406</v>
      </c>
      <c r="K370" s="15">
        <v>41524.618819444448</v>
      </c>
      <c r="M370">
        <v>1</v>
      </c>
      <c r="O370" s="17">
        <v>4.2833333392627537</v>
      </c>
      <c r="P370">
        <v>1</v>
      </c>
      <c r="Q370" s="39">
        <v>41524</v>
      </c>
    </row>
    <row r="371" spans="1:17" x14ac:dyDescent="0.3">
      <c r="A371" t="s">
        <v>576</v>
      </c>
      <c r="B371" t="s">
        <v>185</v>
      </c>
      <c r="C371" t="s">
        <v>93</v>
      </c>
      <c r="D371" t="s">
        <v>136</v>
      </c>
      <c r="E371">
        <v>21</v>
      </c>
      <c r="F371">
        <v>2</v>
      </c>
      <c r="G371">
        <v>29</v>
      </c>
      <c r="H371">
        <v>43</v>
      </c>
      <c r="I371">
        <v>0.5</v>
      </c>
      <c r="J371" s="15">
        <v>41524.618888888886</v>
      </c>
      <c r="K371" s="15">
        <v>41524.619409722225</v>
      </c>
      <c r="O371" s="17">
        <v>0.75000000768341124</v>
      </c>
      <c r="P371">
        <v>1</v>
      </c>
      <c r="Q371" s="39">
        <v>41524</v>
      </c>
    </row>
    <row r="372" spans="1:17" x14ac:dyDescent="0.3">
      <c r="A372" t="s">
        <v>577</v>
      </c>
      <c r="B372" t="s">
        <v>185</v>
      </c>
      <c r="C372" t="s">
        <v>93</v>
      </c>
      <c r="D372" t="s">
        <v>136</v>
      </c>
      <c r="E372">
        <v>19</v>
      </c>
      <c r="F372">
        <v>1</v>
      </c>
      <c r="G372">
        <v>29</v>
      </c>
      <c r="H372">
        <v>43</v>
      </c>
      <c r="I372">
        <v>1</v>
      </c>
      <c r="J372" s="15">
        <v>41524.619479166664</v>
      </c>
      <c r="K372" s="15">
        <v>41524.620451388888</v>
      </c>
      <c r="O372" s="17">
        <v>1.4000000024680048</v>
      </c>
      <c r="P372">
        <v>1</v>
      </c>
      <c r="Q372" s="39">
        <v>41524</v>
      </c>
    </row>
    <row r="373" spans="1:17" x14ac:dyDescent="0.3">
      <c r="A373" t="s">
        <v>578</v>
      </c>
      <c r="B373" t="s">
        <v>341</v>
      </c>
      <c r="C373" t="s">
        <v>96</v>
      </c>
      <c r="D373" t="s">
        <v>143</v>
      </c>
      <c r="E373">
        <v>12</v>
      </c>
      <c r="F373">
        <v>1</v>
      </c>
      <c r="G373">
        <v>24</v>
      </c>
      <c r="H373">
        <v>37</v>
      </c>
      <c r="I373">
        <v>0.5</v>
      </c>
      <c r="J373" s="15">
        <v>41524.620520833334</v>
      </c>
      <c r="K373" s="15">
        <v>41524.621898148151</v>
      </c>
      <c r="O373" s="17">
        <v>1.9833333359565586</v>
      </c>
      <c r="P373">
        <v>1</v>
      </c>
      <c r="Q373" s="39">
        <v>41524</v>
      </c>
    </row>
    <row r="374" spans="1:17" x14ac:dyDescent="0.3">
      <c r="A374" t="s">
        <v>579</v>
      </c>
      <c r="B374" t="s">
        <v>341</v>
      </c>
      <c r="C374" t="s">
        <v>96</v>
      </c>
      <c r="D374" t="s">
        <v>136</v>
      </c>
      <c r="E374">
        <v>16</v>
      </c>
      <c r="F374">
        <v>1</v>
      </c>
      <c r="G374">
        <v>18</v>
      </c>
      <c r="H374">
        <v>33</v>
      </c>
      <c r="I374">
        <v>0</v>
      </c>
      <c r="J374" s="15">
        <v>41524.621979166666</v>
      </c>
      <c r="K374" s="15">
        <v>41524.622708333336</v>
      </c>
      <c r="O374" s="17">
        <v>1.0500000044703484</v>
      </c>
      <c r="P374">
        <v>1</v>
      </c>
      <c r="Q374" s="39">
        <v>41524</v>
      </c>
    </row>
    <row r="375" spans="1:17" x14ac:dyDescent="0.3">
      <c r="A375" t="s">
        <v>580</v>
      </c>
      <c r="B375" t="s">
        <v>333</v>
      </c>
      <c r="C375" t="s">
        <v>99</v>
      </c>
      <c r="D375" t="s">
        <v>141</v>
      </c>
      <c r="E375">
        <v>41</v>
      </c>
      <c r="F375">
        <v>2</v>
      </c>
      <c r="G375">
        <v>21</v>
      </c>
      <c r="H375">
        <v>33</v>
      </c>
      <c r="I375">
        <v>1</v>
      </c>
      <c r="J375" s="15">
        <v>41524.622800925928</v>
      </c>
      <c r="K375" s="15">
        <v>41524.624247685184</v>
      </c>
      <c r="O375" s="17">
        <v>2.0833333279006183</v>
      </c>
      <c r="P375">
        <v>1</v>
      </c>
      <c r="Q375" s="39">
        <v>41524</v>
      </c>
    </row>
    <row r="376" spans="1:17" x14ac:dyDescent="0.3">
      <c r="A376" t="s">
        <v>581</v>
      </c>
      <c r="B376" t="s">
        <v>333</v>
      </c>
      <c r="C376" t="s">
        <v>99</v>
      </c>
      <c r="D376" t="s">
        <v>143</v>
      </c>
      <c r="E376">
        <v>13</v>
      </c>
      <c r="F376">
        <v>1</v>
      </c>
      <c r="G376">
        <v>22</v>
      </c>
      <c r="H376">
        <v>33</v>
      </c>
      <c r="I376">
        <v>0</v>
      </c>
      <c r="J376" s="15">
        <v>41524.624641203707</v>
      </c>
      <c r="K376" s="15">
        <v>41524.625138888892</v>
      </c>
      <c r="O376" s="17">
        <v>0.71666666655801237</v>
      </c>
      <c r="P376">
        <v>1</v>
      </c>
      <c r="Q376" s="39">
        <v>41524</v>
      </c>
    </row>
    <row r="377" spans="1:17" x14ac:dyDescent="0.3">
      <c r="A377" t="s">
        <v>582</v>
      </c>
      <c r="B377" t="s">
        <v>166</v>
      </c>
      <c r="C377" t="s">
        <v>92</v>
      </c>
      <c r="D377" t="s">
        <v>136</v>
      </c>
      <c r="E377">
        <v>15</v>
      </c>
      <c r="F377">
        <v>5</v>
      </c>
      <c r="G377">
        <v>36</v>
      </c>
      <c r="H377">
        <v>62</v>
      </c>
      <c r="I377">
        <v>2.5</v>
      </c>
      <c r="J377" s="15">
        <v>41524.625219907408</v>
      </c>
      <c r="K377" s="15">
        <v>41524.625659722224</v>
      </c>
      <c r="N377" t="s">
        <v>265</v>
      </c>
      <c r="O377" s="17">
        <v>0.63333333469927311</v>
      </c>
      <c r="P377">
        <v>1</v>
      </c>
      <c r="Q377" s="39">
        <v>41524</v>
      </c>
    </row>
    <row r="378" spans="1:17" x14ac:dyDescent="0.3">
      <c r="A378" t="s">
        <v>583</v>
      </c>
      <c r="B378" t="s">
        <v>184</v>
      </c>
      <c r="C378" t="s">
        <v>94</v>
      </c>
      <c r="D378" t="s">
        <v>136</v>
      </c>
      <c r="E378">
        <v>14</v>
      </c>
      <c r="F378">
        <v>2</v>
      </c>
      <c r="G378">
        <v>73</v>
      </c>
      <c r="H378">
        <v>125</v>
      </c>
      <c r="I378">
        <v>0.5</v>
      </c>
      <c r="J378" s="15">
        <v>41526.302777777775</v>
      </c>
      <c r="K378" s="15">
        <v>41526.306122685186</v>
      </c>
      <c r="O378" s="17">
        <v>4.8166666715405881</v>
      </c>
      <c r="P378">
        <v>1</v>
      </c>
      <c r="Q378" s="39">
        <v>41526</v>
      </c>
    </row>
    <row r="379" spans="1:17" x14ac:dyDescent="0.3">
      <c r="A379" t="s">
        <v>584</v>
      </c>
      <c r="B379" t="s">
        <v>333</v>
      </c>
      <c r="C379" t="s">
        <v>99</v>
      </c>
      <c r="D379" t="s">
        <v>139</v>
      </c>
      <c r="E379">
        <v>12</v>
      </c>
      <c r="F379">
        <v>1</v>
      </c>
      <c r="G379">
        <v>18</v>
      </c>
      <c r="H379">
        <v>30</v>
      </c>
      <c r="I379">
        <v>0</v>
      </c>
      <c r="J379" s="15">
        <v>41526.306215277778</v>
      </c>
      <c r="K379" s="15">
        <v>41526.309189814812</v>
      </c>
      <c r="O379" s="17">
        <v>4.2833333287853748</v>
      </c>
      <c r="P379">
        <v>1</v>
      </c>
      <c r="Q379" s="39">
        <v>41526</v>
      </c>
    </row>
    <row r="380" spans="1:17" x14ac:dyDescent="0.3">
      <c r="A380" t="s">
        <v>585</v>
      </c>
      <c r="B380" t="s">
        <v>160</v>
      </c>
      <c r="C380" t="s">
        <v>86</v>
      </c>
      <c r="D380" t="s">
        <v>154</v>
      </c>
      <c r="E380">
        <v>27</v>
      </c>
      <c r="F380">
        <v>5</v>
      </c>
      <c r="G380">
        <v>27</v>
      </c>
      <c r="H380">
        <v>43</v>
      </c>
      <c r="I380">
        <v>3</v>
      </c>
      <c r="J380" s="15">
        <v>41526.317812499998</v>
      </c>
      <c r="K380" s="15">
        <v>41526.339363425926</v>
      </c>
      <c r="O380" s="17">
        <v>31.033333337400109</v>
      </c>
      <c r="P380">
        <v>1</v>
      </c>
      <c r="Q380" s="39">
        <v>41526</v>
      </c>
    </row>
    <row r="381" spans="1:17" x14ac:dyDescent="0.3">
      <c r="A381" t="s">
        <v>586</v>
      </c>
      <c r="B381" t="s">
        <v>160</v>
      </c>
      <c r="C381" t="s">
        <v>86</v>
      </c>
      <c r="D381" t="s">
        <v>145</v>
      </c>
      <c r="E381">
        <v>12</v>
      </c>
      <c r="F381">
        <v>1</v>
      </c>
      <c r="G381">
        <v>21</v>
      </c>
      <c r="H381">
        <v>39</v>
      </c>
      <c r="I381">
        <v>1</v>
      </c>
      <c r="J381" s="15">
        <v>41526.339479166665</v>
      </c>
      <c r="K381" s="15">
        <v>41526.341134259259</v>
      </c>
      <c r="O381" s="17">
        <v>2.3833333351649344</v>
      </c>
      <c r="P381">
        <v>1</v>
      </c>
      <c r="Q381" s="39">
        <v>41526</v>
      </c>
    </row>
    <row r="382" spans="1:17" x14ac:dyDescent="0.3">
      <c r="A382" t="s">
        <v>587</v>
      </c>
      <c r="B382" t="s">
        <v>184</v>
      </c>
      <c r="C382" t="s">
        <v>94</v>
      </c>
      <c r="D382" t="s">
        <v>136</v>
      </c>
      <c r="E382">
        <v>40</v>
      </c>
      <c r="F382">
        <v>1</v>
      </c>
      <c r="G382">
        <v>80</v>
      </c>
      <c r="H382">
        <v>140</v>
      </c>
      <c r="I382">
        <v>0</v>
      </c>
      <c r="J382" s="15">
        <v>41526.341354166667</v>
      </c>
      <c r="K382" s="15">
        <v>41526.353125000001</v>
      </c>
      <c r="M382">
        <v>1</v>
      </c>
      <c r="O382" s="17">
        <v>16.950000001816079</v>
      </c>
      <c r="P382">
        <v>1</v>
      </c>
      <c r="Q382" s="39">
        <v>41526</v>
      </c>
    </row>
    <row r="383" spans="1:17" x14ac:dyDescent="0.3">
      <c r="A383" t="s">
        <v>588</v>
      </c>
      <c r="B383" t="s">
        <v>160</v>
      </c>
      <c r="C383" t="s">
        <v>86</v>
      </c>
      <c r="D383" t="s">
        <v>148</v>
      </c>
      <c r="E383">
        <v>36</v>
      </c>
      <c r="F383">
        <v>3</v>
      </c>
      <c r="G383">
        <v>23</v>
      </c>
      <c r="H383">
        <v>40</v>
      </c>
      <c r="I383">
        <v>2.5</v>
      </c>
      <c r="J383" s="15">
        <v>41526.670937499999</v>
      </c>
      <c r="K383" s="15">
        <v>41526.686516203707</v>
      </c>
      <c r="O383" s="17">
        <v>22.43333333870396</v>
      </c>
      <c r="P383">
        <v>1</v>
      </c>
      <c r="Q383" s="39">
        <v>41526</v>
      </c>
    </row>
    <row r="384" spans="1:17" x14ac:dyDescent="0.3">
      <c r="A384" t="s">
        <v>589</v>
      </c>
      <c r="B384" t="s">
        <v>184</v>
      </c>
      <c r="C384" t="s">
        <v>94</v>
      </c>
      <c r="D384" t="s">
        <v>136</v>
      </c>
      <c r="E384">
        <v>37</v>
      </c>
      <c r="F384">
        <v>3</v>
      </c>
      <c r="G384">
        <v>79</v>
      </c>
      <c r="H384">
        <v>138</v>
      </c>
      <c r="I384">
        <v>2.5</v>
      </c>
      <c r="J384" s="15">
        <v>41526.686585648145</v>
      </c>
      <c r="K384" s="15">
        <v>41526.690925925926</v>
      </c>
      <c r="O384" s="17">
        <v>6.2500000046566129</v>
      </c>
      <c r="P384">
        <v>1</v>
      </c>
      <c r="Q384" s="39">
        <v>41526</v>
      </c>
    </row>
    <row r="385" spans="1:17" x14ac:dyDescent="0.3">
      <c r="A385" t="s">
        <v>590</v>
      </c>
      <c r="B385" t="s">
        <v>333</v>
      </c>
      <c r="C385" t="s">
        <v>99</v>
      </c>
      <c r="D385" t="s">
        <v>139</v>
      </c>
      <c r="E385" t="s">
        <v>178</v>
      </c>
      <c r="F385">
        <v>2</v>
      </c>
      <c r="G385">
        <v>19</v>
      </c>
      <c r="H385">
        <v>31</v>
      </c>
      <c r="I385">
        <v>0.25</v>
      </c>
      <c r="J385" s="15">
        <v>41526.695300925923</v>
      </c>
      <c r="K385" s="15">
        <v>41526.702916666669</v>
      </c>
      <c r="O385" s="17">
        <v>10.966666673775762</v>
      </c>
      <c r="P385">
        <v>1</v>
      </c>
      <c r="Q385" s="39">
        <v>41526</v>
      </c>
    </row>
    <row r="386" spans="1:17" x14ac:dyDescent="0.3">
      <c r="A386" t="s">
        <v>591</v>
      </c>
      <c r="B386" t="s">
        <v>184</v>
      </c>
      <c r="C386" t="s">
        <v>94</v>
      </c>
      <c r="D386" t="s">
        <v>143</v>
      </c>
      <c r="E386">
        <v>35</v>
      </c>
      <c r="F386">
        <v>2.5</v>
      </c>
      <c r="G386">
        <v>98</v>
      </c>
      <c r="H386">
        <v>163</v>
      </c>
      <c r="I386">
        <v>1.25</v>
      </c>
      <c r="J386" s="15">
        <v>41526.703067129631</v>
      </c>
      <c r="K386" s="15">
        <v>41526.710925925923</v>
      </c>
      <c r="O386" s="17">
        <v>11.31666666129604</v>
      </c>
      <c r="P386">
        <v>1</v>
      </c>
      <c r="Q386" s="39">
        <v>41526</v>
      </c>
    </row>
    <row r="387" spans="1:17" x14ac:dyDescent="0.3">
      <c r="A387" t="s">
        <v>592</v>
      </c>
      <c r="B387" t="s">
        <v>185</v>
      </c>
      <c r="C387" t="s">
        <v>93</v>
      </c>
      <c r="D387" t="s">
        <v>136</v>
      </c>
      <c r="E387">
        <v>15</v>
      </c>
      <c r="F387">
        <v>6</v>
      </c>
      <c r="G387">
        <v>27</v>
      </c>
      <c r="H387">
        <v>41</v>
      </c>
      <c r="I387">
        <v>3</v>
      </c>
      <c r="J387" s="15">
        <v>41526.718310185184</v>
      </c>
      <c r="K387" s="15">
        <v>41526.718541666669</v>
      </c>
      <c r="N387" t="s">
        <v>265</v>
      </c>
      <c r="O387" s="17">
        <v>0.33333333791233599</v>
      </c>
      <c r="P387">
        <v>1</v>
      </c>
      <c r="Q387" s="39">
        <v>41526</v>
      </c>
    </row>
    <row r="388" spans="1:17" x14ac:dyDescent="0.3">
      <c r="A388" t="s">
        <v>593</v>
      </c>
      <c r="B388" t="s">
        <v>333</v>
      </c>
      <c r="C388" t="s">
        <v>99</v>
      </c>
      <c r="D388" t="s">
        <v>139</v>
      </c>
      <c r="E388">
        <v>13</v>
      </c>
      <c r="F388">
        <v>1</v>
      </c>
      <c r="G388">
        <v>18</v>
      </c>
      <c r="H388">
        <v>30</v>
      </c>
      <c r="I388">
        <v>1</v>
      </c>
      <c r="J388" s="15">
        <v>41526.718634259261</v>
      </c>
      <c r="K388" s="15">
        <v>41526.720335648148</v>
      </c>
      <c r="O388" s="17">
        <v>2.4499999964609742</v>
      </c>
      <c r="P388">
        <v>1</v>
      </c>
      <c r="Q388" s="39">
        <v>41526</v>
      </c>
    </row>
    <row r="389" spans="1:17" x14ac:dyDescent="0.3">
      <c r="A389" t="s">
        <v>594</v>
      </c>
      <c r="B389" t="s">
        <v>184</v>
      </c>
      <c r="C389" t="s">
        <v>94</v>
      </c>
      <c r="D389" t="s">
        <v>136</v>
      </c>
      <c r="E389">
        <v>25</v>
      </c>
      <c r="F389">
        <v>1.5</v>
      </c>
      <c r="G389">
        <v>75</v>
      </c>
      <c r="H389">
        <v>131</v>
      </c>
      <c r="I389">
        <v>1.5</v>
      </c>
      <c r="J389" s="15">
        <v>41526.731631944444</v>
      </c>
      <c r="K389" s="15">
        <v>41526.734340277777</v>
      </c>
      <c r="O389" s="17">
        <v>3.9000000001396984</v>
      </c>
      <c r="P389">
        <v>1</v>
      </c>
      <c r="Q389" s="39">
        <v>41526</v>
      </c>
    </row>
    <row r="390" spans="1:17" x14ac:dyDescent="0.3">
      <c r="A390" t="s">
        <v>595</v>
      </c>
      <c r="B390" t="s">
        <v>184</v>
      </c>
      <c r="C390" t="s">
        <v>94</v>
      </c>
      <c r="D390" t="s">
        <v>136</v>
      </c>
      <c r="E390">
        <v>2</v>
      </c>
      <c r="F390">
        <v>2</v>
      </c>
      <c r="G390">
        <v>70</v>
      </c>
      <c r="H390">
        <v>120</v>
      </c>
      <c r="I390">
        <v>1.5</v>
      </c>
      <c r="J390" s="15">
        <v>41526.7344212963</v>
      </c>
      <c r="K390" s="15">
        <v>41526.735023148147</v>
      </c>
      <c r="O390" s="17">
        <v>0.86666665971279144</v>
      </c>
      <c r="P390">
        <v>1</v>
      </c>
      <c r="Q390" s="39">
        <v>41526</v>
      </c>
    </row>
    <row r="391" spans="1:17" x14ac:dyDescent="0.3">
      <c r="A391" t="s">
        <v>596</v>
      </c>
      <c r="B391" t="s">
        <v>341</v>
      </c>
      <c r="C391" t="s">
        <v>96</v>
      </c>
      <c r="D391" t="s">
        <v>141</v>
      </c>
      <c r="E391">
        <v>17</v>
      </c>
      <c r="F391">
        <v>1</v>
      </c>
      <c r="G391">
        <v>21</v>
      </c>
      <c r="H391">
        <v>35</v>
      </c>
      <c r="I391">
        <v>0.5</v>
      </c>
      <c r="J391" s="15">
        <v>41526.735277777778</v>
      </c>
      <c r="K391" s="15">
        <v>41526.73883101852</v>
      </c>
      <c r="O391" s="17">
        <v>5.1166666683275253</v>
      </c>
      <c r="P391">
        <v>1</v>
      </c>
      <c r="Q391" s="39">
        <v>41526</v>
      </c>
    </row>
    <row r="392" spans="1:17" x14ac:dyDescent="0.3">
      <c r="A392" t="s">
        <v>597</v>
      </c>
      <c r="B392" t="s">
        <v>184</v>
      </c>
      <c r="C392" t="s">
        <v>94</v>
      </c>
      <c r="D392" t="s">
        <v>153</v>
      </c>
      <c r="E392">
        <v>27</v>
      </c>
      <c r="F392">
        <v>2.25</v>
      </c>
      <c r="G392">
        <v>114</v>
      </c>
      <c r="H392">
        <v>177</v>
      </c>
      <c r="I392">
        <v>1.75</v>
      </c>
      <c r="J392" s="15">
        <v>41526.73946759259</v>
      </c>
      <c r="K392" s="15">
        <v>41526.743530092594</v>
      </c>
      <c r="O392" s="17">
        <v>5.8500000054482371</v>
      </c>
      <c r="P392">
        <v>1</v>
      </c>
      <c r="Q392" s="39">
        <v>41526</v>
      </c>
    </row>
    <row r="393" spans="1:17" x14ac:dyDescent="0.3">
      <c r="A393" t="s">
        <v>598</v>
      </c>
      <c r="B393" t="s">
        <v>341</v>
      </c>
      <c r="C393" t="s">
        <v>96</v>
      </c>
      <c r="D393" t="s">
        <v>136</v>
      </c>
      <c r="E393">
        <v>14</v>
      </c>
      <c r="F393">
        <v>1.5</v>
      </c>
      <c r="G393">
        <v>18</v>
      </c>
      <c r="H393">
        <v>32</v>
      </c>
      <c r="I393">
        <v>1</v>
      </c>
      <c r="J393" s="15">
        <v>41526.743611111109</v>
      </c>
      <c r="K393" s="15">
        <v>41526.745428240742</v>
      </c>
      <c r="O393" s="17">
        <v>2.6166666706558317</v>
      </c>
      <c r="P393">
        <v>1</v>
      </c>
      <c r="Q393" s="39">
        <v>41526</v>
      </c>
    </row>
    <row r="394" spans="1:17" x14ac:dyDescent="0.3">
      <c r="A394" t="s">
        <v>599</v>
      </c>
      <c r="B394" t="s">
        <v>341</v>
      </c>
      <c r="C394" t="s">
        <v>96</v>
      </c>
      <c r="D394" t="s">
        <v>136</v>
      </c>
      <c r="E394">
        <v>19</v>
      </c>
      <c r="F394">
        <v>2</v>
      </c>
      <c r="G394">
        <v>20</v>
      </c>
      <c r="H394">
        <v>34</v>
      </c>
      <c r="I394">
        <v>1.5</v>
      </c>
      <c r="J394" s="15">
        <v>41526.745520833334</v>
      </c>
      <c r="K394" s="15">
        <v>41526.761793981481</v>
      </c>
      <c r="O394" s="17">
        <v>23.43333333148621</v>
      </c>
      <c r="P394">
        <v>1</v>
      </c>
      <c r="Q394" s="39">
        <v>41526</v>
      </c>
    </row>
    <row r="395" spans="1:17" x14ac:dyDescent="0.3">
      <c r="A395" t="s">
        <v>600</v>
      </c>
      <c r="B395" t="s">
        <v>185</v>
      </c>
      <c r="C395" t="s">
        <v>93</v>
      </c>
      <c r="D395" t="s">
        <v>136</v>
      </c>
      <c r="E395">
        <v>8</v>
      </c>
      <c r="F395">
        <v>1</v>
      </c>
      <c r="G395">
        <v>26</v>
      </c>
      <c r="H395">
        <v>38</v>
      </c>
      <c r="I395">
        <v>0.5</v>
      </c>
      <c r="J395" s="15">
        <v>41526.840312499997</v>
      </c>
      <c r="K395" s="15">
        <v>41526.842453703706</v>
      </c>
      <c r="O395" s="17">
        <v>3.0833333416376263</v>
      </c>
      <c r="P395">
        <v>1</v>
      </c>
      <c r="Q395" s="39">
        <v>41526</v>
      </c>
    </row>
    <row r="396" spans="1:17" x14ac:dyDescent="0.3">
      <c r="A396" t="s">
        <v>601</v>
      </c>
      <c r="B396" t="s">
        <v>341</v>
      </c>
      <c r="C396" t="s">
        <v>96</v>
      </c>
      <c r="D396" t="s">
        <v>154</v>
      </c>
      <c r="E396">
        <v>29</v>
      </c>
      <c r="F396">
        <v>2</v>
      </c>
      <c r="G396">
        <v>28</v>
      </c>
      <c r="H396">
        <v>44</v>
      </c>
      <c r="I396">
        <v>1.5</v>
      </c>
      <c r="J396" s="15">
        <v>41526.845081018517</v>
      </c>
      <c r="K396" s="15">
        <v>41526.850173611114</v>
      </c>
      <c r="O396" s="17">
        <v>7.3333333397749811</v>
      </c>
      <c r="P396">
        <v>1</v>
      </c>
      <c r="Q396" s="39">
        <v>41526</v>
      </c>
    </row>
    <row r="397" spans="1:17" x14ac:dyDescent="0.3">
      <c r="A397" t="s">
        <v>602</v>
      </c>
      <c r="B397" t="s">
        <v>185</v>
      </c>
      <c r="C397" t="s">
        <v>93</v>
      </c>
      <c r="D397" t="s">
        <v>136</v>
      </c>
      <c r="E397">
        <v>25</v>
      </c>
      <c r="F397">
        <v>2</v>
      </c>
      <c r="G397">
        <v>30</v>
      </c>
      <c r="H397">
        <v>45</v>
      </c>
      <c r="I397">
        <v>0.5</v>
      </c>
      <c r="J397" s="15">
        <v>41526.850312499999</v>
      </c>
      <c r="K397" s="15">
        <v>41526.853877314818</v>
      </c>
      <c r="O397" s="17">
        <v>5.1333333388902247</v>
      </c>
      <c r="P397">
        <v>1</v>
      </c>
      <c r="Q397" s="39">
        <v>41526</v>
      </c>
    </row>
    <row r="398" spans="1:17" x14ac:dyDescent="0.3">
      <c r="A398" t="s">
        <v>603</v>
      </c>
      <c r="B398" t="s">
        <v>185</v>
      </c>
      <c r="C398" t="s">
        <v>93</v>
      </c>
      <c r="D398" t="s">
        <v>136</v>
      </c>
      <c r="E398">
        <v>28</v>
      </c>
      <c r="F398">
        <v>1.5</v>
      </c>
      <c r="G398">
        <v>31</v>
      </c>
      <c r="H398">
        <v>48</v>
      </c>
      <c r="I398">
        <v>0.75</v>
      </c>
      <c r="J398" s="15">
        <v>41526.857754629629</v>
      </c>
      <c r="K398" s="15">
        <v>41526.858923611115</v>
      </c>
      <c r="O398" s="17">
        <v>1.6833333391696215</v>
      </c>
      <c r="P398">
        <v>1</v>
      </c>
      <c r="Q398" s="39">
        <v>41526</v>
      </c>
    </row>
    <row r="399" spans="1:17" x14ac:dyDescent="0.3">
      <c r="A399" t="s">
        <v>604</v>
      </c>
      <c r="B399" t="s">
        <v>184</v>
      </c>
      <c r="C399" t="s">
        <v>94</v>
      </c>
      <c r="D399" t="s">
        <v>136</v>
      </c>
      <c r="E399">
        <v>10</v>
      </c>
      <c r="F399">
        <v>2</v>
      </c>
      <c r="G399">
        <v>71</v>
      </c>
      <c r="H399">
        <v>122</v>
      </c>
      <c r="I399">
        <v>2</v>
      </c>
      <c r="J399" s="15">
        <v>41526.882754629631</v>
      </c>
      <c r="K399" s="15">
        <v>41526.886099537034</v>
      </c>
      <c r="O399" s="17">
        <v>4.8166666610632092</v>
      </c>
      <c r="P399">
        <v>1</v>
      </c>
      <c r="Q399" s="39">
        <v>41526</v>
      </c>
    </row>
    <row r="400" spans="1:17" x14ac:dyDescent="0.3">
      <c r="A400" t="s">
        <v>605</v>
      </c>
      <c r="B400" t="s">
        <v>333</v>
      </c>
      <c r="C400" t="s">
        <v>99</v>
      </c>
      <c r="D400" t="s">
        <v>173</v>
      </c>
      <c r="E400">
        <v>45</v>
      </c>
      <c r="F400">
        <v>2</v>
      </c>
      <c r="G400">
        <v>21</v>
      </c>
      <c r="H400">
        <v>32</v>
      </c>
      <c r="I400">
        <v>1.25</v>
      </c>
      <c r="J400" s="15">
        <v>41526.886273148149</v>
      </c>
      <c r="K400" s="15">
        <v>41526.890601851854</v>
      </c>
      <c r="O400" s="17">
        <v>6.2333333340939134</v>
      </c>
      <c r="P400">
        <v>1</v>
      </c>
      <c r="Q400" s="39">
        <v>41526</v>
      </c>
    </row>
    <row r="401" spans="1:17" x14ac:dyDescent="0.3">
      <c r="A401" t="s">
        <v>606</v>
      </c>
      <c r="B401" t="s">
        <v>185</v>
      </c>
      <c r="C401" t="s">
        <v>93</v>
      </c>
      <c r="D401" t="s">
        <v>136</v>
      </c>
      <c r="E401">
        <v>12</v>
      </c>
      <c r="F401">
        <v>2</v>
      </c>
      <c r="G401">
        <v>26</v>
      </c>
      <c r="H401">
        <v>39</v>
      </c>
      <c r="I401">
        <v>1</v>
      </c>
      <c r="J401" s="15">
        <v>41526.890914351854</v>
      </c>
      <c r="K401" s="15">
        <v>41526.891435185185</v>
      </c>
      <c r="N401" t="s">
        <v>265</v>
      </c>
      <c r="O401" s="17">
        <v>0.74999999720603228</v>
      </c>
      <c r="P401">
        <v>1</v>
      </c>
      <c r="Q401" s="39">
        <v>41526</v>
      </c>
    </row>
    <row r="402" spans="1:17" x14ac:dyDescent="0.3">
      <c r="A402" t="s">
        <v>607</v>
      </c>
      <c r="B402" t="s">
        <v>184</v>
      </c>
      <c r="C402" t="s">
        <v>94</v>
      </c>
      <c r="D402" t="s">
        <v>173</v>
      </c>
      <c r="E402">
        <v>16</v>
      </c>
      <c r="F402">
        <v>1</v>
      </c>
      <c r="G402">
        <v>94</v>
      </c>
      <c r="H402">
        <v>159</v>
      </c>
      <c r="I402">
        <v>0</v>
      </c>
      <c r="J402" s="15">
        <v>41526.89162037037</v>
      </c>
      <c r="K402" s="15">
        <v>41526.89638888889</v>
      </c>
      <c r="M402">
        <v>1</v>
      </c>
      <c r="N402" t="s">
        <v>608</v>
      </c>
      <c r="O402" s="17">
        <v>6.8666666687931865</v>
      </c>
      <c r="P402">
        <v>1</v>
      </c>
      <c r="Q402" s="39">
        <v>41526</v>
      </c>
    </row>
    <row r="403" spans="1:17" x14ac:dyDescent="0.3">
      <c r="A403" t="s">
        <v>609</v>
      </c>
      <c r="B403" t="s">
        <v>185</v>
      </c>
      <c r="C403" t="s">
        <v>93</v>
      </c>
      <c r="D403" t="s">
        <v>136</v>
      </c>
      <c r="E403">
        <v>29</v>
      </c>
      <c r="F403">
        <v>1.5</v>
      </c>
      <c r="G403">
        <v>32</v>
      </c>
      <c r="H403">
        <v>49</v>
      </c>
      <c r="I403">
        <v>1</v>
      </c>
      <c r="J403" s="15">
        <v>41526.896655092591</v>
      </c>
      <c r="K403" s="15">
        <v>41526.897569444445</v>
      </c>
      <c r="O403" s="17">
        <v>1.3166666706092656</v>
      </c>
      <c r="P403">
        <v>1</v>
      </c>
      <c r="Q403" s="39">
        <v>41526</v>
      </c>
    </row>
    <row r="404" spans="1:17" x14ac:dyDescent="0.3">
      <c r="A404" t="s">
        <v>610</v>
      </c>
      <c r="B404" t="s">
        <v>185</v>
      </c>
      <c r="C404" t="s">
        <v>93</v>
      </c>
      <c r="D404" t="s">
        <v>136</v>
      </c>
      <c r="E404">
        <v>6</v>
      </c>
      <c r="F404">
        <v>1</v>
      </c>
      <c r="G404">
        <v>25</v>
      </c>
      <c r="H404">
        <v>38</v>
      </c>
      <c r="I404">
        <v>0.5</v>
      </c>
      <c r="J404" s="15">
        <v>41526.897719907407</v>
      </c>
      <c r="K404" s="15">
        <v>41526.898090277777</v>
      </c>
      <c r="O404" s="17">
        <v>0.53333333227783442</v>
      </c>
      <c r="P404">
        <v>1</v>
      </c>
      <c r="Q404" s="39">
        <v>41526</v>
      </c>
    </row>
    <row r="405" spans="1:17" x14ac:dyDescent="0.3">
      <c r="A405" t="s">
        <v>611</v>
      </c>
      <c r="B405" t="s">
        <v>184</v>
      </c>
      <c r="C405" t="s">
        <v>94</v>
      </c>
      <c r="D405" t="s">
        <v>138</v>
      </c>
      <c r="E405">
        <v>14</v>
      </c>
      <c r="F405">
        <v>1</v>
      </c>
      <c r="G405">
        <v>87</v>
      </c>
      <c r="H405">
        <v>148</v>
      </c>
      <c r="I405">
        <v>0.5</v>
      </c>
      <c r="J405" s="15">
        <v>41526.898240740738</v>
      </c>
      <c r="K405" s="15">
        <v>41526.899247685185</v>
      </c>
      <c r="O405" s="17">
        <v>1.4500000036787242</v>
      </c>
      <c r="P405">
        <v>1</v>
      </c>
      <c r="Q405" s="39">
        <v>41526</v>
      </c>
    </row>
    <row r="406" spans="1:17" x14ac:dyDescent="0.3">
      <c r="A406" t="s">
        <v>612</v>
      </c>
      <c r="B406" t="s">
        <v>341</v>
      </c>
      <c r="C406" t="s">
        <v>96</v>
      </c>
      <c r="D406" t="s">
        <v>136</v>
      </c>
      <c r="E406">
        <v>18</v>
      </c>
      <c r="F406">
        <v>1</v>
      </c>
      <c r="G406">
        <v>19</v>
      </c>
      <c r="H406">
        <v>34</v>
      </c>
      <c r="I406">
        <v>1</v>
      </c>
      <c r="J406" s="15">
        <v>41526.899409722224</v>
      </c>
      <c r="K406" s="15">
        <v>41526.90011574074</v>
      </c>
      <c r="O406" s="17">
        <v>1.0166666633449495</v>
      </c>
      <c r="P406">
        <v>1</v>
      </c>
      <c r="Q406" s="39">
        <v>41526</v>
      </c>
    </row>
    <row r="407" spans="1:17" x14ac:dyDescent="0.3">
      <c r="A407" t="s">
        <v>613</v>
      </c>
      <c r="B407" t="s">
        <v>185</v>
      </c>
      <c r="C407" t="s">
        <v>93</v>
      </c>
      <c r="D407" t="s">
        <v>136</v>
      </c>
      <c r="E407">
        <v>10</v>
      </c>
      <c r="F407">
        <v>1</v>
      </c>
      <c r="G407">
        <v>26</v>
      </c>
      <c r="H407">
        <v>38</v>
      </c>
      <c r="I407">
        <v>1</v>
      </c>
      <c r="J407" s="15">
        <v>41526.900254629632</v>
      </c>
      <c r="K407" s="15">
        <v>41526.900405092594</v>
      </c>
      <c r="N407" t="s">
        <v>265</v>
      </c>
      <c r="O407" s="17">
        <v>0.21666666492819786</v>
      </c>
      <c r="P407">
        <v>1</v>
      </c>
      <c r="Q407" s="39">
        <v>41526</v>
      </c>
    </row>
    <row r="408" spans="1:17" x14ac:dyDescent="0.3">
      <c r="A408" t="s">
        <v>614</v>
      </c>
      <c r="B408" t="s">
        <v>189</v>
      </c>
      <c r="C408" t="s">
        <v>102</v>
      </c>
      <c r="D408" t="s">
        <v>145</v>
      </c>
      <c r="E408">
        <v>27</v>
      </c>
      <c r="F408">
        <v>3</v>
      </c>
      <c r="G408">
        <v>21</v>
      </c>
      <c r="H408">
        <v>40</v>
      </c>
      <c r="I408">
        <v>1</v>
      </c>
      <c r="J408" s="15">
        <v>41528.739374999997</v>
      </c>
      <c r="K408" s="15">
        <v>41528.749479166669</v>
      </c>
      <c r="M408">
        <v>1</v>
      </c>
      <c r="N408" t="s">
        <v>615</v>
      </c>
      <c r="O408" s="17">
        <v>14.550000006565824</v>
      </c>
      <c r="P408">
        <v>1</v>
      </c>
      <c r="Q408" s="39">
        <v>41528</v>
      </c>
    </row>
    <row r="409" spans="1:17" x14ac:dyDescent="0.3">
      <c r="A409" t="s">
        <v>616</v>
      </c>
      <c r="B409" t="s">
        <v>188</v>
      </c>
      <c r="C409" t="s">
        <v>88</v>
      </c>
      <c r="D409" t="s">
        <v>136</v>
      </c>
      <c r="E409">
        <v>3</v>
      </c>
      <c r="F409">
        <v>4</v>
      </c>
      <c r="G409">
        <v>25</v>
      </c>
      <c r="H409">
        <v>51</v>
      </c>
      <c r="I409">
        <v>2</v>
      </c>
      <c r="J409" s="15">
        <v>41528.749548611115</v>
      </c>
      <c r="K409" s="15">
        <v>41528.757384259261</v>
      </c>
      <c r="O409" s="17">
        <v>11.28333333064802</v>
      </c>
      <c r="P409">
        <v>1</v>
      </c>
      <c r="Q409" s="39">
        <v>41528</v>
      </c>
    </row>
    <row r="410" spans="1:17" x14ac:dyDescent="0.3">
      <c r="A410" t="s">
        <v>617</v>
      </c>
      <c r="B410" t="s">
        <v>238</v>
      </c>
      <c r="C410" t="s">
        <v>89</v>
      </c>
      <c r="D410" t="s">
        <v>136</v>
      </c>
      <c r="E410">
        <v>34</v>
      </c>
      <c r="F410">
        <v>2</v>
      </c>
      <c r="G410">
        <v>46</v>
      </c>
      <c r="H410">
        <v>74</v>
      </c>
      <c r="I410">
        <v>2</v>
      </c>
      <c r="J410" s="15">
        <v>41528.757511574076</v>
      </c>
      <c r="K410" s="15">
        <v>41528.759571759256</v>
      </c>
      <c r="O410" s="17">
        <v>2.9666666581761092</v>
      </c>
      <c r="P410">
        <v>1</v>
      </c>
      <c r="Q410" s="39">
        <v>41528</v>
      </c>
    </row>
    <row r="411" spans="1:17" x14ac:dyDescent="0.3">
      <c r="A411" t="s">
        <v>618</v>
      </c>
      <c r="B411" t="s">
        <v>189</v>
      </c>
      <c r="C411" t="s">
        <v>102</v>
      </c>
      <c r="D411" t="s">
        <v>151</v>
      </c>
      <c r="E411">
        <v>28</v>
      </c>
      <c r="F411">
        <v>4</v>
      </c>
      <c r="G411">
        <v>24</v>
      </c>
      <c r="H411">
        <v>43</v>
      </c>
      <c r="I411">
        <v>3</v>
      </c>
      <c r="J411" s="15">
        <v>41528.759664351855</v>
      </c>
      <c r="K411" s="15">
        <v>41528.765300925923</v>
      </c>
      <c r="O411" s="17">
        <v>8.1166666571516544</v>
      </c>
      <c r="P411">
        <v>1</v>
      </c>
      <c r="Q411" s="39">
        <v>41528</v>
      </c>
    </row>
    <row r="412" spans="1:17" x14ac:dyDescent="0.3">
      <c r="A412" t="s">
        <v>619</v>
      </c>
      <c r="B412" t="s">
        <v>238</v>
      </c>
      <c r="C412" t="s">
        <v>89</v>
      </c>
      <c r="D412" t="s">
        <v>136</v>
      </c>
      <c r="E412">
        <v>15</v>
      </c>
      <c r="F412">
        <v>1</v>
      </c>
      <c r="G412">
        <v>44</v>
      </c>
      <c r="H412">
        <v>67</v>
      </c>
      <c r="I412">
        <v>0.5</v>
      </c>
      <c r="J412" s="15">
        <v>41528.765659722223</v>
      </c>
      <c r="K412" s="15">
        <v>41528.766631944447</v>
      </c>
      <c r="O412" s="17">
        <v>1.4000000024680048</v>
      </c>
      <c r="P412">
        <v>1</v>
      </c>
      <c r="Q412" s="39">
        <v>41528</v>
      </c>
    </row>
    <row r="413" spans="1:17" x14ac:dyDescent="0.3">
      <c r="A413" t="s">
        <v>620</v>
      </c>
      <c r="B413" t="s">
        <v>158</v>
      </c>
      <c r="C413" t="s">
        <v>18</v>
      </c>
      <c r="D413" t="s">
        <v>150</v>
      </c>
      <c r="E413">
        <v>9</v>
      </c>
      <c r="F413">
        <v>2.5</v>
      </c>
      <c r="G413">
        <v>30</v>
      </c>
      <c r="H413">
        <v>45</v>
      </c>
      <c r="I413">
        <v>1</v>
      </c>
      <c r="J413" s="15">
        <v>41528.767314814817</v>
      </c>
      <c r="K413" s="15">
        <v>41528.774930555555</v>
      </c>
      <c r="O413" s="17">
        <v>10.966666663298383</v>
      </c>
      <c r="P413">
        <v>1</v>
      </c>
      <c r="Q413" s="39">
        <v>41528</v>
      </c>
    </row>
    <row r="414" spans="1:17" x14ac:dyDescent="0.3">
      <c r="A414" t="s">
        <v>621</v>
      </c>
      <c r="B414" t="s">
        <v>163</v>
      </c>
      <c r="C414" t="s">
        <v>90</v>
      </c>
      <c r="D414" t="s">
        <v>139</v>
      </c>
      <c r="E414">
        <v>26</v>
      </c>
      <c r="F414">
        <v>3</v>
      </c>
      <c r="G414">
        <v>23</v>
      </c>
      <c r="H414">
        <v>39</v>
      </c>
      <c r="I414">
        <v>2.5</v>
      </c>
      <c r="J414" s="15">
        <v>41528.852256944447</v>
      </c>
      <c r="K414" s="15">
        <v>41528.85324074074</v>
      </c>
      <c r="O414" s="17">
        <v>1.4166666625533253</v>
      </c>
      <c r="P414">
        <v>1</v>
      </c>
      <c r="Q414" s="39">
        <v>41528</v>
      </c>
    </row>
    <row r="415" spans="1:17" x14ac:dyDescent="0.3">
      <c r="A415" t="s">
        <v>622</v>
      </c>
      <c r="B415" t="s">
        <v>341</v>
      </c>
      <c r="C415" t="s">
        <v>96</v>
      </c>
      <c r="D415" t="s">
        <v>136</v>
      </c>
      <c r="E415">
        <v>12</v>
      </c>
      <c r="F415">
        <v>1</v>
      </c>
      <c r="G415">
        <v>17</v>
      </c>
      <c r="H415">
        <v>32</v>
      </c>
      <c r="I415">
        <v>1</v>
      </c>
      <c r="J415" s="15">
        <v>41528.853587962964</v>
      </c>
      <c r="K415" s="15">
        <v>41528.856064814812</v>
      </c>
      <c r="O415" s="17">
        <v>3.5666666622273624</v>
      </c>
      <c r="P415">
        <v>1</v>
      </c>
      <c r="Q415" s="39">
        <v>41528</v>
      </c>
    </row>
    <row r="416" spans="1:17" x14ac:dyDescent="0.3">
      <c r="A416" t="s">
        <v>623</v>
      </c>
      <c r="B416" t="s">
        <v>333</v>
      </c>
      <c r="C416" t="s">
        <v>99</v>
      </c>
      <c r="D416" t="s">
        <v>168</v>
      </c>
      <c r="E416">
        <v>27</v>
      </c>
      <c r="F416">
        <v>3</v>
      </c>
      <c r="G416">
        <v>15</v>
      </c>
      <c r="H416">
        <v>27</v>
      </c>
      <c r="I416">
        <v>2.5</v>
      </c>
      <c r="J416" s="15">
        <v>41528.894305555557</v>
      </c>
      <c r="K416" s="15">
        <v>41528.900254629632</v>
      </c>
      <c r="O416" s="17">
        <v>8.5666666680481285</v>
      </c>
      <c r="P416">
        <v>1</v>
      </c>
      <c r="Q416" s="39">
        <v>41528</v>
      </c>
    </row>
    <row r="417" spans="1:17" x14ac:dyDescent="0.3">
      <c r="A417" t="s">
        <v>624</v>
      </c>
      <c r="B417" t="s">
        <v>186</v>
      </c>
      <c r="C417" t="s">
        <v>98</v>
      </c>
      <c r="D417" t="s">
        <v>144</v>
      </c>
      <c r="E417">
        <v>15</v>
      </c>
      <c r="F417">
        <v>1</v>
      </c>
      <c r="G417">
        <v>24</v>
      </c>
      <c r="H417">
        <v>50</v>
      </c>
      <c r="I417">
        <v>0</v>
      </c>
      <c r="J417" s="15">
        <v>41528.900439814817</v>
      </c>
      <c r="K417" s="15">
        <v>41528.903749999998</v>
      </c>
      <c r="O417" s="17">
        <v>4.7666666598524898</v>
      </c>
      <c r="P417">
        <v>1</v>
      </c>
      <c r="Q417" s="39">
        <v>41528</v>
      </c>
    </row>
    <row r="418" spans="1:17" x14ac:dyDescent="0.3">
      <c r="A418" t="s">
        <v>625</v>
      </c>
      <c r="B418" t="s">
        <v>187</v>
      </c>
      <c r="C418" t="s">
        <v>95</v>
      </c>
      <c r="D418" t="s">
        <v>137</v>
      </c>
      <c r="E418">
        <v>25</v>
      </c>
      <c r="F418">
        <v>1</v>
      </c>
      <c r="G418">
        <v>45</v>
      </c>
      <c r="H418">
        <v>74</v>
      </c>
      <c r="I418">
        <v>0</v>
      </c>
      <c r="J418" s="15">
        <v>41535.434224537035</v>
      </c>
      <c r="K418" s="15">
        <v>41535.439305555556</v>
      </c>
      <c r="M418">
        <v>1</v>
      </c>
      <c r="O418" s="17">
        <v>7.3166666692122817</v>
      </c>
      <c r="P418">
        <v>1</v>
      </c>
      <c r="Q418" s="39">
        <v>41535</v>
      </c>
    </row>
    <row r="419" spans="1:17" x14ac:dyDescent="0.3">
      <c r="A419" t="s">
        <v>626</v>
      </c>
      <c r="B419" t="s">
        <v>161</v>
      </c>
      <c r="C419" t="s">
        <v>97</v>
      </c>
      <c r="D419" t="s">
        <v>139</v>
      </c>
      <c r="E419">
        <v>31</v>
      </c>
      <c r="F419">
        <v>2.5</v>
      </c>
      <c r="G419">
        <v>13</v>
      </c>
      <c r="H419">
        <v>18</v>
      </c>
      <c r="I419">
        <v>1</v>
      </c>
      <c r="J419" s="15">
        <v>41535.439432870371</v>
      </c>
      <c r="K419" s="15">
        <v>41535.443055555559</v>
      </c>
      <c r="O419" s="17">
        <v>5.216666670748964</v>
      </c>
      <c r="P419">
        <v>1</v>
      </c>
      <c r="Q419" s="39">
        <v>41535</v>
      </c>
    </row>
    <row r="420" spans="1:17" x14ac:dyDescent="0.3">
      <c r="A420" t="s">
        <v>627</v>
      </c>
      <c r="B420" t="s">
        <v>238</v>
      </c>
      <c r="C420" t="s">
        <v>89</v>
      </c>
      <c r="D420" t="s">
        <v>136</v>
      </c>
      <c r="E420">
        <v>48</v>
      </c>
      <c r="F420">
        <v>3</v>
      </c>
      <c r="G420">
        <v>51</v>
      </c>
      <c r="H420">
        <v>77</v>
      </c>
      <c r="I420">
        <v>1.5</v>
      </c>
      <c r="J420" s="15">
        <v>41535.638483796298</v>
      </c>
      <c r="K420" s="15">
        <v>41535.654178240744</v>
      </c>
      <c r="O420" s="17">
        <v>22.600000002421439</v>
      </c>
      <c r="P420">
        <v>1</v>
      </c>
      <c r="Q420" s="39">
        <v>41535</v>
      </c>
    </row>
    <row r="421" spans="1:17" x14ac:dyDescent="0.3">
      <c r="A421" t="s">
        <v>628</v>
      </c>
      <c r="B421" t="s">
        <v>163</v>
      </c>
      <c r="C421" t="s">
        <v>90</v>
      </c>
      <c r="D421" t="s">
        <v>139</v>
      </c>
      <c r="E421">
        <v>4</v>
      </c>
      <c r="F421">
        <v>1</v>
      </c>
      <c r="G421">
        <v>22</v>
      </c>
      <c r="H421">
        <v>38</v>
      </c>
      <c r="I421">
        <v>0.5</v>
      </c>
      <c r="J421" s="15">
        <v>41535.668773148151</v>
      </c>
      <c r="K421" s="15">
        <v>41535.670474537037</v>
      </c>
      <c r="O421" s="17">
        <v>2.4499999964609742</v>
      </c>
      <c r="P421">
        <v>1</v>
      </c>
      <c r="Q421" s="39">
        <v>41535</v>
      </c>
    </row>
    <row r="422" spans="1:17" x14ac:dyDescent="0.3">
      <c r="A422" t="s">
        <v>629</v>
      </c>
      <c r="B422" t="s">
        <v>181</v>
      </c>
      <c r="C422" t="s">
        <v>91</v>
      </c>
      <c r="D422" t="s">
        <v>148</v>
      </c>
      <c r="E422">
        <v>2</v>
      </c>
      <c r="F422">
        <v>3</v>
      </c>
      <c r="G422">
        <v>53</v>
      </c>
      <c r="H422">
        <v>88</v>
      </c>
      <c r="I422">
        <v>1</v>
      </c>
      <c r="J422" s="15">
        <v>41540.753472222219</v>
      </c>
      <c r="K422" s="15">
        <v>41540.759305555555</v>
      </c>
      <c r="O422" s="17">
        <v>8.40000000433065</v>
      </c>
      <c r="P422">
        <v>1</v>
      </c>
      <c r="Q422" s="39">
        <v>41540</v>
      </c>
    </row>
    <row r="423" spans="1:17" x14ac:dyDescent="0.3">
      <c r="A423" t="s">
        <v>630</v>
      </c>
      <c r="B423" t="s">
        <v>181</v>
      </c>
      <c r="C423" t="s">
        <v>91</v>
      </c>
      <c r="D423" t="s">
        <v>136</v>
      </c>
      <c r="E423">
        <v>33</v>
      </c>
      <c r="F423">
        <v>2</v>
      </c>
      <c r="G423">
        <v>44</v>
      </c>
      <c r="H423">
        <v>79</v>
      </c>
      <c r="I423">
        <v>1</v>
      </c>
      <c r="J423" s="15">
        <v>41541.643055555556</v>
      </c>
      <c r="K423" s="15">
        <v>41541.644085648149</v>
      </c>
      <c r="O423" s="17">
        <v>1.4833333343267441</v>
      </c>
      <c r="P423">
        <v>1</v>
      </c>
      <c r="Q423" s="39">
        <v>41541</v>
      </c>
    </row>
    <row r="424" spans="1:17" x14ac:dyDescent="0.3">
      <c r="A424" t="s">
        <v>631</v>
      </c>
      <c r="B424" t="s">
        <v>181</v>
      </c>
      <c r="C424" t="s">
        <v>91</v>
      </c>
      <c r="D424" t="s">
        <v>141</v>
      </c>
      <c r="E424">
        <v>48</v>
      </c>
      <c r="F424">
        <v>4</v>
      </c>
      <c r="G424">
        <v>50</v>
      </c>
      <c r="H424">
        <v>86</v>
      </c>
      <c r="I424">
        <v>0.5</v>
      </c>
      <c r="J424" s="15">
        <v>41541.644479166665</v>
      </c>
      <c r="K424" s="15">
        <v>41541.647222222222</v>
      </c>
      <c r="O424" s="17">
        <v>3.9500000013504177</v>
      </c>
      <c r="P424">
        <v>1</v>
      </c>
      <c r="Q424" s="39">
        <v>41541</v>
      </c>
    </row>
    <row r="425" spans="1:17" x14ac:dyDescent="0.3">
      <c r="A425" t="s">
        <v>632</v>
      </c>
      <c r="B425" t="s">
        <v>181</v>
      </c>
      <c r="C425" t="s">
        <v>91</v>
      </c>
      <c r="D425" t="s">
        <v>136</v>
      </c>
      <c r="E425">
        <v>29</v>
      </c>
      <c r="F425">
        <v>1</v>
      </c>
      <c r="G425">
        <v>43</v>
      </c>
      <c r="H425">
        <v>75</v>
      </c>
      <c r="I425">
        <v>0.5</v>
      </c>
      <c r="J425" s="15">
        <v>41542.653287037036</v>
      </c>
      <c r="K425" s="15">
        <v>41542.653368055559</v>
      </c>
      <c r="O425" s="17">
        <v>0.11666667298413813</v>
      </c>
      <c r="P425">
        <v>1</v>
      </c>
      <c r="Q425" s="39">
        <v>41542</v>
      </c>
    </row>
    <row r="426" spans="1:17" x14ac:dyDescent="0.3">
      <c r="A426" t="s">
        <v>633</v>
      </c>
      <c r="B426" t="s">
        <v>181</v>
      </c>
      <c r="C426" t="s">
        <v>91</v>
      </c>
      <c r="D426" t="s">
        <v>136</v>
      </c>
      <c r="E426">
        <v>16</v>
      </c>
      <c r="F426">
        <v>1</v>
      </c>
      <c r="G426">
        <v>39</v>
      </c>
      <c r="H426">
        <v>63</v>
      </c>
      <c r="I426">
        <v>1</v>
      </c>
      <c r="J426" s="15">
        <v>41542.653449074074</v>
      </c>
      <c r="K426" s="15">
        <v>41542.65421296296</v>
      </c>
      <c r="O426" s="17">
        <v>1.0999999952036887</v>
      </c>
      <c r="P426">
        <v>1</v>
      </c>
      <c r="Q426" s="39">
        <v>41542</v>
      </c>
    </row>
    <row r="427" spans="1:17" x14ac:dyDescent="0.3">
      <c r="A427" t="s">
        <v>634</v>
      </c>
      <c r="B427" t="s">
        <v>181</v>
      </c>
      <c r="C427" t="s">
        <v>91</v>
      </c>
      <c r="D427" t="s">
        <v>143</v>
      </c>
      <c r="E427">
        <v>1</v>
      </c>
      <c r="F427">
        <v>1</v>
      </c>
      <c r="G427">
        <v>51</v>
      </c>
      <c r="H427">
        <v>87</v>
      </c>
      <c r="I427">
        <v>0.25</v>
      </c>
      <c r="J427" s="15">
        <v>41542.654282407406</v>
      </c>
      <c r="K427" s="15">
        <v>41542.6562037037</v>
      </c>
      <c r="O427" s="17">
        <v>2.7666666638106108</v>
      </c>
      <c r="P427">
        <v>1</v>
      </c>
      <c r="Q427" s="39">
        <v>41542</v>
      </c>
    </row>
    <row r="428" spans="1:17" x14ac:dyDescent="0.3">
      <c r="A428" t="s">
        <v>635</v>
      </c>
      <c r="B428" t="s">
        <v>181</v>
      </c>
      <c r="C428" t="s">
        <v>91</v>
      </c>
      <c r="D428" t="s">
        <v>136</v>
      </c>
      <c r="E428">
        <v>25</v>
      </c>
      <c r="F428">
        <v>2</v>
      </c>
      <c r="G428">
        <v>42</v>
      </c>
      <c r="H428">
        <v>69</v>
      </c>
      <c r="I428">
        <v>1.5</v>
      </c>
      <c r="J428" s="15">
        <v>41542.656400462962</v>
      </c>
      <c r="K428" s="15">
        <v>41542.661608796298</v>
      </c>
      <c r="O428" s="17">
        <v>7.5000000034924597</v>
      </c>
      <c r="P428">
        <v>1</v>
      </c>
      <c r="Q428" s="39">
        <v>41542</v>
      </c>
    </row>
    <row r="429" spans="1:17" x14ac:dyDescent="0.3">
      <c r="A429" t="s">
        <v>636</v>
      </c>
      <c r="B429" t="s">
        <v>181</v>
      </c>
      <c r="C429" t="s">
        <v>91</v>
      </c>
      <c r="D429" t="s">
        <v>136</v>
      </c>
      <c r="E429">
        <v>12</v>
      </c>
      <c r="F429">
        <v>1</v>
      </c>
      <c r="G429">
        <v>38</v>
      </c>
      <c r="H429">
        <v>61</v>
      </c>
      <c r="I429">
        <v>0.5</v>
      </c>
      <c r="J429" s="15">
        <v>41542.661689814813</v>
      </c>
      <c r="K429" s="15">
        <v>41542.67690972222</v>
      </c>
      <c r="O429" s="17">
        <v>21.916666666511446</v>
      </c>
      <c r="P429">
        <v>1</v>
      </c>
      <c r="Q429" s="39">
        <v>41542</v>
      </c>
    </row>
    <row r="430" spans="1:17" x14ac:dyDescent="0.3">
      <c r="A430" t="s">
        <v>637</v>
      </c>
      <c r="B430" t="s">
        <v>162</v>
      </c>
      <c r="C430" t="s">
        <v>82</v>
      </c>
      <c r="D430" t="s">
        <v>136</v>
      </c>
      <c r="E430">
        <v>6</v>
      </c>
      <c r="F430">
        <v>2</v>
      </c>
      <c r="G430">
        <v>96</v>
      </c>
      <c r="H430">
        <v>124</v>
      </c>
      <c r="I430">
        <v>1.5</v>
      </c>
      <c r="J430" s="15">
        <v>41543.335289351853</v>
      </c>
      <c r="K430" s="15">
        <v>41543.338182870371</v>
      </c>
      <c r="O430" s="17">
        <v>4.1666666662786156</v>
      </c>
      <c r="P430">
        <v>1</v>
      </c>
      <c r="Q430" s="39">
        <v>41543</v>
      </c>
    </row>
    <row r="431" spans="1:17" x14ac:dyDescent="0.3">
      <c r="A431" t="s">
        <v>638</v>
      </c>
      <c r="B431" t="s">
        <v>162</v>
      </c>
      <c r="C431" t="s">
        <v>82</v>
      </c>
      <c r="D431" t="s">
        <v>136</v>
      </c>
      <c r="E431">
        <v>7</v>
      </c>
      <c r="F431">
        <v>3</v>
      </c>
      <c r="G431">
        <v>97</v>
      </c>
      <c r="H431">
        <v>126</v>
      </c>
      <c r="I431">
        <v>1</v>
      </c>
      <c r="J431" s="15">
        <v>41543.356666666667</v>
      </c>
      <c r="K431" s="15">
        <v>41543.362638888888</v>
      </c>
      <c r="M431">
        <v>1</v>
      </c>
      <c r="N431" t="s">
        <v>639</v>
      </c>
      <c r="O431" s="17">
        <v>8.5999999986961484</v>
      </c>
      <c r="P431">
        <v>1</v>
      </c>
      <c r="Q431" s="39">
        <v>41543</v>
      </c>
    </row>
    <row r="432" spans="1:17" x14ac:dyDescent="0.3">
      <c r="A432" t="s">
        <v>640</v>
      </c>
      <c r="B432" t="s">
        <v>162</v>
      </c>
      <c r="C432" t="s">
        <v>82</v>
      </c>
      <c r="D432" t="s">
        <v>151</v>
      </c>
      <c r="E432">
        <v>4</v>
      </c>
      <c r="F432">
        <v>2</v>
      </c>
      <c r="G432">
        <v>114</v>
      </c>
      <c r="H432">
        <v>151</v>
      </c>
      <c r="I432">
        <v>1.5</v>
      </c>
      <c r="J432" s="15">
        <v>41543.68482638889</v>
      </c>
      <c r="K432" s="15">
        <v>41543.68953703704</v>
      </c>
      <c r="O432" s="17">
        <v>6.7833333369344473</v>
      </c>
      <c r="P432">
        <v>1</v>
      </c>
      <c r="Q432" s="39">
        <v>41543</v>
      </c>
    </row>
    <row r="433" spans="1:17" x14ac:dyDescent="0.3">
      <c r="A433" t="s">
        <v>641</v>
      </c>
      <c r="B433" t="s">
        <v>162</v>
      </c>
      <c r="C433" t="s">
        <v>82</v>
      </c>
      <c r="D433" t="s">
        <v>136</v>
      </c>
      <c r="E433">
        <v>52</v>
      </c>
      <c r="F433">
        <v>2</v>
      </c>
      <c r="G433">
        <v>111</v>
      </c>
      <c r="H433">
        <v>148</v>
      </c>
      <c r="I433">
        <v>0.5</v>
      </c>
      <c r="J433" s="15">
        <v>41543.689618055556</v>
      </c>
      <c r="K433" s="15">
        <v>41543.692175925928</v>
      </c>
      <c r="N433" t="s">
        <v>265</v>
      </c>
      <c r="O433" s="17">
        <v>3.6833333352115005</v>
      </c>
      <c r="P433">
        <v>1</v>
      </c>
      <c r="Q433" s="39">
        <v>41543</v>
      </c>
    </row>
    <row r="434" spans="1:17" x14ac:dyDescent="0.3">
      <c r="A434" t="s">
        <v>642</v>
      </c>
      <c r="B434" t="s">
        <v>162</v>
      </c>
      <c r="C434" t="s">
        <v>82</v>
      </c>
      <c r="D434" t="s">
        <v>136</v>
      </c>
      <c r="E434">
        <v>19</v>
      </c>
      <c r="F434">
        <v>1</v>
      </c>
      <c r="G434">
        <v>100</v>
      </c>
      <c r="H434">
        <v>132</v>
      </c>
      <c r="I434">
        <v>0</v>
      </c>
      <c r="J434" s="15">
        <v>41543.692175925928</v>
      </c>
      <c r="K434" s="15">
        <v>41543.694374999999</v>
      </c>
      <c r="O434" s="17">
        <v>3.1666666630189866</v>
      </c>
      <c r="P434">
        <v>1</v>
      </c>
      <c r="Q434" s="39">
        <v>41543</v>
      </c>
    </row>
    <row r="435" spans="1:17" x14ac:dyDescent="0.3">
      <c r="A435" t="s">
        <v>643</v>
      </c>
      <c r="B435" t="s">
        <v>162</v>
      </c>
      <c r="C435" t="s">
        <v>82</v>
      </c>
      <c r="D435" t="s">
        <v>136</v>
      </c>
      <c r="E435">
        <v>16</v>
      </c>
      <c r="F435">
        <v>2</v>
      </c>
      <c r="G435">
        <v>99</v>
      </c>
      <c r="H435">
        <v>130</v>
      </c>
      <c r="I435">
        <v>0.5</v>
      </c>
      <c r="J435" s="15">
        <v>41543.694374999999</v>
      </c>
      <c r="K435" s="15">
        <v>41543.695289351854</v>
      </c>
      <c r="O435" s="17">
        <v>1.3166666706092656</v>
      </c>
      <c r="P435">
        <v>1</v>
      </c>
      <c r="Q435" s="39">
        <v>41543</v>
      </c>
    </row>
    <row r="436" spans="1:17" x14ac:dyDescent="0.3">
      <c r="A436" t="s">
        <v>644</v>
      </c>
      <c r="B436" t="s">
        <v>162</v>
      </c>
      <c r="C436" t="s">
        <v>82</v>
      </c>
      <c r="D436" t="s">
        <v>136</v>
      </c>
      <c r="E436">
        <v>15</v>
      </c>
      <c r="F436">
        <v>1</v>
      </c>
      <c r="G436">
        <v>99</v>
      </c>
      <c r="H436">
        <v>129</v>
      </c>
      <c r="I436">
        <v>0</v>
      </c>
      <c r="J436" s="15">
        <v>41543.704398148147</v>
      </c>
      <c r="K436" s="15">
        <v>41543.70548611111</v>
      </c>
      <c r="O436" s="17">
        <v>1.5666666661854833</v>
      </c>
      <c r="P436">
        <v>1</v>
      </c>
      <c r="Q436" s="39">
        <v>41543</v>
      </c>
    </row>
    <row r="437" spans="1:17" x14ac:dyDescent="0.3">
      <c r="A437" t="s">
        <v>645</v>
      </c>
      <c r="B437" t="s">
        <v>162</v>
      </c>
      <c r="C437" t="s">
        <v>82</v>
      </c>
      <c r="D437" t="s">
        <v>136</v>
      </c>
      <c r="E437">
        <v>47</v>
      </c>
      <c r="F437">
        <v>6</v>
      </c>
      <c r="G437">
        <v>109</v>
      </c>
      <c r="H437">
        <v>146</v>
      </c>
      <c r="I437">
        <v>2</v>
      </c>
      <c r="J437" s="15">
        <v>41543.726643518516</v>
      </c>
      <c r="K437" s="15">
        <v>41543.736932870372</v>
      </c>
      <c r="O437" s="17">
        <v>14.816666672704741</v>
      </c>
      <c r="P437">
        <v>1</v>
      </c>
      <c r="Q437" s="39">
        <v>41543</v>
      </c>
    </row>
    <row r="438" spans="1:17" x14ac:dyDescent="0.3">
      <c r="A438" t="s">
        <v>646</v>
      </c>
      <c r="B438" t="s">
        <v>333</v>
      </c>
      <c r="C438" t="s">
        <v>99</v>
      </c>
      <c r="D438" t="s">
        <v>143</v>
      </c>
      <c r="E438">
        <v>36</v>
      </c>
      <c r="F438">
        <v>2</v>
      </c>
      <c r="G438">
        <v>22</v>
      </c>
      <c r="H438">
        <v>34</v>
      </c>
      <c r="I438">
        <v>1</v>
      </c>
      <c r="J438" s="15">
        <v>41545.385798611111</v>
      </c>
      <c r="K438" s="15">
        <v>41545.400208333333</v>
      </c>
      <c r="O438" s="17">
        <v>20.749999999534339</v>
      </c>
      <c r="P438">
        <v>1</v>
      </c>
      <c r="Q438" s="39">
        <v>41545</v>
      </c>
    </row>
    <row r="439" spans="1:17" x14ac:dyDescent="0.3">
      <c r="A439" t="s">
        <v>647</v>
      </c>
      <c r="B439" t="s">
        <v>238</v>
      </c>
      <c r="C439" t="s">
        <v>89</v>
      </c>
      <c r="D439" t="s">
        <v>136</v>
      </c>
      <c r="E439">
        <v>10</v>
      </c>
      <c r="F439">
        <v>1</v>
      </c>
      <c r="G439">
        <v>44</v>
      </c>
      <c r="H439">
        <v>67</v>
      </c>
      <c r="I439">
        <v>1</v>
      </c>
      <c r="J439" s="15">
        <v>41545.400208333333</v>
      </c>
      <c r="K439" s="15">
        <v>41545.400763888887</v>
      </c>
      <c r="O439" s="17">
        <v>0.79999999841675162</v>
      </c>
      <c r="P439">
        <v>1</v>
      </c>
      <c r="Q439" s="39">
        <v>41545</v>
      </c>
    </row>
    <row r="440" spans="1:17" x14ac:dyDescent="0.3">
      <c r="A440" t="s">
        <v>648</v>
      </c>
      <c r="B440" t="s">
        <v>192</v>
      </c>
      <c r="C440" t="s">
        <v>103</v>
      </c>
      <c r="D440" t="s">
        <v>136</v>
      </c>
      <c r="E440">
        <v>11</v>
      </c>
      <c r="F440">
        <v>2</v>
      </c>
      <c r="G440">
        <v>19</v>
      </c>
      <c r="H440">
        <v>42</v>
      </c>
      <c r="I440">
        <v>1</v>
      </c>
      <c r="J440" s="15">
        <v>41545.400763888887</v>
      </c>
      <c r="K440" s="15">
        <v>41545.408391203702</v>
      </c>
      <c r="O440" s="17">
        <v>10.983333333861083</v>
      </c>
      <c r="P440">
        <v>1</v>
      </c>
      <c r="Q440" s="39">
        <v>41545</v>
      </c>
    </row>
    <row r="441" spans="1:17" x14ac:dyDescent="0.3">
      <c r="A441" t="s">
        <v>649</v>
      </c>
      <c r="B441" t="s">
        <v>238</v>
      </c>
      <c r="C441" t="s">
        <v>89</v>
      </c>
      <c r="D441" t="s">
        <v>136</v>
      </c>
      <c r="E441">
        <v>26</v>
      </c>
      <c r="F441">
        <v>1</v>
      </c>
      <c r="G441">
        <v>45</v>
      </c>
      <c r="H441">
        <v>68</v>
      </c>
      <c r="I441">
        <v>1</v>
      </c>
      <c r="J441" s="15">
        <v>41545.408391203702</v>
      </c>
      <c r="K441" s="15">
        <v>41545.41065972222</v>
      </c>
      <c r="O441" s="17">
        <v>3.2666666654404253</v>
      </c>
      <c r="P441">
        <v>1</v>
      </c>
      <c r="Q441" s="39">
        <v>41545</v>
      </c>
    </row>
    <row r="442" spans="1:17" x14ac:dyDescent="0.3">
      <c r="A442" t="s">
        <v>650</v>
      </c>
      <c r="B442" t="s">
        <v>197</v>
      </c>
      <c r="C442" t="s">
        <v>19</v>
      </c>
      <c r="D442" t="s">
        <v>151</v>
      </c>
      <c r="E442">
        <v>23</v>
      </c>
      <c r="F442">
        <v>1.5</v>
      </c>
      <c r="G442">
        <v>13</v>
      </c>
      <c r="H442">
        <v>24</v>
      </c>
      <c r="I442">
        <v>1</v>
      </c>
      <c r="J442" s="15">
        <v>41545.41065972222</v>
      </c>
      <c r="K442" s="15">
        <v>41545.417523148149</v>
      </c>
      <c r="O442" s="17">
        <v>9.8833333386573941</v>
      </c>
      <c r="P442">
        <v>1</v>
      </c>
      <c r="Q442" s="39">
        <v>41545</v>
      </c>
    </row>
    <row r="443" spans="1:17" x14ac:dyDescent="0.3">
      <c r="A443" t="s">
        <v>651</v>
      </c>
      <c r="B443" t="s">
        <v>333</v>
      </c>
      <c r="C443" t="s">
        <v>99</v>
      </c>
      <c r="D443" t="s">
        <v>167</v>
      </c>
      <c r="E443">
        <v>26</v>
      </c>
      <c r="F443">
        <v>2</v>
      </c>
      <c r="G443">
        <v>15</v>
      </c>
      <c r="H443">
        <v>26</v>
      </c>
      <c r="I443">
        <v>2</v>
      </c>
      <c r="J443" s="15">
        <v>41545.417523148149</v>
      </c>
      <c r="K443" s="15">
        <v>41545.421967592592</v>
      </c>
      <c r="O443" s="17">
        <v>6.3999999978113919</v>
      </c>
      <c r="P443">
        <v>1</v>
      </c>
      <c r="Q443" s="39">
        <v>41545</v>
      </c>
    </row>
    <row r="444" spans="1:17" x14ac:dyDescent="0.3">
      <c r="A444" t="s">
        <v>652</v>
      </c>
      <c r="B444" t="s">
        <v>181</v>
      </c>
      <c r="C444" t="s">
        <v>91</v>
      </c>
      <c r="D444" t="s">
        <v>139</v>
      </c>
      <c r="E444">
        <v>44</v>
      </c>
      <c r="F444">
        <v>3</v>
      </c>
      <c r="G444">
        <v>46</v>
      </c>
      <c r="H444">
        <v>83</v>
      </c>
      <c r="I444">
        <v>0</v>
      </c>
      <c r="J444" s="15">
        <v>41545.421967592592</v>
      </c>
      <c r="K444" s="15">
        <v>41545.422546296293</v>
      </c>
      <c r="N444" t="s">
        <v>653</v>
      </c>
      <c r="O444" s="17">
        <v>0.83333332906477153</v>
      </c>
      <c r="P444">
        <v>1</v>
      </c>
      <c r="Q444" s="39">
        <v>41545</v>
      </c>
    </row>
    <row r="445" spans="1:17" x14ac:dyDescent="0.3">
      <c r="A445" t="s">
        <v>654</v>
      </c>
      <c r="B445" t="s">
        <v>183</v>
      </c>
      <c r="C445" t="s">
        <v>83</v>
      </c>
      <c r="D445" t="s">
        <v>136</v>
      </c>
      <c r="E445">
        <v>10</v>
      </c>
      <c r="F445">
        <v>1</v>
      </c>
      <c r="G445">
        <v>42</v>
      </c>
      <c r="H445">
        <v>57</v>
      </c>
      <c r="I445">
        <v>0.5</v>
      </c>
      <c r="J445" s="15">
        <v>41545.431539351855</v>
      </c>
      <c r="K445" s="15">
        <v>41545.432442129626</v>
      </c>
      <c r="O445" s="17">
        <v>1.2999999895691872</v>
      </c>
      <c r="P445">
        <v>1</v>
      </c>
      <c r="Q445" s="39">
        <v>41545</v>
      </c>
    </row>
    <row r="446" spans="1:17" x14ac:dyDescent="0.3">
      <c r="A446" t="s">
        <v>655</v>
      </c>
      <c r="B446" t="s">
        <v>183</v>
      </c>
      <c r="C446" t="s">
        <v>83</v>
      </c>
      <c r="D446" t="s">
        <v>151</v>
      </c>
      <c r="E446">
        <v>2</v>
      </c>
      <c r="F446">
        <v>3.5</v>
      </c>
      <c r="G446">
        <v>51</v>
      </c>
      <c r="H446">
        <v>70</v>
      </c>
      <c r="I446">
        <v>2</v>
      </c>
      <c r="J446" s="15">
        <v>41545.432442129626</v>
      </c>
      <c r="K446" s="15">
        <v>41545.442118055558</v>
      </c>
      <c r="O446" s="17">
        <v>13.93333334242925</v>
      </c>
      <c r="P446">
        <v>1</v>
      </c>
      <c r="Q446" s="39">
        <v>41545</v>
      </c>
    </row>
    <row r="447" spans="1:17" x14ac:dyDescent="0.3">
      <c r="A447" t="s">
        <v>656</v>
      </c>
      <c r="B447" t="s">
        <v>159</v>
      </c>
      <c r="C447" t="s">
        <v>85</v>
      </c>
      <c r="D447" t="s">
        <v>136</v>
      </c>
      <c r="E447">
        <v>8</v>
      </c>
      <c r="F447">
        <v>2</v>
      </c>
      <c r="G447">
        <v>33</v>
      </c>
      <c r="H447">
        <v>50</v>
      </c>
      <c r="I447">
        <v>1.75</v>
      </c>
      <c r="J447" s="15">
        <v>41545.442118055558</v>
      </c>
      <c r="K447" s="15">
        <v>41545.446168981478</v>
      </c>
      <c r="O447" s="17">
        <v>5.8333333244081587</v>
      </c>
      <c r="P447">
        <v>1</v>
      </c>
      <c r="Q447" s="39">
        <v>41545</v>
      </c>
    </row>
    <row r="448" spans="1:17" x14ac:dyDescent="0.3">
      <c r="A448" t="s">
        <v>657</v>
      </c>
      <c r="B448" t="s">
        <v>191</v>
      </c>
      <c r="C448" t="s">
        <v>72</v>
      </c>
      <c r="D448" t="s">
        <v>143</v>
      </c>
      <c r="E448">
        <v>26</v>
      </c>
      <c r="F448">
        <v>3</v>
      </c>
      <c r="G448">
        <v>21</v>
      </c>
      <c r="H448">
        <v>34</v>
      </c>
      <c r="I448">
        <v>2.5</v>
      </c>
      <c r="J448" s="15">
        <v>41545.446168981478</v>
      </c>
      <c r="K448" s="15">
        <v>41545.448969907404</v>
      </c>
      <c r="O448" s="17">
        <v>4.033333333209157</v>
      </c>
      <c r="P448">
        <v>1</v>
      </c>
      <c r="Q448" s="39">
        <v>41545</v>
      </c>
    </row>
    <row r="449" spans="1:17" x14ac:dyDescent="0.3">
      <c r="A449" t="s">
        <v>658</v>
      </c>
      <c r="B449" t="s">
        <v>159</v>
      </c>
      <c r="C449" t="s">
        <v>85</v>
      </c>
      <c r="D449" t="s">
        <v>136</v>
      </c>
      <c r="E449">
        <v>9</v>
      </c>
      <c r="F449">
        <v>1</v>
      </c>
      <c r="G449">
        <v>33</v>
      </c>
      <c r="H449">
        <v>50</v>
      </c>
      <c r="I449">
        <v>0</v>
      </c>
      <c r="J449" s="15">
        <v>41545.448969907404</v>
      </c>
      <c r="K449" s="15">
        <v>41545.449884259258</v>
      </c>
      <c r="O449" s="17">
        <v>1.3166666706092656</v>
      </c>
      <c r="P449">
        <v>1</v>
      </c>
      <c r="Q449" s="39">
        <v>41545</v>
      </c>
    </row>
    <row r="450" spans="1:17" x14ac:dyDescent="0.3">
      <c r="A450" t="s">
        <v>659</v>
      </c>
      <c r="B450" t="s">
        <v>190</v>
      </c>
      <c r="C450" t="s">
        <v>87</v>
      </c>
      <c r="D450" t="s">
        <v>137</v>
      </c>
      <c r="E450">
        <v>43</v>
      </c>
      <c r="F450">
        <v>3</v>
      </c>
      <c r="G450">
        <v>38</v>
      </c>
      <c r="H450">
        <v>62</v>
      </c>
      <c r="I450">
        <v>1.5</v>
      </c>
      <c r="J450" s="15">
        <v>41545.451122685183</v>
      </c>
      <c r="K450" s="15">
        <v>41545.457766203705</v>
      </c>
      <c r="O450" s="17">
        <v>9.5666666713077575</v>
      </c>
      <c r="P450">
        <v>1</v>
      </c>
      <c r="Q450" s="39">
        <v>41545</v>
      </c>
    </row>
    <row r="451" spans="1:17" x14ac:dyDescent="0.3">
      <c r="A451" t="s">
        <v>660</v>
      </c>
      <c r="B451" t="s">
        <v>182</v>
      </c>
      <c r="C451" t="s">
        <v>134</v>
      </c>
      <c r="D451" t="s">
        <v>136</v>
      </c>
      <c r="E451">
        <v>9</v>
      </c>
      <c r="F451">
        <v>2</v>
      </c>
      <c r="G451">
        <v>39</v>
      </c>
      <c r="H451">
        <v>46</v>
      </c>
      <c r="I451">
        <v>1</v>
      </c>
      <c r="J451" s="15">
        <v>41545.457766203705</v>
      </c>
      <c r="K451" s="15">
        <v>41545.462500000001</v>
      </c>
      <c r="O451" s="17">
        <v>6.8166666675824672</v>
      </c>
      <c r="P451">
        <v>1</v>
      </c>
      <c r="Q451" s="39">
        <v>41545</v>
      </c>
    </row>
    <row r="452" spans="1:17" x14ac:dyDescent="0.3">
      <c r="A452" t="s">
        <v>661</v>
      </c>
      <c r="B452" t="s">
        <v>188</v>
      </c>
      <c r="C452" t="s">
        <v>88</v>
      </c>
      <c r="D452" t="s">
        <v>136</v>
      </c>
      <c r="E452">
        <v>9</v>
      </c>
      <c r="F452">
        <v>4</v>
      </c>
      <c r="G452">
        <v>27</v>
      </c>
      <c r="H452">
        <v>53</v>
      </c>
      <c r="I452">
        <v>1</v>
      </c>
      <c r="J452" s="15">
        <v>41545.462500000001</v>
      </c>
      <c r="K452" s="15">
        <v>41545.476354166669</v>
      </c>
      <c r="M452">
        <v>1</v>
      </c>
      <c r="O452" s="17">
        <v>19.950000001117587</v>
      </c>
      <c r="P452">
        <v>1</v>
      </c>
      <c r="Q452" s="39">
        <v>41545</v>
      </c>
    </row>
    <row r="453" spans="1:17" x14ac:dyDescent="0.3">
      <c r="A453" t="s">
        <v>662</v>
      </c>
      <c r="B453" t="s">
        <v>187</v>
      </c>
      <c r="C453" t="s">
        <v>95</v>
      </c>
      <c r="D453" t="s">
        <v>153</v>
      </c>
      <c r="E453">
        <v>32</v>
      </c>
      <c r="F453">
        <v>3</v>
      </c>
      <c r="G453">
        <v>56</v>
      </c>
      <c r="H453">
        <v>89</v>
      </c>
      <c r="I453">
        <v>1.25</v>
      </c>
      <c r="J453" s="15">
        <v>41545.476354166669</v>
      </c>
      <c r="K453" s="15">
        <v>41545.485277777778</v>
      </c>
      <c r="M453">
        <v>1</v>
      </c>
      <c r="N453" t="s">
        <v>615</v>
      </c>
      <c r="O453" s="17">
        <v>12.849999996833503</v>
      </c>
      <c r="P453">
        <v>1</v>
      </c>
      <c r="Q453" s="39">
        <v>41545</v>
      </c>
    </row>
    <row r="454" spans="1:17" x14ac:dyDescent="0.3">
      <c r="A454" t="s">
        <v>663</v>
      </c>
      <c r="B454" t="s">
        <v>341</v>
      </c>
      <c r="C454" t="s">
        <v>96</v>
      </c>
      <c r="D454" t="s">
        <v>136</v>
      </c>
      <c r="E454">
        <v>7</v>
      </c>
      <c r="F454">
        <v>2</v>
      </c>
      <c r="G454">
        <v>16</v>
      </c>
      <c r="H454">
        <v>31</v>
      </c>
      <c r="I454">
        <v>2</v>
      </c>
      <c r="J454" s="15">
        <v>41547.330706018518</v>
      </c>
      <c r="K454" s="15">
        <v>41547.334722222222</v>
      </c>
      <c r="O454" s="17">
        <v>5.7833333336748183</v>
      </c>
      <c r="P454">
        <v>1</v>
      </c>
      <c r="Q454" s="39">
        <v>41547</v>
      </c>
    </row>
    <row r="455" spans="1:17" x14ac:dyDescent="0.3">
      <c r="A455" t="s">
        <v>664</v>
      </c>
      <c r="B455" t="s">
        <v>187</v>
      </c>
      <c r="C455" t="s">
        <v>95</v>
      </c>
      <c r="D455" t="s">
        <v>145</v>
      </c>
      <c r="E455">
        <v>30</v>
      </c>
      <c r="F455">
        <v>5</v>
      </c>
      <c r="G455">
        <v>54</v>
      </c>
      <c r="H455">
        <v>85</v>
      </c>
      <c r="I455">
        <v>3</v>
      </c>
      <c r="J455" s="15">
        <v>41547.334722222222</v>
      </c>
      <c r="K455" s="15">
        <v>41547.344444444447</v>
      </c>
      <c r="O455" s="17">
        <v>14.00000000372529</v>
      </c>
      <c r="P455">
        <v>1</v>
      </c>
      <c r="Q455" s="39">
        <v>41547</v>
      </c>
    </row>
    <row r="456" spans="1:17" x14ac:dyDescent="0.3">
      <c r="A456" t="s">
        <v>665</v>
      </c>
      <c r="B456" t="s">
        <v>161</v>
      </c>
      <c r="C456" t="s">
        <v>97</v>
      </c>
      <c r="D456" t="s">
        <v>141</v>
      </c>
      <c r="E456">
        <v>13</v>
      </c>
      <c r="F456">
        <v>1</v>
      </c>
      <c r="G456">
        <v>14</v>
      </c>
      <c r="H456">
        <v>20</v>
      </c>
      <c r="I456">
        <v>1</v>
      </c>
      <c r="J456" s="15">
        <v>41547.344444444447</v>
      </c>
      <c r="K456" s="15">
        <v>41547.344768518517</v>
      </c>
      <c r="O456" s="17">
        <v>0.46666666050441563</v>
      </c>
      <c r="P456">
        <v>1</v>
      </c>
      <c r="Q456" s="39">
        <v>41547</v>
      </c>
    </row>
    <row r="457" spans="1:17" x14ac:dyDescent="0.3">
      <c r="A457" t="s">
        <v>666</v>
      </c>
      <c r="B457" t="s">
        <v>158</v>
      </c>
      <c r="C457" t="s">
        <v>18</v>
      </c>
      <c r="D457" t="s">
        <v>137</v>
      </c>
      <c r="E457">
        <v>45</v>
      </c>
      <c r="F457">
        <v>4</v>
      </c>
      <c r="G457">
        <v>28</v>
      </c>
      <c r="H457">
        <v>40</v>
      </c>
      <c r="I457">
        <v>2</v>
      </c>
      <c r="J457" s="15">
        <v>41547.344768518517</v>
      </c>
      <c r="K457" s="15">
        <v>41547.361967592595</v>
      </c>
      <c r="M457">
        <v>1</v>
      </c>
      <c r="N457" t="s">
        <v>615</v>
      </c>
      <c r="O457" s="17">
        <v>24.766666672658175</v>
      </c>
      <c r="P457">
        <v>1</v>
      </c>
      <c r="Q457" s="39">
        <v>41547</v>
      </c>
    </row>
    <row r="458" spans="1:17" x14ac:dyDescent="0.3">
      <c r="A458" t="s">
        <v>667</v>
      </c>
      <c r="B458" t="s">
        <v>180</v>
      </c>
      <c r="C458" t="s">
        <v>133</v>
      </c>
      <c r="D458" t="s">
        <v>150</v>
      </c>
      <c r="E458">
        <v>1</v>
      </c>
      <c r="F458">
        <v>1.5</v>
      </c>
      <c r="G458">
        <v>14</v>
      </c>
      <c r="H458">
        <v>41</v>
      </c>
      <c r="I458">
        <v>1</v>
      </c>
      <c r="J458" s="15">
        <v>41547.708773148152</v>
      </c>
      <c r="K458" s="15">
        <v>41547.709398148145</v>
      </c>
      <c r="L458" t="s">
        <v>338</v>
      </c>
      <c r="O458" s="17">
        <v>0.89999999036081135</v>
      </c>
      <c r="P458">
        <v>1</v>
      </c>
      <c r="Q458" s="39">
        <v>41547</v>
      </c>
    </row>
    <row r="459" spans="1:17" x14ac:dyDescent="0.3">
      <c r="A459" t="s">
        <v>405</v>
      </c>
      <c r="B459" t="s">
        <v>183</v>
      </c>
      <c r="C459" t="s">
        <v>83</v>
      </c>
      <c r="D459" t="s">
        <v>150</v>
      </c>
      <c r="E459">
        <v>2</v>
      </c>
      <c r="F459">
        <v>4</v>
      </c>
      <c r="G459">
        <v>51</v>
      </c>
      <c r="H459">
        <v>69</v>
      </c>
      <c r="I459">
        <v>3.5</v>
      </c>
      <c r="J459" s="15">
        <v>41547.709398148145</v>
      </c>
      <c r="K459" s="15">
        <v>41547.713402777779</v>
      </c>
      <c r="L459" t="s">
        <v>338</v>
      </c>
      <c r="O459" s="17">
        <v>5.7666666735894978</v>
      </c>
      <c r="P459">
        <v>2</v>
      </c>
      <c r="Q459" s="39">
        <v>41547</v>
      </c>
    </row>
    <row r="460" spans="1:17" x14ac:dyDescent="0.3">
      <c r="A460" t="s">
        <v>382</v>
      </c>
      <c r="B460" t="s">
        <v>162</v>
      </c>
      <c r="C460" t="s">
        <v>82</v>
      </c>
      <c r="D460" t="s">
        <v>150</v>
      </c>
      <c r="E460">
        <v>5</v>
      </c>
      <c r="F460">
        <v>4</v>
      </c>
      <c r="G460">
        <v>113</v>
      </c>
      <c r="H460">
        <v>151</v>
      </c>
      <c r="I460">
        <v>3</v>
      </c>
      <c r="J460" s="15">
        <v>41547.713402777779</v>
      </c>
      <c r="K460" s="15">
        <v>41547.715983796297</v>
      </c>
      <c r="L460" t="s">
        <v>338</v>
      </c>
      <c r="O460" s="17">
        <v>3.7166666658595204</v>
      </c>
      <c r="P460">
        <v>2</v>
      </c>
      <c r="Q460" s="39">
        <v>41547</v>
      </c>
    </row>
    <row r="461" spans="1:17" x14ac:dyDescent="0.3">
      <c r="A461" t="s">
        <v>379</v>
      </c>
      <c r="B461" t="s">
        <v>184</v>
      </c>
      <c r="C461" t="s">
        <v>94</v>
      </c>
      <c r="D461" t="s">
        <v>150</v>
      </c>
      <c r="E461">
        <v>6</v>
      </c>
      <c r="F461">
        <v>2</v>
      </c>
      <c r="G461">
        <v>109</v>
      </c>
      <c r="H461">
        <v>173</v>
      </c>
      <c r="I461">
        <v>2</v>
      </c>
      <c r="J461" s="15">
        <v>41547.715983796297</v>
      </c>
      <c r="K461" s="15">
        <v>41547.721319444441</v>
      </c>
      <c r="L461" t="s">
        <v>338</v>
      </c>
      <c r="O461" s="17">
        <v>7.6833333272952586</v>
      </c>
      <c r="P461">
        <v>2</v>
      </c>
      <c r="Q461" s="39">
        <v>41547</v>
      </c>
    </row>
    <row r="462" spans="1:17" x14ac:dyDescent="0.3">
      <c r="A462" t="s">
        <v>668</v>
      </c>
      <c r="B462" t="s">
        <v>184</v>
      </c>
      <c r="C462" t="s">
        <v>94</v>
      </c>
      <c r="D462" t="s">
        <v>150</v>
      </c>
      <c r="E462">
        <v>8</v>
      </c>
      <c r="F462">
        <v>3.5</v>
      </c>
      <c r="G462">
        <v>110</v>
      </c>
      <c r="H462">
        <v>174</v>
      </c>
      <c r="I462">
        <v>1.5</v>
      </c>
      <c r="J462" s="15">
        <v>41547.721319444441</v>
      </c>
      <c r="K462" s="15">
        <v>41547.732546296298</v>
      </c>
      <c r="L462" t="s">
        <v>338</v>
      </c>
      <c r="O462" s="17">
        <v>16.166666673962027</v>
      </c>
      <c r="P462">
        <v>1</v>
      </c>
      <c r="Q462" s="39">
        <v>41547</v>
      </c>
    </row>
    <row r="463" spans="1:17" x14ac:dyDescent="0.3">
      <c r="A463" t="s">
        <v>620</v>
      </c>
      <c r="B463" t="s">
        <v>158</v>
      </c>
      <c r="C463" t="s">
        <v>18</v>
      </c>
      <c r="D463" t="s">
        <v>150</v>
      </c>
      <c r="E463">
        <v>9</v>
      </c>
      <c r="F463">
        <v>2.5</v>
      </c>
      <c r="G463">
        <v>30</v>
      </c>
      <c r="H463">
        <v>45</v>
      </c>
      <c r="I463">
        <v>1</v>
      </c>
      <c r="J463" s="15">
        <v>41547.732546296298</v>
      </c>
      <c r="K463" s="15">
        <v>41547.735138888886</v>
      </c>
      <c r="L463" t="s">
        <v>338</v>
      </c>
      <c r="O463" s="17">
        <v>3.7333333259448409</v>
      </c>
      <c r="P463">
        <v>2</v>
      </c>
      <c r="Q463" s="39">
        <v>41547</v>
      </c>
    </row>
    <row r="464" spans="1:17" x14ac:dyDescent="0.3">
      <c r="A464" t="s">
        <v>669</v>
      </c>
      <c r="B464" t="s">
        <v>163</v>
      </c>
      <c r="C464" t="s">
        <v>90</v>
      </c>
      <c r="D464" t="s">
        <v>150</v>
      </c>
      <c r="E464">
        <v>29</v>
      </c>
      <c r="F464">
        <v>1</v>
      </c>
      <c r="G464">
        <v>26</v>
      </c>
      <c r="H464">
        <v>44</v>
      </c>
      <c r="I464">
        <v>1</v>
      </c>
      <c r="J464" s="15">
        <v>41547.735138888886</v>
      </c>
      <c r="K464" s="15">
        <v>41547.740717592591</v>
      </c>
      <c r="L464" t="s">
        <v>338</v>
      </c>
      <c r="O464" s="17">
        <v>8.0333333357702941</v>
      </c>
      <c r="P464">
        <v>1</v>
      </c>
      <c r="Q464" s="39">
        <v>41547</v>
      </c>
    </row>
    <row r="465" spans="1:17" x14ac:dyDescent="0.3">
      <c r="A465" t="s">
        <v>462</v>
      </c>
      <c r="B465" t="s">
        <v>186</v>
      </c>
      <c r="C465" t="s">
        <v>98</v>
      </c>
      <c r="D465" t="s">
        <v>150</v>
      </c>
      <c r="E465">
        <v>32</v>
      </c>
      <c r="F465">
        <v>4</v>
      </c>
      <c r="G465">
        <v>28</v>
      </c>
      <c r="H465">
        <v>52</v>
      </c>
      <c r="I465">
        <v>1</v>
      </c>
      <c r="J465" s="15">
        <v>41547.740717592591</v>
      </c>
      <c r="K465" s="15">
        <v>41547.756030092591</v>
      </c>
      <c r="L465" t="s">
        <v>338</v>
      </c>
      <c r="O465" s="17">
        <v>22.049999999580905</v>
      </c>
      <c r="P465">
        <v>2</v>
      </c>
      <c r="Q465" s="39">
        <v>41547</v>
      </c>
    </row>
    <row r="466" spans="1:17" x14ac:dyDescent="0.3">
      <c r="A466" t="s">
        <v>670</v>
      </c>
      <c r="B466" t="s">
        <v>186</v>
      </c>
      <c r="C466" t="s">
        <v>98</v>
      </c>
      <c r="D466" t="s">
        <v>150</v>
      </c>
      <c r="E466">
        <v>35</v>
      </c>
      <c r="F466">
        <v>3</v>
      </c>
      <c r="G466">
        <v>28</v>
      </c>
      <c r="H466">
        <v>52</v>
      </c>
      <c r="I466">
        <v>3</v>
      </c>
      <c r="J466" s="15">
        <v>41547.756030092591</v>
      </c>
      <c r="K466" s="15">
        <v>41547.763194444444</v>
      </c>
      <c r="L466" t="s">
        <v>338</v>
      </c>
      <c r="O466" s="17">
        <v>10.31666666851379</v>
      </c>
      <c r="P466">
        <v>1</v>
      </c>
      <c r="Q466" s="39">
        <v>41547</v>
      </c>
    </row>
    <row r="467" spans="1:17" x14ac:dyDescent="0.3">
      <c r="A467" t="s">
        <v>305</v>
      </c>
      <c r="B467" t="s">
        <v>187</v>
      </c>
      <c r="C467" t="s">
        <v>95</v>
      </c>
      <c r="D467" t="s">
        <v>150</v>
      </c>
      <c r="E467">
        <v>7</v>
      </c>
      <c r="F467">
        <v>3</v>
      </c>
      <c r="G467">
        <v>55</v>
      </c>
      <c r="H467">
        <v>87</v>
      </c>
      <c r="I467">
        <v>1</v>
      </c>
      <c r="J467" s="15">
        <v>41547.763194444444</v>
      </c>
      <c r="K467" s="15">
        <v>41547.769641203704</v>
      </c>
      <c r="L467" t="s">
        <v>338</v>
      </c>
      <c r="O467" s="17">
        <v>9.2833333346061409</v>
      </c>
      <c r="P467">
        <v>2</v>
      </c>
      <c r="Q467" s="39">
        <v>41547</v>
      </c>
    </row>
    <row r="468" spans="1:17" x14ac:dyDescent="0.3">
      <c r="A468" t="s">
        <v>243</v>
      </c>
      <c r="B468" t="s">
        <v>187</v>
      </c>
      <c r="C468" t="s">
        <v>95</v>
      </c>
      <c r="D468" t="s">
        <v>150</v>
      </c>
      <c r="E468">
        <v>34</v>
      </c>
      <c r="F468">
        <v>1.5</v>
      </c>
      <c r="G468">
        <v>55</v>
      </c>
      <c r="H468">
        <v>88</v>
      </c>
      <c r="I468">
        <v>0.25</v>
      </c>
      <c r="J468" s="15">
        <v>41547.769641203704</v>
      </c>
      <c r="K468" s="15">
        <v>41547.772557870368</v>
      </c>
      <c r="L468" t="s">
        <v>338</v>
      </c>
      <c r="O468" s="17">
        <v>4.1999999969266355</v>
      </c>
      <c r="P468">
        <v>2</v>
      </c>
      <c r="Q468" s="39">
        <v>41547</v>
      </c>
    </row>
    <row r="469" spans="1:17" x14ac:dyDescent="0.3">
      <c r="A469" t="s">
        <v>301</v>
      </c>
      <c r="B469" t="s">
        <v>188</v>
      </c>
      <c r="C469" t="s">
        <v>88</v>
      </c>
      <c r="D469" t="s">
        <v>150</v>
      </c>
      <c r="E469">
        <v>28</v>
      </c>
      <c r="F469">
        <v>4.5</v>
      </c>
      <c r="G469">
        <v>45</v>
      </c>
      <c r="H469">
        <v>71</v>
      </c>
      <c r="I469">
        <v>2.5</v>
      </c>
      <c r="J469" s="15">
        <v>41547.772557870368</v>
      </c>
      <c r="K469" s="15">
        <v>41547.786932870367</v>
      </c>
      <c r="L469" t="s">
        <v>338</v>
      </c>
      <c r="O469" s="17">
        <v>20.699999998323619</v>
      </c>
      <c r="P469">
        <v>2</v>
      </c>
      <c r="Q469" s="39">
        <v>41547</v>
      </c>
    </row>
    <row r="470" spans="1:17" x14ac:dyDescent="0.3">
      <c r="A470" t="s">
        <v>299</v>
      </c>
      <c r="B470" t="s">
        <v>189</v>
      </c>
      <c r="C470" t="s">
        <v>102</v>
      </c>
      <c r="D470" t="s">
        <v>150</v>
      </c>
      <c r="E470">
        <v>24</v>
      </c>
      <c r="F470">
        <v>3.5</v>
      </c>
      <c r="G470">
        <v>22</v>
      </c>
      <c r="H470">
        <v>42</v>
      </c>
      <c r="I470">
        <v>2.75</v>
      </c>
      <c r="J470" s="15">
        <v>41547.786932870367</v>
      </c>
      <c r="K470" s="15">
        <v>41547.796990740739</v>
      </c>
      <c r="L470" t="s">
        <v>338</v>
      </c>
      <c r="O470" s="17">
        <v>14.483333334792405</v>
      </c>
      <c r="P470">
        <v>2</v>
      </c>
      <c r="Q470" s="39">
        <v>41547</v>
      </c>
    </row>
    <row r="471" spans="1:17" x14ac:dyDescent="0.3">
      <c r="A471" t="s">
        <v>671</v>
      </c>
      <c r="B471" t="s">
        <v>190</v>
      </c>
      <c r="C471" t="s">
        <v>87</v>
      </c>
      <c r="D471" t="s">
        <v>150</v>
      </c>
      <c r="E471">
        <v>23</v>
      </c>
      <c r="F471">
        <v>2</v>
      </c>
      <c r="G471">
        <v>45</v>
      </c>
      <c r="H471">
        <v>77</v>
      </c>
      <c r="I471">
        <v>1</v>
      </c>
      <c r="J471" s="15">
        <v>41547.796990740739</v>
      </c>
      <c r="K471" s="15">
        <v>41547.799097222225</v>
      </c>
      <c r="L471" t="s">
        <v>338</v>
      </c>
      <c r="O471" s="17">
        <v>3.0333333404269069</v>
      </c>
      <c r="P471">
        <v>1</v>
      </c>
      <c r="Q471" s="39">
        <v>41547</v>
      </c>
    </row>
    <row r="472" spans="1:17" x14ac:dyDescent="0.3">
      <c r="A472" t="s">
        <v>479</v>
      </c>
      <c r="B472" t="s">
        <v>190</v>
      </c>
      <c r="C472" t="s">
        <v>87</v>
      </c>
      <c r="D472" t="s">
        <v>150</v>
      </c>
      <c r="E472">
        <v>25</v>
      </c>
      <c r="F472">
        <v>2</v>
      </c>
      <c r="G472">
        <v>46</v>
      </c>
      <c r="H472">
        <v>77</v>
      </c>
      <c r="I472">
        <v>0</v>
      </c>
      <c r="J472" s="15">
        <v>41547.799097222225</v>
      </c>
      <c r="K472" s="15">
        <v>41547.801076388889</v>
      </c>
      <c r="L472" t="s">
        <v>338</v>
      </c>
      <c r="O472" s="17">
        <v>2.84999999566935</v>
      </c>
      <c r="P472">
        <v>2</v>
      </c>
      <c r="Q472" s="39">
        <v>41547</v>
      </c>
    </row>
    <row r="473" spans="1:17" x14ac:dyDescent="0.3">
      <c r="A473" t="s">
        <v>274</v>
      </c>
      <c r="B473" t="s">
        <v>190</v>
      </c>
      <c r="C473" t="s">
        <v>87</v>
      </c>
      <c r="D473" t="s">
        <v>150</v>
      </c>
      <c r="E473">
        <v>26</v>
      </c>
      <c r="F473">
        <v>3</v>
      </c>
      <c r="G473">
        <v>46</v>
      </c>
      <c r="H473">
        <v>78</v>
      </c>
      <c r="I473">
        <v>2</v>
      </c>
      <c r="J473" s="15">
        <v>41547.801076388889</v>
      </c>
      <c r="K473" s="15">
        <v>41547.806562500002</v>
      </c>
      <c r="L473" t="s">
        <v>338</v>
      </c>
      <c r="O473" s="17">
        <v>7.9000000027008355</v>
      </c>
      <c r="P473">
        <v>2</v>
      </c>
      <c r="Q473" s="39">
        <v>41547</v>
      </c>
    </row>
    <row r="474" spans="1:17" x14ac:dyDescent="0.3">
      <c r="A474" t="s">
        <v>320</v>
      </c>
      <c r="B474" t="s">
        <v>191</v>
      </c>
      <c r="C474" t="s">
        <v>72</v>
      </c>
      <c r="D474" t="s">
        <v>150</v>
      </c>
      <c r="E474">
        <v>27</v>
      </c>
      <c r="F474">
        <v>2</v>
      </c>
      <c r="G474">
        <v>22</v>
      </c>
      <c r="H474">
        <v>36</v>
      </c>
      <c r="I474">
        <v>1</v>
      </c>
      <c r="J474" s="15">
        <v>41547.806562500002</v>
      </c>
      <c r="K474" s="15">
        <v>41547.809930555559</v>
      </c>
      <c r="L474" t="s">
        <v>338</v>
      </c>
      <c r="O474" s="17">
        <v>4.8500000021886081</v>
      </c>
      <c r="P474">
        <v>2</v>
      </c>
      <c r="Q474" s="39">
        <v>41547</v>
      </c>
    </row>
    <row r="475" spans="1:17" x14ac:dyDescent="0.3">
      <c r="A475" t="s">
        <v>272</v>
      </c>
      <c r="B475" t="s">
        <v>192</v>
      </c>
      <c r="C475" t="s">
        <v>103</v>
      </c>
      <c r="D475" t="s">
        <v>150</v>
      </c>
      <c r="E475">
        <v>30</v>
      </c>
      <c r="F475">
        <v>3</v>
      </c>
      <c r="G475">
        <v>35</v>
      </c>
      <c r="H475">
        <v>54</v>
      </c>
      <c r="I475">
        <v>2</v>
      </c>
      <c r="J475" s="15">
        <v>41547.809930555559</v>
      </c>
      <c r="K475" s="15">
        <v>41547.815393518518</v>
      </c>
      <c r="L475" t="s">
        <v>338</v>
      </c>
      <c r="O475" s="17">
        <v>7.8666666615754366</v>
      </c>
      <c r="P475">
        <v>2</v>
      </c>
      <c r="Q475" s="39">
        <v>41547</v>
      </c>
    </row>
    <row r="476" spans="1:17" x14ac:dyDescent="0.3">
      <c r="A476" t="s">
        <v>336</v>
      </c>
      <c r="B476" t="s">
        <v>160</v>
      </c>
      <c r="C476" t="s">
        <v>86</v>
      </c>
      <c r="D476" t="s">
        <v>150</v>
      </c>
      <c r="E476">
        <v>36</v>
      </c>
      <c r="F476">
        <v>2</v>
      </c>
      <c r="G476">
        <v>24</v>
      </c>
      <c r="H476">
        <v>41</v>
      </c>
      <c r="I476">
        <v>0</v>
      </c>
      <c r="J476" s="15">
        <v>41547.815393518518</v>
      </c>
      <c r="K476" s="15">
        <v>41547.81890046296</v>
      </c>
      <c r="L476" t="s">
        <v>338</v>
      </c>
      <c r="O476" s="17">
        <v>5.0499999965541065</v>
      </c>
      <c r="P476">
        <v>2</v>
      </c>
      <c r="Q476" s="39">
        <v>41547</v>
      </c>
    </row>
    <row r="477" spans="1:17" x14ac:dyDescent="0.3">
      <c r="A477" t="s">
        <v>493</v>
      </c>
      <c r="B477" t="s">
        <v>341</v>
      </c>
      <c r="C477" t="s">
        <v>96</v>
      </c>
      <c r="D477" t="s">
        <v>150</v>
      </c>
      <c r="E477">
        <v>31</v>
      </c>
      <c r="F477">
        <v>2</v>
      </c>
      <c r="G477">
        <v>26</v>
      </c>
      <c r="H477">
        <v>41</v>
      </c>
      <c r="I477">
        <v>1.5</v>
      </c>
      <c r="J477" s="15">
        <v>41547.81890046296</v>
      </c>
      <c r="K477" s="15">
        <v>41547.81994212963</v>
      </c>
      <c r="L477" t="s">
        <v>338</v>
      </c>
      <c r="O477" s="17">
        <v>1.5000000048894435</v>
      </c>
      <c r="P477">
        <v>2</v>
      </c>
      <c r="Q477" s="39">
        <v>41547</v>
      </c>
    </row>
    <row r="478" spans="1:17" x14ac:dyDescent="0.3">
      <c r="A478" t="s">
        <v>346</v>
      </c>
      <c r="B478" t="s">
        <v>341</v>
      </c>
      <c r="C478" t="s">
        <v>96</v>
      </c>
      <c r="D478" t="s">
        <v>150</v>
      </c>
      <c r="E478">
        <v>33</v>
      </c>
      <c r="F478">
        <v>2.5</v>
      </c>
      <c r="G478">
        <v>26</v>
      </c>
      <c r="H478">
        <v>41</v>
      </c>
      <c r="I478">
        <v>0.5</v>
      </c>
      <c r="J478" s="15">
        <v>41547.81994212963</v>
      </c>
      <c r="K478" s="15">
        <v>41547.822569444441</v>
      </c>
      <c r="L478" t="s">
        <v>338</v>
      </c>
      <c r="O478" s="17">
        <v>3.7833333271555603</v>
      </c>
      <c r="P478">
        <v>2</v>
      </c>
      <c r="Q478" s="39">
        <v>41547</v>
      </c>
    </row>
    <row r="479" spans="1:17" x14ac:dyDescent="0.3">
      <c r="A479" t="s">
        <v>672</v>
      </c>
      <c r="B479" t="s">
        <v>180</v>
      </c>
      <c r="C479" t="s">
        <v>133</v>
      </c>
      <c r="D479" t="s">
        <v>151</v>
      </c>
      <c r="E479">
        <v>1</v>
      </c>
      <c r="F479">
        <v>2</v>
      </c>
      <c r="G479">
        <v>14</v>
      </c>
      <c r="H479">
        <v>42</v>
      </c>
      <c r="I479">
        <v>0.5</v>
      </c>
      <c r="J479" s="15">
        <v>41548.760208333333</v>
      </c>
      <c r="K479" s="15">
        <v>41548.762349537035</v>
      </c>
      <c r="L479" t="s">
        <v>338</v>
      </c>
      <c r="O479" s="17">
        <v>3.0833333311602473</v>
      </c>
      <c r="P479">
        <v>1</v>
      </c>
      <c r="Q479" s="39">
        <v>41548</v>
      </c>
    </row>
    <row r="480" spans="1:17" x14ac:dyDescent="0.3">
      <c r="A480" t="s">
        <v>655</v>
      </c>
      <c r="B480" t="s">
        <v>183</v>
      </c>
      <c r="C480" t="s">
        <v>83</v>
      </c>
      <c r="D480" t="s">
        <v>151</v>
      </c>
      <c r="E480">
        <v>2</v>
      </c>
      <c r="F480">
        <v>3.5</v>
      </c>
      <c r="G480">
        <v>51</v>
      </c>
      <c r="H480">
        <v>70</v>
      </c>
      <c r="I480">
        <v>3</v>
      </c>
      <c r="J480" s="15">
        <v>41548.762349537035</v>
      </c>
      <c r="K480" s="15">
        <v>41548.764641203707</v>
      </c>
      <c r="L480" t="s">
        <v>338</v>
      </c>
      <c r="O480" s="17">
        <v>3.3000000065658242</v>
      </c>
      <c r="P480">
        <v>2</v>
      </c>
      <c r="Q480" s="39">
        <v>41548</v>
      </c>
    </row>
    <row r="481" spans="1:17" x14ac:dyDescent="0.3">
      <c r="A481" t="s">
        <v>640</v>
      </c>
      <c r="B481" t="s">
        <v>162</v>
      </c>
      <c r="C481" t="s">
        <v>82</v>
      </c>
      <c r="D481" t="s">
        <v>151</v>
      </c>
      <c r="E481">
        <v>4</v>
      </c>
      <c r="F481">
        <v>2</v>
      </c>
      <c r="G481">
        <v>114</v>
      </c>
      <c r="H481">
        <v>151</v>
      </c>
      <c r="I481">
        <v>1.5</v>
      </c>
      <c r="J481" s="15">
        <v>41548.764641203707</v>
      </c>
      <c r="K481" s="15">
        <v>41548.767870370371</v>
      </c>
      <c r="L481" t="s">
        <v>338</v>
      </c>
      <c r="O481" s="17">
        <v>4.6499999973457307</v>
      </c>
      <c r="P481">
        <v>2</v>
      </c>
      <c r="Q481" s="39">
        <v>41548</v>
      </c>
    </row>
    <row r="482" spans="1:17" x14ac:dyDescent="0.3">
      <c r="A482" t="s">
        <v>673</v>
      </c>
      <c r="B482" t="s">
        <v>184</v>
      </c>
      <c r="C482" t="s">
        <v>94</v>
      </c>
      <c r="D482" t="s">
        <v>151</v>
      </c>
      <c r="E482">
        <v>7</v>
      </c>
      <c r="F482">
        <v>2</v>
      </c>
      <c r="G482">
        <v>111</v>
      </c>
      <c r="H482">
        <v>175</v>
      </c>
      <c r="I482">
        <v>0</v>
      </c>
      <c r="J482" s="15">
        <v>41548.767870370371</v>
      </c>
      <c r="K482" s="15">
        <v>41548.774421296293</v>
      </c>
      <c r="L482" t="s">
        <v>338</v>
      </c>
      <c r="O482" s="17">
        <v>9.4333333277609199</v>
      </c>
      <c r="P482">
        <v>1</v>
      </c>
      <c r="Q482" s="39">
        <v>41548</v>
      </c>
    </row>
    <row r="483" spans="1:17" x14ac:dyDescent="0.3">
      <c r="A483" t="s">
        <v>674</v>
      </c>
      <c r="B483" t="s">
        <v>184</v>
      </c>
      <c r="C483" t="s">
        <v>94</v>
      </c>
      <c r="D483" t="s">
        <v>151</v>
      </c>
      <c r="E483">
        <v>8</v>
      </c>
      <c r="F483">
        <v>2.5</v>
      </c>
      <c r="G483">
        <v>112</v>
      </c>
      <c r="H483">
        <v>175</v>
      </c>
      <c r="I483">
        <v>1</v>
      </c>
      <c r="J483" s="15">
        <v>41548.774421296293</v>
      </c>
      <c r="K483" s="15">
        <v>41548.783796296295</v>
      </c>
      <c r="L483" t="s">
        <v>338</v>
      </c>
      <c r="O483" s="17">
        <v>13.500000002095476</v>
      </c>
      <c r="P483">
        <v>1</v>
      </c>
      <c r="Q483" s="39">
        <v>41548</v>
      </c>
    </row>
    <row r="484" spans="1:17" x14ac:dyDescent="0.3">
      <c r="A484" t="s">
        <v>675</v>
      </c>
      <c r="B484" t="s">
        <v>184</v>
      </c>
      <c r="C484" t="s">
        <v>94</v>
      </c>
      <c r="D484" t="s">
        <v>151</v>
      </c>
      <c r="E484">
        <v>10</v>
      </c>
      <c r="F484">
        <v>2</v>
      </c>
      <c r="G484">
        <v>112</v>
      </c>
      <c r="H484">
        <v>176</v>
      </c>
      <c r="I484">
        <v>1.5</v>
      </c>
      <c r="J484" s="15">
        <v>41548.783796296295</v>
      </c>
      <c r="K484" s="15">
        <v>41548.78707175926</v>
      </c>
      <c r="L484" t="s">
        <v>338</v>
      </c>
      <c r="O484" s="17">
        <v>4.7166666691191494</v>
      </c>
      <c r="P484">
        <v>1</v>
      </c>
      <c r="Q484" s="39">
        <v>41548</v>
      </c>
    </row>
    <row r="485" spans="1:17" x14ac:dyDescent="0.3">
      <c r="A485" t="s">
        <v>533</v>
      </c>
      <c r="B485" t="s">
        <v>189</v>
      </c>
      <c r="C485" t="s">
        <v>102</v>
      </c>
      <c r="D485" t="s">
        <v>151</v>
      </c>
      <c r="E485">
        <v>25</v>
      </c>
      <c r="F485">
        <v>3</v>
      </c>
      <c r="G485">
        <v>23</v>
      </c>
      <c r="H485">
        <v>42</v>
      </c>
      <c r="I485">
        <v>2.5</v>
      </c>
      <c r="J485" s="15">
        <v>41548.78707175926</v>
      </c>
      <c r="K485" s="15">
        <v>41548.798784722225</v>
      </c>
      <c r="L485" t="s">
        <v>338</v>
      </c>
      <c r="O485" s="17">
        <v>16.86666666995734</v>
      </c>
      <c r="P485">
        <v>2</v>
      </c>
      <c r="Q485" s="39">
        <v>41548</v>
      </c>
    </row>
    <row r="486" spans="1:17" x14ac:dyDescent="0.3">
      <c r="A486" t="s">
        <v>676</v>
      </c>
      <c r="B486" t="s">
        <v>190</v>
      </c>
      <c r="C486" t="s">
        <v>87</v>
      </c>
      <c r="D486" t="s">
        <v>151</v>
      </c>
      <c r="E486">
        <v>26</v>
      </c>
      <c r="F486">
        <v>2</v>
      </c>
      <c r="G486">
        <v>47</v>
      </c>
      <c r="H486">
        <v>78</v>
      </c>
      <c r="I486">
        <v>2</v>
      </c>
      <c r="J486" s="15">
        <v>41548.798784722225</v>
      </c>
      <c r="K486" s="15">
        <v>41548.802719907406</v>
      </c>
      <c r="L486" t="s">
        <v>338</v>
      </c>
      <c r="O486" s="17">
        <v>5.6666666606906801</v>
      </c>
      <c r="P486">
        <v>1</v>
      </c>
      <c r="Q486" s="39">
        <v>41548</v>
      </c>
    </row>
    <row r="487" spans="1:17" x14ac:dyDescent="0.3">
      <c r="A487" t="s">
        <v>677</v>
      </c>
      <c r="B487" t="s">
        <v>188</v>
      </c>
      <c r="C487" t="s">
        <v>88</v>
      </c>
      <c r="D487" t="s">
        <v>151</v>
      </c>
      <c r="E487">
        <v>27</v>
      </c>
      <c r="F487">
        <v>4</v>
      </c>
      <c r="G487">
        <v>46</v>
      </c>
      <c r="H487">
        <v>72</v>
      </c>
      <c r="I487">
        <v>2</v>
      </c>
      <c r="J487" s="15">
        <v>41548.802719907406</v>
      </c>
      <c r="K487" s="15">
        <v>41548.809108796297</v>
      </c>
      <c r="L487" t="s">
        <v>338</v>
      </c>
      <c r="O487" s="17">
        <v>9.2000000027474016</v>
      </c>
      <c r="P487">
        <v>1</v>
      </c>
      <c r="Q487" s="39">
        <v>41548</v>
      </c>
    </row>
    <row r="488" spans="1:17" x14ac:dyDescent="0.3">
      <c r="A488" t="s">
        <v>618</v>
      </c>
      <c r="B488" t="s">
        <v>189</v>
      </c>
      <c r="C488" t="s">
        <v>102</v>
      </c>
      <c r="D488" t="s">
        <v>151</v>
      </c>
      <c r="E488">
        <v>28</v>
      </c>
      <c r="F488">
        <v>4</v>
      </c>
      <c r="G488">
        <v>24</v>
      </c>
      <c r="H488">
        <v>43</v>
      </c>
      <c r="I488">
        <v>4</v>
      </c>
      <c r="J488" s="15">
        <v>41548.809108796297</v>
      </c>
      <c r="K488" s="15">
        <v>41548.814756944441</v>
      </c>
      <c r="L488" t="s">
        <v>338</v>
      </c>
      <c r="O488" s="17">
        <v>8.1333333277143538</v>
      </c>
      <c r="P488">
        <v>2</v>
      </c>
      <c r="Q488" s="39">
        <v>41548</v>
      </c>
    </row>
    <row r="489" spans="1:17" x14ac:dyDescent="0.3">
      <c r="A489" t="s">
        <v>678</v>
      </c>
      <c r="B489" t="s">
        <v>190</v>
      </c>
      <c r="C489" t="s">
        <v>87</v>
      </c>
      <c r="D489" t="s">
        <v>151</v>
      </c>
      <c r="E489">
        <v>29</v>
      </c>
      <c r="F489">
        <v>2</v>
      </c>
      <c r="G489">
        <v>47</v>
      </c>
      <c r="H489">
        <v>79</v>
      </c>
      <c r="I489">
        <v>1.5</v>
      </c>
      <c r="J489" s="15">
        <v>41548.814756944441</v>
      </c>
      <c r="K489" s="15">
        <v>41548.817129629628</v>
      </c>
      <c r="L489" t="s">
        <v>338</v>
      </c>
      <c r="O489" s="17">
        <v>3.4166666690725833</v>
      </c>
      <c r="P489">
        <v>1</v>
      </c>
      <c r="Q489" s="39">
        <v>41548</v>
      </c>
    </row>
    <row r="490" spans="1:17" x14ac:dyDescent="0.3">
      <c r="A490" t="s">
        <v>679</v>
      </c>
      <c r="B490" t="s">
        <v>186</v>
      </c>
      <c r="C490" t="s">
        <v>98</v>
      </c>
      <c r="D490" t="s">
        <v>151</v>
      </c>
      <c r="E490">
        <v>30</v>
      </c>
      <c r="F490">
        <v>2</v>
      </c>
      <c r="G490">
        <v>29</v>
      </c>
      <c r="H490">
        <v>53</v>
      </c>
      <c r="I490">
        <v>2</v>
      </c>
      <c r="J490" s="15">
        <v>41548.817129629628</v>
      </c>
      <c r="K490" s="15">
        <v>41548.820625</v>
      </c>
      <c r="L490" t="s">
        <v>338</v>
      </c>
      <c r="O490" s="17">
        <v>5.033333336468786</v>
      </c>
      <c r="P490">
        <v>1</v>
      </c>
      <c r="Q490" s="39">
        <v>41548</v>
      </c>
    </row>
    <row r="491" spans="1:17" x14ac:dyDescent="0.3">
      <c r="A491" t="s">
        <v>680</v>
      </c>
      <c r="B491" t="s">
        <v>163</v>
      </c>
      <c r="C491" t="s">
        <v>90</v>
      </c>
      <c r="D491" t="s">
        <v>151</v>
      </c>
      <c r="E491">
        <v>31</v>
      </c>
      <c r="F491">
        <v>1</v>
      </c>
      <c r="G491">
        <v>27</v>
      </c>
      <c r="H491">
        <v>46</v>
      </c>
      <c r="I491">
        <v>0.75</v>
      </c>
      <c r="J491" s="15">
        <v>41548.820625</v>
      </c>
      <c r="K491" s="15">
        <v>41548.821655092594</v>
      </c>
      <c r="L491" t="s">
        <v>338</v>
      </c>
      <c r="O491" s="17">
        <v>1.4833333343267441</v>
      </c>
      <c r="P491">
        <v>1</v>
      </c>
      <c r="Q491" s="39">
        <v>41548</v>
      </c>
    </row>
    <row r="492" spans="1:17" x14ac:dyDescent="0.3">
      <c r="A492" t="s">
        <v>681</v>
      </c>
      <c r="B492" t="s">
        <v>186</v>
      </c>
      <c r="C492" t="s">
        <v>98</v>
      </c>
      <c r="D492" t="s">
        <v>151</v>
      </c>
      <c r="E492">
        <v>32</v>
      </c>
      <c r="F492">
        <v>3</v>
      </c>
      <c r="G492">
        <v>29</v>
      </c>
      <c r="H492">
        <v>53</v>
      </c>
      <c r="I492">
        <v>0</v>
      </c>
      <c r="J492" s="15">
        <v>41548.821655092594</v>
      </c>
      <c r="K492" s="15">
        <v>41548.8280787037</v>
      </c>
      <c r="L492" t="s">
        <v>338</v>
      </c>
      <c r="O492" s="17">
        <v>9.249999993480742</v>
      </c>
      <c r="P492">
        <v>1</v>
      </c>
      <c r="Q492" s="39">
        <v>41548</v>
      </c>
    </row>
    <row r="493" spans="1:17" x14ac:dyDescent="0.3">
      <c r="A493" t="s">
        <v>572</v>
      </c>
      <c r="B493" t="s">
        <v>160</v>
      </c>
      <c r="C493" t="s">
        <v>86</v>
      </c>
      <c r="D493" t="s">
        <v>151</v>
      </c>
      <c r="E493">
        <v>33</v>
      </c>
      <c r="F493">
        <v>3</v>
      </c>
      <c r="G493">
        <v>25</v>
      </c>
      <c r="H493">
        <v>41</v>
      </c>
      <c r="I493">
        <v>1.5</v>
      </c>
      <c r="J493" s="15">
        <v>41548.8280787037</v>
      </c>
      <c r="K493" s="15">
        <v>41548.833692129629</v>
      </c>
      <c r="L493" t="s">
        <v>338</v>
      </c>
      <c r="O493" s="17">
        <v>8.0833333369810134</v>
      </c>
      <c r="P493">
        <v>2</v>
      </c>
      <c r="Q493" s="39">
        <v>41548</v>
      </c>
    </row>
    <row r="494" spans="1:17" x14ac:dyDescent="0.3">
      <c r="A494" t="s">
        <v>682</v>
      </c>
      <c r="B494" t="s">
        <v>158</v>
      </c>
      <c r="C494" t="s">
        <v>18</v>
      </c>
      <c r="D494" t="s">
        <v>151</v>
      </c>
      <c r="E494">
        <v>34</v>
      </c>
      <c r="F494">
        <v>3.5</v>
      </c>
      <c r="G494">
        <v>31</v>
      </c>
      <c r="H494">
        <v>46</v>
      </c>
      <c r="I494">
        <v>3.5</v>
      </c>
      <c r="J494" s="15">
        <v>41548.833692129629</v>
      </c>
      <c r="K494" s="15">
        <v>41548.83834490741</v>
      </c>
      <c r="L494" t="s">
        <v>338</v>
      </c>
      <c r="O494" s="17">
        <v>6.700000005075708</v>
      </c>
      <c r="P494">
        <v>1</v>
      </c>
      <c r="Q494" s="39">
        <v>41548</v>
      </c>
    </row>
    <row r="495" spans="1:17" x14ac:dyDescent="0.3">
      <c r="A495" t="s">
        <v>683</v>
      </c>
      <c r="B495" t="s">
        <v>186</v>
      </c>
      <c r="C495" t="s">
        <v>98</v>
      </c>
      <c r="D495" t="s">
        <v>151</v>
      </c>
      <c r="E495">
        <v>35</v>
      </c>
      <c r="F495">
        <v>4</v>
      </c>
      <c r="G495">
        <v>30</v>
      </c>
      <c r="H495">
        <v>53</v>
      </c>
      <c r="I495">
        <v>2.75</v>
      </c>
      <c r="J495" s="15">
        <v>41548.83834490741</v>
      </c>
      <c r="K495" s="15">
        <v>41548.845196759263</v>
      </c>
      <c r="L495" t="s">
        <v>338</v>
      </c>
      <c r="O495" s="17">
        <v>9.8666666680946946</v>
      </c>
      <c r="P495">
        <v>1</v>
      </c>
      <c r="Q495" s="39">
        <v>41548</v>
      </c>
    </row>
    <row r="496" spans="1:17" x14ac:dyDescent="0.3">
      <c r="A496" t="s">
        <v>684</v>
      </c>
      <c r="B496" t="s">
        <v>341</v>
      </c>
      <c r="C496" t="s">
        <v>96</v>
      </c>
      <c r="D496" t="s">
        <v>151</v>
      </c>
      <c r="E496">
        <v>36</v>
      </c>
      <c r="F496">
        <v>3</v>
      </c>
      <c r="G496">
        <v>27</v>
      </c>
      <c r="H496">
        <v>42</v>
      </c>
      <c r="I496">
        <v>2.5</v>
      </c>
      <c r="J496" s="15">
        <v>41548.845196759263</v>
      </c>
      <c r="K496" s="15">
        <v>41548.849502314813</v>
      </c>
      <c r="L496" t="s">
        <v>338</v>
      </c>
      <c r="O496" s="17">
        <v>6.1999999929685146</v>
      </c>
      <c r="P496">
        <v>1</v>
      </c>
      <c r="Q496" s="39">
        <v>41548</v>
      </c>
    </row>
    <row r="497" spans="1:17" x14ac:dyDescent="0.3">
      <c r="A497" t="s">
        <v>650</v>
      </c>
      <c r="B497" t="s">
        <v>197</v>
      </c>
      <c r="C497" t="s">
        <v>19</v>
      </c>
      <c r="D497" t="s">
        <v>151</v>
      </c>
      <c r="E497">
        <v>23</v>
      </c>
      <c r="F497">
        <v>1.5</v>
      </c>
      <c r="G497">
        <v>13</v>
      </c>
      <c r="H497">
        <v>24</v>
      </c>
      <c r="I497">
        <v>1</v>
      </c>
      <c r="J497" s="15">
        <v>41548.849502314813</v>
      </c>
      <c r="K497" s="15">
        <v>41548.852685185186</v>
      </c>
      <c r="L497" t="s">
        <v>338</v>
      </c>
      <c r="O497" s="17">
        <v>4.5833333360496908</v>
      </c>
      <c r="P497">
        <v>2</v>
      </c>
      <c r="Q497" s="39">
        <v>41548</v>
      </c>
    </row>
    <row r="498" spans="1:17" x14ac:dyDescent="0.3">
      <c r="A498" t="s">
        <v>203</v>
      </c>
      <c r="B498" t="s">
        <v>180</v>
      </c>
      <c r="C498" t="s">
        <v>133</v>
      </c>
      <c r="D498" t="s">
        <v>153</v>
      </c>
      <c r="E498">
        <v>1</v>
      </c>
      <c r="F498">
        <v>1.5</v>
      </c>
      <c r="G498">
        <v>15</v>
      </c>
      <c r="H498">
        <v>43</v>
      </c>
      <c r="I498">
        <v>1.5</v>
      </c>
      <c r="J498" s="15">
        <v>41550.305937500001</v>
      </c>
      <c r="K498" s="15">
        <v>41550.307812500003</v>
      </c>
      <c r="L498" t="s">
        <v>338</v>
      </c>
      <c r="O498" s="17">
        <v>2.700000002514571</v>
      </c>
      <c r="P498">
        <v>2</v>
      </c>
      <c r="Q498" s="39">
        <v>41550</v>
      </c>
    </row>
    <row r="499" spans="1:17" x14ac:dyDescent="0.3">
      <c r="A499" t="s">
        <v>685</v>
      </c>
      <c r="B499" t="s">
        <v>180</v>
      </c>
      <c r="C499" t="s">
        <v>133</v>
      </c>
      <c r="D499" t="s">
        <v>153</v>
      </c>
      <c r="E499">
        <v>2</v>
      </c>
      <c r="F499">
        <v>3</v>
      </c>
      <c r="G499">
        <v>15</v>
      </c>
      <c r="H499">
        <v>44</v>
      </c>
      <c r="I499">
        <v>2</v>
      </c>
      <c r="J499" s="15">
        <v>41550.307812500003</v>
      </c>
      <c r="K499" s="15">
        <v>41550.313379629632</v>
      </c>
      <c r="L499" t="s">
        <v>338</v>
      </c>
      <c r="O499" s="17">
        <v>8.0166666652075946</v>
      </c>
      <c r="P499">
        <v>1</v>
      </c>
      <c r="Q499" s="39">
        <v>41550</v>
      </c>
    </row>
    <row r="500" spans="1:17" x14ac:dyDescent="0.3">
      <c r="A500" t="s">
        <v>392</v>
      </c>
      <c r="B500" t="s">
        <v>162</v>
      </c>
      <c r="C500" t="s">
        <v>82</v>
      </c>
      <c r="D500" t="s">
        <v>153</v>
      </c>
      <c r="E500">
        <v>3</v>
      </c>
      <c r="F500">
        <v>2</v>
      </c>
      <c r="G500">
        <v>114</v>
      </c>
      <c r="H500">
        <v>152</v>
      </c>
      <c r="I500">
        <v>1.5</v>
      </c>
      <c r="J500" s="15">
        <v>41550.313379629632</v>
      </c>
      <c r="K500" s="15">
        <v>41550.316874999997</v>
      </c>
      <c r="L500" t="s">
        <v>338</v>
      </c>
      <c r="O500" s="17">
        <v>5.033333325991407</v>
      </c>
      <c r="P500">
        <v>2</v>
      </c>
      <c r="Q500" s="39">
        <v>41550</v>
      </c>
    </row>
    <row r="501" spans="1:17" x14ac:dyDescent="0.3">
      <c r="A501" t="s">
        <v>215</v>
      </c>
      <c r="B501" t="s">
        <v>183</v>
      </c>
      <c r="C501" t="s">
        <v>83</v>
      </c>
      <c r="D501" t="s">
        <v>153</v>
      </c>
      <c r="E501">
        <v>5</v>
      </c>
      <c r="F501">
        <v>2</v>
      </c>
      <c r="G501">
        <v>52</v>
      </c>
      <c r="H501">
        <v>71</v>
      </c>
      <c r="I501">
        <v>3.5</v>
      </c>
      <c r="J501" s="15">
        <v>41550.316874999997</v>
      </c>
      <c r="K501" s="15">
        <v>41550.324317129627</v>
      </c>
      <c r="L501" t="s">
        <v>338</v>
      </c>
      <c r="O501" s="17">
        <v>10.716666667722166</v>
      </c>
      <c r="P501">
        <v>3</v>
      </c>
      <c r="Q501" s="39">
        <v>41550</v>
      </c>
    </row>
    <row r="502" spans="1:17" x14ac:dyDescent="0.3">
      <c r="A502" t="s">
        <v>330</v>
      </c>
      <c r="B502" t="s">
        <v>166</v>
      </c>
      <c r="C502" t="s">
        <v>92</v>
      </c>
      <c r="D502" t="s">
        <v>153</v>
      </c>
      <c r="E502">
        <v>20</v>
      </c>
      <c r="F502">
        <v>3.5</v>
      </c>
      <c r="G502">
        <v>37</v>
      </c>
      <c r="H502">
        <v>63</v>
      </c>
      <c r="I502">
        <v>3</v>
      </c>
      <c r="J502" s="15">
        <v>41550.324317129627</v>
      </c>
      <c r="K502" s="15">
        <v>41550.331261574072</v>
      </c>
      <c r="L502" t="s">
        <v>338</v>
      </c>
      <c r="O502" s="17">
        <v>10.000000001164153</v>
      </c>
      <c r="P502">
        <v>2</v>
      </c>
      <c r="Q502" s="39">
        <v>41550</v>
      </c>
    </row>
    <row r="503" spans="1:17" x14ac:dyDescent="0.3">
      <c r="A503" t="s">
        <v>530</v>
      </c>
      <c r="B503" t="s">
        <v>194</v>
      </c>
      <c r="C503" t="s">
        <v>135</v>
      </c>
      <c r="D503" t="s">
        <v>153</v>
      </c>
      <c r="E503">
        <v>21</v>
      </c>
      <c r="F503">
        <v>1.5</v>
      </c>
      <c r="G503">
        <v>9</v>
      </c>
      <c r="H503">
        <v>13</v>
      </c>
      <c r="I503">
        <v>1</v>
      </c>
      <c r="J503" s="15">
        <v>41550.331261574072</v>
      </c>
      <c r="K503" s="15">
        <v>41550.33185185185</v>
      </c>
      <c r="L503" t="s">
        <v>338</v>
      </c>
      <c r="O503" s="17">
        <v>0.84999999962747097</v>
      </c>
      <c r="P503">
        <v>2</v>
      </c>
      <c r="Q503" s="39">
        <v>41550</v>
      </c>
    </row>
    <row r="504" spans="1:17" x14ac:dyDescent="0.3">
      <c r="A504" t="s">
        <v>480</v>
      </c>
      <c r="B504" t="s">
        <v>190</v>
      </c>
      <c r="C504" t="s">
        <v>87</v>
      </c>
      <c r="D504" t="s">
        <v>153</v>
      </c>
      <c r="E504">
        <v>22</v>
      </c>
      <c r="F504">
        <v>2.25</v>
      </c>
      <c r="G504">
        <v>48</v>
      </c>
      <c r="H504">
        <v>80</v>
      </c>
      <c r="I504">
        <v>1.75</v>
      </c>
      <c r="J504" s="15">
        <v>41550.33185185185</v>
      </c>
      <c r="K504" s="15">
        <v>41550.334421296298</v>
      </c>
      <c r="L504" t="s">
        <v>338</v>
      </c>
      <c r="O504" s="17">
        <v>3.7000000057742</v>
      </c>
      <c r="P504">
        <v>2</v>
      </c>
      <c r="Q504" s="39">
        <v>41550</v>
      </c>
    </row>
    <row r="505" spans="1:17" x14ac:dyDescent="0.3">
      <c r="A505" t="s">
        <v>234</v>
      </c>
      <c r="B505" t="s">
        <v>190</v>
      </c>
      <c r="C505" t="s">
        <v>87</v>
      </c>
      <c r="D505" t="s">
        <v>153</v>
      </c>
      <c r="E505">
        <v>23</v>
      </c>
      <c r="F505">
        <v>2.5</v>
      </c>
      <c r="G505">
        <v>48</v>
      </c>
      <c r="H505">
        <v>81</v>
      </c>
      <c r="I505">
        <v>2</v>
      </c>
      <c r="J505" s="15">
        <v>41550.334421296298</v>
      </c>
      <c r="K505" s="15">
        <v>41550.338935185187</v>
      </c>
      <c r="L505" t="s">
        <v>338</v>
      </c>
      <c r="O505" s="17">
        <v>6.5000000002328306</v>
      </c>
      <c r="P505">
        <v>2</v>
      </c>
      <c r="Q505" s="39">
        <v>41550</v>
      </c>
    </row>
    <row r="506" spans="1:17" x14ac:dyDescent="0.3">
      <c r="A506" t="s">
        <v>686</v>
      </c>
      <c r="B506" t="s">
        <v>188</v>
      </c>
      <c r="C506" t="s">
        <v>88</v>
      </c>
      <c r="D506" t="s">
        <v>153</v>
      </c>
      <c r="E506">
        <v>24</v>
      </c>
      <c r="F506">
        <v>4.5</v>
      </c>
      <c r="G506">
        <v>47</v>
      </c>
      <c r="H506">
        <v>73</v>
      </c>
      <c r="I506">
        <v>4.5</v>
      </c>
      <c r="J506" s="15">
        <v>41550.338935185187</v>
      </c>
      <c r="K506" s="15">
        <v>41550.352662037039</v>
      </c>
      <c r="L506" t="s">
        <v>338</v>
      </c>
      <c r="O506" s="17">
        <v>19.766666666837409</v>
      </c>
      <c r="P506">
        <v>1</v>
      </c>
      <c r="Q506" s="39">
        <v>41550</v>
      </c>
    </row>
    <row r="507" spans="1:17" x14ac:dyDescent="0.3">
      <c r="A507" t="s">
        <v>289</v>
      </c>
      <c r="B507" t="s">
        <v>189</v>
      </c>
      <c r="C507" t="s">
        <v>102</v>
      </c>
      <c r="D507" t="s">
        <v>153</v>
      </c>
      <c r="E507">
        <v>25</v>
      </c>
      <c r="F507">
        <v>4</v>
      </c>
      <c r="G507">
        <v>25</v>
      </c>
      <c r="H507">
        <v>43</v>
      </c>
      <c r="I507">
        <v>2.5</v>
      </c>
      <c r="J507" s="15">
        <v>41550.352662037039</v>
      </c>
      <c r="K507" s="15">
        <v>41550.363217592596</v>
      </c>
      <c r="L507" t="s">
        <v>338</v>
      </c>
      <c r="O507" s="17">
        <v>15.200000001350418</v>
      </c>
      <c r="P507">
        <v>2</v>
      </c>
      <c r="Q507" s="39">
        <v>41550</v>
      </c>
    </row>
    <row r="508" spans="1:17" x14ac:dyDescent="0.3">
      <c r="A508" t="s">
        <v>421</v>
      </c>
      <c r="B508" t="s">
        <v>184</v>
      </c>
      <c r="C508" t="s">
        <v>94</v>
      </c>
      <c r="D508" t="s">
        <v>153</v>
      </c>
      <c r="E508">
        <v>26</v>
      </c>
      <c r="F508">
        <v>2</v>
      </c>
      <c r="G508">
        <v>113</v>
      </c>
      <c r="H508">
        <v>177</v>
      </c>
      <c r="I508">
        <v>1</v>
      </c>
      <c r="J508" s="15">
        <v>41550.363217592596</v>
      </c>
      <c r="K508" s="15">
        <v>41550.366377314815</v>
      </c>
      <c r="L508" t="s">
        <v>338</v>
      </c>
      <c r="O508" s="17">
        <v>4.549999994924292</v>
      </c>
      <c r="P508">
        <v>2</v>
      </c>
      <c r="Q508" s="39">
        <v>41550</v>
      </c>
    </row>
    <row r="509" spans="1:17" x14ac:dyDescent="0.3">
      <c r="A509" t="s">
        <v>597</v>
      </c>
      <c r="B509" t="s">
        <v>184</v>
      </c>
      <c r="C509" t="s">
        <v>94</v>
      </c>
      <c r="D509" t="s">
        <v>153</v>
      </c>
      <c r="E509">
        <v>27</v>
      </c>
      <c r="F509">
        <v>2.25</v>
      </c>
      <c r="G509">
        <v>114</v>
      </c>
      <c r="H509">
        <v>177</v>
      </c>
      <c r="I509">
        <v>2.25</v>
      </c>
      <c r="J509" s="15">
        <v>41550.366377314815</v>
      </c>
      <c r="K509" s="15">
        <v>41550.377488425926</v>
      </c>
      <c r="L509" t="s">
        <v>338</v>
      </c>
      <c r="O509" s="17">
        <v>15.999999999767169</v>
      </c>
      <c r="P509">
        <v>2</v>
      </c>
      <c r="Q509" s="39">
        <v>41550</v>
      </c>
    </row>
    <row r="510" spans="1:17" x14ac:dyDescent="0.3">
      <c r="A510" t="s">
        <v>446</v>
      </c>
      <c r="B510" t="s">
        <v>158</v>
      </c>
      <c r="C510" t="s">
        <v>18</v>
      </c>
      <c r="D510" t="s">
        <v>153</v>
      </c>
      <c r="E510">
        <v>28</v>
      </c>
      <c r="F510">
        <v>3</v>
      </c>
      <c r="G510">
        <v>31</v>
      </c>
      <c r="H510">
        <v>47</v>
      </c>
      <c r="I510">
        <v>3</v>
      </c>
      <c r="J510" s="15">
        <v>41550.377488425926</v>
      </c>
      <c r="K510" s="15">
        <v>41550.381724537037</v>
      </c>
      <c r="L510" t="s">
        <v>338</v>
      </c>
      <c r="O510" s="17">
        <v>6.1000000010244548</v>
      </c>
      <c r="P510">
        <v>2</v>
      </c>
      <c r="Q510" s="39">
        <v>41550</v>
      </c>
    </row>
    <row r="511" spans="1:17" x14ac:dyDescent="0.3">
      <c r="A511" t="s">
        <v>418</v>
      </c>
      <c r="B511" t="s">
        <v>163</v>
      </c>
      <c r="C511" t="s">
        <v>90</v>
      </c>
      <c r="D511" t="s">
        <v>153</v>
      </c>
      <c r="E511">
        <v>29</v>
      </c>
      <c r="F511">
        <v>2</v>
      </c>
      <c r="G511">
        <v>28</v>
      </c>
      <c r="H511">
        <v>47</v>
      </c>
      <c r="I511">
        <v>2</v>
      </c>
      <c r="J511" s="15">
        <v>41550.381724537037</v>
      </c>
      <c r="K511" s="15">
        <v>41550.38621527778</v>
      </c>
      <c r="L511" t="s">
        <v>338</v>
      </c>
      <c r="O511" s="17">
        <v>6.4666666695848107</v>
      </c>
      <c r="P511">
        <v>2</v>
      </c>
      <c r="Q511" s="39">
        <v>41550</v>
      </c>
    </row>
    <row r="512" spans="1:17" x14ac:dyDescent="0.3">
      <c r="A512" t="s">
        <v>456</v>
      </c>
      <c r="B512" t="s">
        <v>160</v>
      </c>
      <c r="C512" t="s">
        <v>86</v>
      </c>
      <c r="D512" t="s">
        <v>153</v>
      </c>
      <c r="E512">
        <v>30</v>
      </c>
      <c r="F512">
        <v>3</v>
      </c>
      <c r="G512">
        <v>26</v>
      </c>
      <c r="H512">
        <v>42</v>
      </c>
      <c r="I512">
        <v>2.5</v>
      </c>
      <c r="J512" s="15">
        <v>41550.38621527778</v>
      </c>
      <c r="K512" s="15">
        <v>41550.397499999999</v>
      </c>
      <c r="L512" t="s">
        <v>338</v>
      </c>
      <c r="O512" s="17">
        <v>16.249999995343387</v>
      </c>
      <c r="P512">
        <v>2</v>
      </c>
      <c r="Q512" s="39">
        <v>41550</v>
      </c>
    </row>
    <row r="513" spans="1:17" x14ac:dyDescent="0.3">
      <c r="A513" t="s">
        <v>450</v>
      </c>
      <c r="B513" t="s">
        <v>341</v>
      </c>
      <c r="C513" t="s">
        <v>96</v>
      </c>
      <c r="D513" t="s">
        <v>153</v>
      </c>
      <c r="E513">
        <v>31</v>
      </c>
      <c r="F513">
        <v>4</v>
      </c>
      <c r="G513">
        <v>28</v>
      </c>
      <c r="H513">
        <v>43</v>
      </c>
      <c r="I513">
        <v>2</v>
      </c>
      <c r="J513" s="15">
        <v>41550.397499999999</v>
      </c>
      <c r="K513" s="15">
        <v>41550.401064814818</v>
      </c>
      <c r="L513" t="s">
        <v>338</v>
      </c>
      <c r="O513" s="17">
        <v>5.1333333388902247</v>
      </c>
      <c r="P513">
        <v>2</v>
      </c>
      <c r="Q513" s="39">
        <v>41550</v>
      </c>
    </row>
    <row r="514" spans="1:17" x14ac:dyDescent="0.3">
      <c r="A514" t="s">
        <v>662</v>
      </c>
      <c r="B514" t="s">
        <v>187</v>
      </c>
      <c r="C514" t="s">
        <v>95</v>
      </c>
      <c r="D514" t="s">
        <v>153</v>
      </c>
      <c r="E514">
        <v>32</v>
      </c>
      <c r="F514">
        <v>3</v>
      </c>
      <c r="G514">
        <v>56</v>
      </c>
      <c r="H514">
        <v>89</v>
      </c>
      <c r="I514">
        <v>1</v>
      </c>
      <c r="J514" s="15">
        <v>41550.401064814818</v>
      </c>
      <c r="K514" s="15">
        <v>41550.406539351854</v>
      </c>
      <c r="L514" t="s">
        <v>338</v>
      </c>
      <c r="O514" s="17">
        <v>7.883333332138136</v>
      </c>
      <c r="P514">
        <v>2</v>
      </c>
      <c r="Q514" s="39">
        <v>41550</v>
      </c>
    </row>
    <row r="515" spans="1:17" x14ac:dyDescent="0.3">
      <c r="A515" t="s">
        <v>687</v>
      </c>
      <c r="B515" t="s">
        <v>187</v>
      </c>
      <c r="C515" t="s">
        <v>95</v>
      </c>
      <c r="D515" t="s">
        <v>153</v>
      </c>
      <c r="E515">
        <v>33</v>
      </c>
      <c r="F515">
        <v>2</v>
      </c>
      <c r="G515">
        <v>56</v>
      </c>
      <c r="H515">
        <v>90</v>
      </c>
      <c r="I515">
        <v>0</v>
      </c>
      <c r="J515" s="15">
        <v>41550.406539351854</v>
      </c>
      <c r="K515" s="15">
        <v>41550.407222222224</v>
      </c>
      <c r="L515" t="s">
        <v>338</v>
      </c>
      <c r="O515" s="17">
        <v>0.98333333269692957</v>
      </c>
      <c r="P515">
        <v>1</v>
      </c>
      <c r="Q515" s="39">
        <v>41550</v>
      </c>
    </row>
    <row r="516" spans="1:17" x14ac:dyDescent="0.3">
      <c r="A516" t="s">
        <v>417</v>
      </c>
      <c r="B516" t="s">
        <v>185</v>
      </c>
      <c r="C516" t="s">
        <v>93</v>
      </c>
      <c r="D516" t="s">
        <v>153</v>
      </c>
      <c r="E516">
        <v>34</v>
      </c>
      <c r="F516">
        <v>4.5</v>
      </c>
      <c r="G516">
        <v>32</v>
      </c>
      <c r="H516">
        <v>49</v>
      </c>
      <c r="I516">
        <v>3</v>
      </c>
      <c r="J516" s="15">
        <v>41550.407222222224</v>
      </c>
      <c r="K516" s="15">
        <v>41550.416215277779</v>
      </c>
      <c r="L516" t="s">
        <v>338</v>
      </c>
      <c r="O516" s="17">
        <v>12.949999999254942</v>
      </c>
      <c r="P516">
        <v>2</v>
      </c>
      <c r="Q516" s="39">
        <v>41550</v>
      </c>
    </row>
    <row r="517" spans="1:17" x14ac:dyDescent="0.3">
      <c r="A517" t="s">
        <v>309</v>
      </c>
      <c r="B517" t="s">
        <v>187</v>
      </c>
      <c r="C517" t="s">
        <v>95</v>
      </c>
      <c r="D517" t="s">
        <v>153</v>
      </c>
      <c r="E517">
        <v>35</v>
      </c>
      <c r="F517">
        <v>2</v>
      </c>
      <c r="G517">
        <v>57</v>
      </c>
      <c r="H517">
        <v>91</v>
      </c>
      <c r="I517">
        <v>2</v>
      </c>
      <c r="J517" s="15">
        <v>41550.416215277779</v>
      </c>
      <c r="K517" s="15">
        <v>41550.416666666664</v>
      </c>
      <c r="L517" t="s">
        <v>338</v>
      </c>
      <c r="O517" s="17">
        <v>0.64999999478459358</v>
      </c>
      <c r="P517">
        <v>2</v>
      </c>
      <c r="Q517" s="39">
        <v>41550</v>
      </c>
    </row>
    <row r="518" spans="1:17" x14ac:dyDescent="0.3">
      <c r="A518" t="s">
        <v>488</v>
      </c>
      <c r="B518" t="s">
        <v>192</v>
      </c>
      <c r="C518" t="s">
        <v>103</v>
      </c>
      <c r="D518" t="s">
        <v>153</v>
      </c>
      <c r="E518">
        <v>36</v>
      </c>
      <c r="F518">
        <v>4</v>
      </c>
      <c r="G518">
        <v>36</v>
      </c>
      <c r="H518">
        <v>55</v>
      </c>
      <c r="I518">
        <v>2.5</v>
      </c>
      <c r="J518" s="15">
        <v>41550.416666666664</v>
      </c>
      <c r="K518" s="15">
        <v>41550.425810185188</v>
      </c>
      <c r="L518" t="s">
        <v>338</v>
      </c>
      <c r="O518" s="17">
        <v>13.166666674660519</v>
      </c>
      <c r="P518">
        <v>2</v>
      </c>
      <c r="Q518" s="39">
        <v>41550</v>
      </c>
    </row>
    <row r="519" spans="1:17" x14ac:dyDescent="0.3">
      <c r="A519" t="s">
        <v>688</v>
      </c>
      <c r="B519" t="s">
        <v>197</v>
      </c>
      <c r="C519" t="s">
        <v>19</v>
      </c>
      <c r="D519" t="s">
        <v>153</v>
      </c>
      <c r="E519">
        <v>31</v>
      </c>
      <c r="F519">
        <v>3.25</v>
      </c>
      <c r="G519">
        <v>12</v>
      </c>
      <c r="H519">
        <v>24</v>
      </c>
      <c r="I519">
        <v>0</v>
      </c>
      <c r="J519" s="15">
        <v>41550.425810185188</v>
      </c>
      <c r="K519" s="15">
        <v>41550.426238425927</v>
      </c>
      <c r="L519" t="s">
        <v>338</v>
      </c>
      <c r="O519" s="17">
        <v>0.61666666413657367</v>
      </c>
      <c r="P519">
        <v>1</v>
      </c>
      <c r="Q519" s="39">
        <v>41550</v>
      </c>
    </row>
    <row r="520" spans="1:17" x14ac:dyDescent="0.3">
      <c r="A520" t="s">
        <v>689</v>
      </c>
      <c r="B520" t="s">
        <v>197</v>
      </c>
      <c r="C520" t="s">
        <v>19</v>
      </c>
      <c r="D520" t="s">
        <v>153</v>
      </c>
      <c r="E520">
        <v>38</v>
      </c>
      <c r="F520">
        <v>2</v>
      </c>
      <c r="G520">
        <v>11</v>
      </c>
      <c r="H520">
        <v>23</v>
      </c>
      <c r="I520">
        <v>0</v>
      </c>
      <c r="J520" s="15">
        <v>41550.426238425927</v>
      </c>
      <c r="K520" s="15">
        <v>41550.432013888887</v>
      </c>
      <c r="L520" t="s">
        <v>338</v>
      </c>
      <c r="O520" s="17">
        <v>8.3166666619945318</v>
      </c>
      <c r="P520">
        <v>1</v>
      </c>
      <c r="Q520" s="39">
        <v>41550</v>
      </c>
    </row>
    <row r="521" spans="1:17" x14ac:dyDescent="0.3">
      <c r="A521" t="s">
        <v>690</v>
      </c>
      <c r="B521" t="s">
        <v>197</v>
      </c>
      <c r="C521" t="s">
        <v>19</v>
      </c>
      <c r="D521" t="s">
        <v>153</v>
      </c>
      <c r="E521">
        <v>39</v>
      </c>
      <c r="F521">
        <v>2.5</v>
      </c>
      <c r="G521">
        <v>11</v>
      </c>
      <c r="H521">
        <v>23</v>
      </c>
      <c r="I521">
        <v>0</v>
      </c>
      <c r="J521" s="15">
        <v>41550.432013888887</v>
      </c>
      <c r="K521" s="15">
        <v>41550.432245370372</v>
      </c>
      <c r="L521" t="s">
        <v>338</v>
      </c>
      <c r="O521" s="17">
        <v>0.33333333791233599</v>
      </c>
      <c r="P521">
        <v>1</v>
      </c>
      <c r="Q521" s="39">
        <v>41550</v>
      </c>
    </row>
    <row r="522" spans="1:17" x14ac:dyDescent="0.3">
      <c r="A522" t="s">
        <v>634</v>
      </c>
      <c r="B522" t="s">
        <v>181</v>
      </c>
      <c r="C522" t="s">
        <v>91</v>
      </c>
      <c r="D522" t="s">
        <v>143</v>
      </c>
      <c r="E522">
        <v>1</v>
      </c>
      <c r="F522">
        <v>1</v>
      </c>
      <c r="G522">
        <v>51</v>
      </c>
      <c r="H522">
        <v>87</v>
      </c>
      <c r="I522">
        <v>0</v>
      </c>
      <c r="J522" s="15">
        <v>41550.882199074076</v>
      </c>
      <c r="K522" s="15">
        <v>41550.883425925924</v>
      </c>
      <c r="L522" t="s">
        <v>338</v>
      </c>
      <c r="O522" s="17">
        <v>1.7666666605509818</v>
      </c>
      <c r="P522">
        <v>2</v>
      </c>
      <c r="Q522" s="39">
        <v>41550</v>
      </c>
    </row>
    <row r="523" spans="1:17" x14ac:dyDescent="0.3">
      <c r="A523" t="s">
        <v>691</v>
      </c>
      <c r="B523" t="s">
        <v>183</v>
      </c>
      <c r="C523" t="s">
        <v>83</v>
      </c>
      <c r="D523" t="s">
        <v>143</v>
      </c>
      <c r="E523">
        <v>2</v>
      </c>
      <c r="F523">
        <v>1</v>
      </c>
      <c r="G523">
        <v>48</v>
      </c>
      <c r="H523">
        <v>65</v>
      </c>
      <c r="I523">
        <v>0</v>
      </c>
      <c r="J523" s="15">
        <v>41550.883425925924</v>
      </c>
      <c r="K523" s="15">
        <v>41550.884872685187</v>
      </c>
      <c r="L523" t="s">
        <v>338</v>
      </c>
      <c r="O523" s="17">
        <v>2.0833333383779973</v>
      </c>
      <c r="P523">
        <v>1</v>
      </c>
      <c r="Q523" s="39">
        <v>41550</v>
      </c>
    </row>
    <row r="524" spans="1:17" x14ac:dyDescent="0.3">
      <c r="A524" t="s">
        <v>692</v>
      </c>
      <c r="B524" t="s">
        <v>180</v>
      </c>
      <c r="C524" t="s">
        <v>133</v>
      </c>
      <c r="D524" t="s">
        <v>143</v>
      </c>
      <c r="E524">
        <v>3</v>
      </c>
      <c r="F524">
        <v>1</v>
      </c>
      <c r="G524">
        <v>11</v>
      </c>
      <c r="H524">
        <v>33</v>
      </c>
      <c r="I524">
        <v>0</v>
      </c>
      <c r="J524" s="15">
        <v>41550.884872685187</v>
      </c>
      <c r="K524" s="15">
        <v>41550.885775462964</v>
      </c>
      <c r="L524" t="s">
        <v>338</v>
      </c>
      <c r="O524" s="17">
        <v>1.3000000000465661</v>
      </c>
      <c r="P524">
        <v>1</v>
      </c>
      <c r="Q524" s="39">
        <v>41550</v>
      </c>
    </row>
    <row r="525" spans="1:17" x14ac:dyDescent="0.3">
      <c r="A525" t="s">
        <v>528</v>
      </c>
      <c r="B525" t="s">
        <v>194</v>
      </c>
      <c r="C525" t="s">
        <v>135</v>
      </c>
      <c r="D525" t="s">
        <v>143</v>
      </c>
      <c r="E525">
        <v>4</v>
      </c>
      <c r="F525">
        <v>1</v>
      </c>
      <c r="G525">
        <v>8</v>
      </c>
      <c r="H525">
        <v>13</v>
      </c>
      <c r="I525">
        <v>1</v>
      </c>
      <c r="J525" s="15">
        <v>41550.885775462964</v>
      </c>
      <c r="K525" s="15">
        <v>41550.886435185188</v>
      </c>
      <c r="L525" t="s">
        <v>338</v>
      </c>
      <c r="O525" s="17">
        <v>0.95000000204890966</v>
      </c>
      <c r="P525">
        <v>2</v>
      </c>
      <c r="Q525" s="39">
        <v>41550</v>
      </c>
    </row>
    <row r="526" spans="1:17" x14ac:dyDescent="0.3">
      <c r="A526" t="s">
        <v>693</v>
      </c>
      <c r="B526" t="s">
        <v>190</v>
      </c>
      <c r="C526" t="s">
        <v>87</v>
      </c>
      <c r="D526" t="s">
        <v>143</v>
      </c>
      <c r="E526">
        <v>5</v>
      </c>
      <c r="F526">
        <v>1</v>
      </c>
      <c r="G526">
        <v>42</v>
      </c>
      <c r="H526">
        <v>67</v>
      </c>
      <c r="I526">
        <v>0</v>
      </c>
      <c r="J526" s="15">
        <v>41550.886435185188</v>
      </c>
      <c r="K526" s="15">
        <v>41550.89298611111</v>
      </c>
      <c r="L526" t="s">
        <v>338</v>
      </c>
      <c r="O526" s="17">
        <v>9.4333333277609199</v>
      </c>
      <c r="P526">
        <v>1</v>
      </c>
      <c r="Q526" s="39">
        <v>41550</v>
      </c>
    </row>
    <row r="527" spans="1:17" x14ac:dyDescent="0.3">
      <c r="A527" t="s">
        <v>544</v>
      </c>
      <c r="B527" t="s">
        <v>191</v>
      </c>
      <c r="C527" t="s">
        <v>72</v>
      </c>
      <c r="D527" t="s">
        <v>143</v>
      </c>
      <c r="E527">
        <v>6</v>
      </c>
      <c r="F527">
        <v>1</v>
      </c>
      <c r="G527">
        <v>21</v>
      </c>
      <c r="H527">
        <v>33</v>
      </c>
      <c r="I527">
        <v>0</v>
      </c>
      <c r="J527" s="15">
        <v>41550.89298611111</v>
      </c>
      <c r="K527" s="15">
        <v>41550.89366898148</v>
      </c>
      <c r="L527" t="s">
        <v>338</v>
      </c>
      <c r="O527" s="17">
        <v>0.98333333269692957</v>
      </c>
      <c r="P527">
        <v>2</v>
      </c>
      <c r="Q527" s="39">
        <v>41550</v>
      </c>
    </row>
    <row r="528" spans="1:17" x14ac:dyDescent="0.3">
      <c r="A528" t="s">
        <v>694</v>
      </c>
      <c r="B528" t="s">
        <v>186</v>
      </c>
      <c r="C528" t="s">
        <v>98</v>
      </c>
      <c r="D528" t="s">
        <v>143</v>
      </c>
      <c r="E528">
        <v>8</v>
      </c>
      <c r="F528">
        <v>1</v>
      </c>
      <c r="G528">
        <v>22</v>
      </c>
      <c r="H528">
        <v>49</v>
      </c>
      <c r="I528">
        <v>0</v>
      </c>
      <c r="J528" s="15">
        <v>41550.89366898148</v>
      </c>
      <c r="K528" s="15">
        <v>41550.895532407405</v>
      </c>
      <c r="L528" t="s">
        <v>338</v>
      </c>
      <c r="O528" s="17">
        <v>2.6833333319518715</v>
      </c>
      <c r="P528">
        <v>1</v>
      </c>
      <c r="Q528" s="39">
        <v>41550</v>
      </c>
    </row>
    <row r="529" spans="1:17" x14ac:dyDescent="0.3">
      <c r="A529" t="s">
        <v>695</v>
      </c>
      <c r="B529" t="s">
        <v>192</v>
      </c>
      <c r="C529" t="s">
        <v>103</v>
      </c>
      <c r="D529" t="s">
        <v>143</v>
      </c>
      <c r="E529">
        <v>9</v>
      </c>
      <c r="F529">
        <v>1</v>
      </c>
      <c r="G529">
        <v>30</v>
      </c>
      <c r="H529">
        <v>49</v>
      </c>
      <c r="I529">
        <v>1</v>
      </c>
      <c r="J529" s="15">
        <v>41550.895532407405</v>
      </c>
      <c r="K529" s="15">
        <v>41550.898298611108</v>
      </c>
      <c r="L529" t="s">
        <v>338</v>
      </c>
      <c r="O529" s="17">
        <v>3.9833333319984376</v>
      </c>
      <c r="P529">
        <v>1</v>
      </c>
      <c r="Q529" s="39">
        <v>41550</v>
      </c>
    </row>
    <row r="530" spans="1:17" x14ac:dyDescent="0.3">
      <c r="A530" t="s">
        <v>696</v>
      </c>
      <c r="B530" t="s">
        <v>186</v>
      </c>
      <c r="C530" t="s">
        <v>98</v>
      </c>
      <c r="D530" t="s">
        <v>143</v>
      </c>
      <c r="E530">
        <v>10</v>
      </c>
      <c r="F530">
        <v>1</v>
      </c>
      <c r="G530">
        <v>23</v>
      </c>
      <c r="H530">
        <v>49</v>
      </c>
      <c r="I530">
        <v>1</v>
      </c>
      <c r="J530" s="15">
        <v>41550.898298611108</v>
      </c>
      <c r="K530" s="15">
        <v>41550.899618055555</v>
      </c>
      <c r="L530" t="s">
        <v>338</v>
      </c>
      <c r="O530" s="17">
        <v>1.9000000040978193</v>
      </c>
      <c r="P530">
        <v>1</v>
      </c>
      <c r="Q530" s="39">
        <v>41550</v>
      </c>
    </row>
    <row r="531" spans="1:17" x14ac:dyDescent="0.3">
      <c r="A531" t="s">
        <v>697</v>
      </c>
      <c r="B531" t="s">
        <v>184</v>
      </c>
      <c r="C531" t="s">
        <v>94</v>
      </c>
      <c r="D531" t="s">
        <v>143</v>
      </c>
      <c r="E531">
        <v>11</v>
      </c>
      <c r="F531">
        <v>1</v>
      </c>
      <c r="G531">
        <v>98</v>
      </c>
      <c r="H531">
        <v>162</v>
      </c>
      <c r="I531">
        <v>1</v>
      </c>
      <c r="J531" s="15">
        <v>41550.899618055555</v>
      </c>
      <c r="K531" s="15">
        <v>41550.90148148148</v>
      </c>
      <c r="L531" t="s">
        <v>338</v>
      </c>
      <c r="O531" s="17">
        <v>2.6833333319518715</v>
      </c>
      <c r="P531">
        <v>1</v>
      </c>
      <c r="Q531" s="39">
        <v>41550</v>
      </c>
    </row>
    <row r="532" spans="1:17" x14ac:dyDescent="0.3">
      <c r="A532" t="s">
        <v>578</v>
      </c>
      <c r="B532" t="s">
        <v>341</v>
      </c>
      <c r="C532" t="s">
        <v>96</v>
      </c>
      <c r="D532" t="s">
        <v>143</v>
      </c>
      <c r="E532">
        <v>12</v>
      </c>
      <c r="F532">
        <v>1</v>
      </c>
      <c r="G532">
        <v>24</v>
      </c>
      <c r="H532">
        <v>37</v>
      </c>
      <c r="I532">
        <v>1</v>
      </c>
      <c r="J532" s="15">
        <v>41550.90148148148</v>
      </c>
      <c r="K532" s="15">
        <v>41550.902708333335</v>
      </c>
      <c r="L532" t="s">
        <v>338</v>
      </c>
      <c r="O532" s="17">
        <v>1.7666666710283607</v>
      </c>
      <c r="P532">
        <v>2</v>
      </c>
      <c r="Q532" s="39">
        <v>41550</v>
      </c>
    </row>
    <row r="533" spans="1:17" x14ac:dyDescent="0.3">
      <c r="A533" t="s">
        <v>581</v>
      </c>
      <c r="B533" t="s">
        <v>333</v>
      </c>
      <c r="C533" t="s">
        <v>99</v>
      </c>
      <c r="D533" t="s">
        <v>143</v>
      </c>
      <c r="E533">
        <v>13</v>
      </c>
      <c r="F533">
        <v>1</v>
      </c>
      <c r="G533">
        <v>22</v>
      </c>
      <c r="H533">
        <v>33</v>
      </c>
      <c r="I533">
        <v>0</v>
      </c>
      <c r="J533" s="15">
        <v>41550.902708333335</v>
      </c>
      <c r="K533" s="15">
        <v>41550.903935185182</v>
      </c>
      <c r="L533" t="s">
        <v>338</v>
      </c>
      <c r="O533" s="17">
        <v>1.7666666605509818</v>
      </c>
      <c r="P533">
        <v>2</v>
      </c>
      <c r="Q533" s="39">
        <v>41550</v>
      </c>
    </row>
    <row r="534" spans="1:17" x14ac:dyDescent="0.3">
      <c r="A534" t="s">
        <v>698</v>
      </c>
      <c r="B534" t="s">
        <v>183</v>
      </c>
      <c r="C534" t="s">
        <v>83</v>
      </c>
      <c r="D534" t="s">
        <v>143</v>
      </c>
      <c r="E534">
        <v>22</v>
      </c>
      <c r="F534">
        <v>2.5</v>
      </c>
      <c r="G534">
        <v>49</v>
      </c>
      <c r="H534">
        <v>66</v>
      </c>
      <c r="I534">
        <v>1.75</v>
      </c>
      <c r="J534" s="15">
        <v>41550.903935185182</v>
      </c>
      <c r="K534" s="15">
        <v>41550.908506944441</v>
      </c>
      <c r="L534" t="s">
        <v>338</v>
      </c>
      <c r="O534" s="17">
        <v>6.5833333320915699</v>
      </c>
      <c r="P534">
        <v>1</v>
      </c>
      <c r="Q534" s="39">
        <v>41550</v>
      </c>
    </row>
    <row r="535" spans="1:17" x14ac:dyDescent="0.3">
      <c r="A535" t="s">
        <v>699</v>
      </c>
      <c r="B535" t="s">
        <v>180</v>
      </c>
      <c r="C535" t="s">
        <v>133</v>
      </c>
      <c r="D535" t="s">
        <v>143</v>
      </c>
      <c r="E535">
        <v>23</v>
      </c>
      <c r="F535">
        <v>1.5</v>
      </c>
      <c r="G535">
        <v>11</v>
      </c>
      <c r="H535">
        <v>33</v>
      </c>
      <c r="I535">
        <v>1.5</v>
      </c>
      <c r="J535" s="15">
        <v>41550.908506944441</v>
      </c>
      <c r="K535" s="15">
        <v>41550.909062500003</v>
      </c>
      <c r="L535" t="s">
        <v>338</v>
      </c>
      <c r="O535" s="17">
        <v>0.80000000889413059</v>
      </c>
      <c r="P535">
        <v>1</v>
      </c>
      <c r="Q535" s="39">
        <v>41550</v>
      </c>
    </row>
    <row r="536" spans="1:17" x14ac:dyDescent="0.3">
      <c r="A536" t="s">
        <v>542</v>
      </c>
      <c r="B536" t="s">
        <v>189</v>
      </c>
      <c r="C536" t="s">
        <v>102</v>
      </c>
      <c r="D536" t="s">
        <v>143</v>
      </c>
      <c r="E536">
        <v>25</v>
      </c>
      <c r="F536">
        <v>2</v>
      </c>
      <c r="G536">
        <v>20</v>
      </c>
      <c r="H536">
        <v>38</v>
      </c>
      <c r="I536">
        <v>1</v>
      </c>
      <c r="J536" s="15">
        <v>41550.909062500003</v>
      </c>
      <c r="K536" s="15">
        <v>41550.914039351854</v>
      </c>
      <c r="L536" t="s">
        <v>338</v>
      </c>
      <c r="O536" s="17">
        <v>7.1666666655801237</v>
      </c>
      <c r="P536">
        <v>2</v>
      </c>
      <c r="Q536" s="39">
        <v>41550</v>
      </c>
    </row>
    <row r="537" spans="1:17" x14ac:dyDescent="0.3">
      <c r="A537" t="s">
        <v>657</v>
      </c>
      <c r="B537" t="s">
        <v>191</v>
      </c>
      <c r="C537" t="s">
        <v>72</v>
      </c>
      <c r="D537" t="s">
        <v>143</v>
      </c>
      <c r="E537">
        <v>26</v>
      </c>
      <c r="F537">
        <v>3</v>
      </c>
      <c r="G537">
        <v>21</v>
      </c>
      <c r="H537">
        <v>34</v>
      </c>
      <c r="I537">
        <v>2.75</v>
      </c>
      <c r="J537" s="15">
        <v>41550.914039351854</v>
      </c>
      <c r="K537" s="15">
        <v>41550.91578703704</v>
      </c>
      <c r="L537" t="s">
        <v>338</v>
      </c>
      <c r="O537" s="17">
        <v>2.516666668234393</v>
      </c>
      <c r="P537">
        <v>2</v>
      </c>
      <c r="Q537" s="39">
        <v>41550</v>
      </c>
    </row>
    <row r="538" spans="1:17" x14ac:dyDescent="0.3">
      <c r="A538" t="s">
        <v>700</v>
      </c>
      <c r="B538" t="s">
        <v>188</v>
      </c>
      <c r="C538" t="s">
        <v>88</v>
      </c>
      <c r="D538" t="s">
        <v>143</v>
      </c>
      <c r="E538">
        <v>27</v>
      </c>
      <c r="F538">
        <v>3</v>
      </c>
      <c r="G538">
        <v>38</v>
      </c>
      <c r="H538">
        <v>62</v>
      </c>
      <c r="I538">
        <v>2</v>
      </c>
      <c r="J538" s="15">
        <v>41550.91578703704</v>
      </c>
      <c r="K538" s="15">
        <v>41550.92454861111</v>
      </c>
      <c r="L538" t="s">
        <v>338</v>
      </c>
      <c r="O538" s="17">
        <v>12.616666661342606</v>
      </c>
      <c r="P538">
        <v>1</v>
      </c>
      <c r="Q538" s="39">
        <v>41550</v>
      </c>
    </row>
    <row r="539" spans="1:17" x14ac:dyDescent="0.3">
      <c r="A539" t="s">
        <v>701</v>
      </c>
      <c r="B539" t="s">
        <v>190</v>
      </c>
      <c r="C539" t="s">
        <v>87</v>
      </c>
      <c r="D539" t="s">
        <v>143</v>
      </c>
      <c r="E539">
        <v>28</v>
      </c>
      <c r="F539">
        <v>2.5</v>
      </c>
      <c r="G539">
        <v>42</v>
      </c>
      <c r="H539">
        <v>68</v>
      </c>
      <c r="I539">
        <v>2.25</v>
      </c>
      <c r="J539" s="15">
        <v>41550.92454861111</v>
      </c>
      <c r="K539" s="15">
        <v>41550.92564814815</v>
      </c>
      <c r="L539" t="s">
        <v>338</v>
      </c>
      <c r="O539" s="17">
        <v>1.5833333367481828</v>
      </c>
      <c r="P539">
        <v>1</v>
      </c>
      <c r="Q539" s="39">
        <v>41550</v>
      </c>
    </row>
    <row r="540" spans="1:17" x14ac:dyDescent="0.3">
      <c r="A540" t="s">
        <v>702</v>
      </c>
      <c r="B540" t="s">
        <v>158</v>
      </c>
      <c r="C540" t="s">
        <v>18</v>
      </c>
      <c r="D540" t="s">
        <v>143</v>
      </c>
      <c r="E540">
        <v>30</v>
      </c>
      <c r="F540">
        <v>4</v>
      </c>
      <c r="G540">
        <v>29</v>
      </c>
      <c r="H540">
        <v>42</v>
      </c>
      <c r="I540">
        <v>4</v>
      </c>
      <c r="J540" s="15">
        <v>41550.92564814815</v>
      </c>
      <c r="K540" s="15">
        <v>41550.926053240742</v>
      </c>
      <c r="L540" t="s">
        <v>338</v>
      </c>
      <c r="O540" s="17">
        <v>0.58333333348855376</v>
      </c>
      <c r="P540">
        <v>1</v>
      </c>
      <c r="Q540" s="39">
        <v>41550</v>
      </c>
    </row>
    <row r="541" spans="1:17" x14ac:dyDescent="0.3">
      <c r="A541" t="s">
        <v>703</v>
      </c>
      <c r="B541" t="s">
        <v>186</v>
      </c>
      <c r="C541" t="s">
        <v>98</v>
      </c>
      <c r="D541" t="s">
        <v>143</v>
      </c>
      <c r="E541">
        <v>31</v>
      </c>
      <c r="F541">
        <v>2</v>
      </c>
      <c r="G541">
        <v>23</v>
      </c>
      <c r="H541">
        <v>49</v>
      </c>
      <c r="I541">
        <v>2</v>
      </c>
      <c r="J541" s="15">
        <v>41550.926053240742</v>
      </c>
      <c r="K541" s="15">
        <v>41550.933749999997</v>
      </c>
      <c r="L541" t="s">
        <v>338</v>
      </c>
      <c r="O541" s="17">
        <v>11.083333325805143</v>
      </c>
      <c r="P541">
        <v>1</v>
      </c>
      <c r="Q541" s="39">
        <v>41550</v>
      </c>
    </row>
    <row r="542" spans="1:17" x14ac:dyDescent="0.3">
      <c r="A542" t="s">
        <v>704</v>
      </c>
      <c r="B542" t="s">
        <v>186</v>
      </c>
      <c r="C542" t="s">
        <v>98</v>
      </c>
      <c r="D542" t="s">
        <v>143</v>
      </c>
      <c r="E542">
        <v>32</v>
      </c>
      <c r="F542">
        <v>3</v>
      </c>
      <c r="G542">
        <v>23</v>
      </c>
      <c r="H542">
        <v>50</v>
      </c>
      <c r="I542">
        <v>1</v>
      </c>
      <c r="J542" s="15">
        <v>41550.933749999997</v>
      </c>
      <c r="K542" s="15">
        <v>41550.934374999997</v>
      </c>
      <c r="L542" t="s">
        <v>338</v>
      </c>
      <c r="O542" s="17">
        <v>0.90000000083819032</v>
      </c>
      <c r="P542">
        <v>1</v>
      </c>
      <c r="Q542" s="39">
        <v>41550</v>
      </c>
    </row>
    <row r="543" spans="1:17" x14ac:dyDescent="0.3">
      <c r="A543" t="s">
        <v>705</v>
      </c>
      <c r="B543" t="s">
        <v>192</v>
      </c>
      <c r="C543" t="s">
        <v>103</v>
      </c>
      <c r="D543" t="s">
        <v>143</v>
      </c>
      <c r="E543">
        <v>33</v>
      </c>
      <c r="F543">
        <v>3</v>
      </c>
      <c r="G543">
        <v>31</v>
      </c>
      <c r="H543">
        <v>50</v>
      </c>
      <c r="I543">
        <v>2.5</v>
      </c>
      <c r="J543" s="15">
        <v>41550.934374999997</v>
      </c>
      <c r="K543" s="15">
        <v>41550.938935185186</v>
      </c>
      <c r="L543" t="s">
        <v>338</v>
      </c>
      <c r="O543" s="17">
        <v>6.5666666720062494</v>
      </c>
      <c r="P543">
        <v>1</v>
      </c>
      <c r="Q543" s="39">
        <v>41550</v>
      </c>
    </row>
    <row r="544" spans="1:17" x14ac:dyDescent="0.3">
      <c r="A544" t="s">
        <v>503</v>
      </c>
      <c r="B544" t="s">
        <v>187</v>
      </c>
      <c r="C544" t="s">
        <v>95</v>
      </c>
      <c r="D544" t="s">
        <v>143</v>
      </c>
      <c r="E544">
        <v>34</v>
      </c>
      <c r="F544">
        <v>3</v>
      </c>
      <c r="G544">
        <v>52</v>
      </c>
      <c r="H544">
        <v>84</v>
      </c>
      <c r="I544">
        <v>1</v>
      </c>
      <c r="J544" s="15">
        <v>41550.938935185186</v>
      </c>
      <c r="K544" s="15">
        <v>41550.943449074075</v>
      </c>
      <c r="L544" t="s">
        <v>338</v>
      </c>
      <c r="O544" s="17">
        <v>6.5000000002328306</v>
      </c>
      <c r="P544">
        <v>2</v>
      </c>
      <c r="Q544" s="39">
        <v>41550</v>
      </c>
    </row>
    <row r="545" spans="1:17" x14ac:dyDescent="0.3">
      <c r="A545" t="s">
        <v>591</v>
      </c>
      <c r="B545" t="s">
        <v>184</v>
      </c>
      <c r="C545" t="s">
        <v>94</v>
      </c>
      <c r="D545" t="s">
        <v>143</v>
      </c>
      <c r="E545">
        <v>35</v>
      </c>
      <c r="F545">
        <v>2.5</v>
      </c>
      <c r="G545">
        <v>98</v>
      </c>
      <c r="H545">
        <v>163</v>
      </c>
      <c r="I545">
        <v>1.25</v>
      </c>
      <c r="J545" s="15">
        <v>41550.943449074075</v>
      </c>
      <c r="K545" s="15">
        <v>41550.94935185185</v>
      </c>
      <c r="L545" t="s">
        <v>338</v>
      </c>
      <c r="O545" s="17">
        <v>8.4999999962747097</v>
      </c>
      <c r="P545">
        <v>2</v>
      </c>
      <c r="Q545" s="39">
        <v>41550</v>
      </c>
    </row>
    <row r="546" spans="1:17" x14ac:dyDescent="0.3">
      <c r="A546" t="s">
        <v>646</v>
      </c>
      <c r="B546" t="s">
        <v>333</v>
      </c>
      <c r="C546" t="s">
        <v>99</v>
      </c>
      <c r="D546" t="s">
        <v>143</v>
      </c>
      <c r="E546">
        <v>36</v>
      </c>
      <c r="F546">
        <v>2</v>
      </c>
      <c r="G546">
        <v>22</v>
      </c>
      <c r="H546">
        <v>34</v>
      </c>
      <c r="I546">
        <v>1</v>
      </c>
      <c r="J546" s="15">
        <v>41550.94935185185</v>
      </c>
      <c r="K546" s="15">
        <v>41550.951192129629</v>
      </c>
      <c r="L546" t="s">
        <v>338</v>
      </c>
      <c r="O546" s="17">
        <v>2.6500000013038516</v>
      </c>
      <c r="P546">
        <v>2</v>
      </c>
      <c r="Q546" s="39">
        <v>41550</v>
      </c>
    </row>
    <row r="547" spans="1:17" x14ac:dyDescent="0.3">
      <c r="A547" t="s">
        <v>706</v>
      </c>
      <c r="B547" t="s">
        <v>184</v>
      </c>
      <c r="C547" t="s">
        <v>94</v>
      </c>
      <c r="D547" t="s">
        <v>143</v>
      </c>
      <c r="E547">
        <v>37</v>
      </c>
      <c r="F547">
        <v>4</v>
      </c>
      <c r="G547">
        <v>99</v>
      </c>
      <c r="H547">
        <v>163</v>
      </c>
      <c r="I547">
        <v>2</v>
      </c>
      <c r="J547" s="15">
        <v>41550.951192129629</v>
      </c>
      <c r="K547" s="15">
        <v>41550.951944444445</v>
      </c>
      <c r="L547" t="s">
        <v>338</v>
      </c>
      <c r="O547" s="17">
        <v>1.0833333351183683</v>
      </c>
      <c r="P547">
        <v>1</v>
      </c>
      <c r="Q547" s="39">
        <v>41550</v>
      </c>
    </row>
    <row r="548" spans="1:17" x14ac:dyDescent="0.3">
      <c r="A548" t="s">
        <v>410</v>
      </c>
      <c r="B548" t="s">
        <v>191</v>
      </c>
      <c r="C548" t="s">
        <v>72</v>
      </c>
      <c r="D548" t="s">
        <v>142</v>
      </c>
      <c r="E548">
        <v>1</v>
      </c>
      <c r="F548">
        <v>1</v>
      </c>
      <c r="G548">
        <v>20</v>
      </c>
      <c r="H548">
        <v>32</v>
      </c>
      <c r="I548">
        <v>1</v>
      </c>
      <c r="J548" s="15">
        <v>41551.351747685185</v>
      </c>
      <c r="K548" s="15">
        <v>41551.352812500001</v>
      </c>
      <c r="L548" t="s">
        <v>338</v>
      </c>
      <c r="O548" s="17">
        <v>1.5333333355374634</v>
      </c>
      <c r="P548">
        <v>2</v>
      </c>
      <c r="Q548" s="39">
        <v>41551</v>
      </c>
    </row>
    <row r="549" spans="1:17" x14ac:dyDescent="0.3">
      <c r="A549" t="s">
        <v>707</v>
      </c>
      <c r="B549" t="s">
        <v>188</v>
      </c>
      <c r="C549" t="s">
        <v>88</v>
      </c>
      <c r="D549" t="s">
        <v>142</v>
      </c>
      <c r="E549">
        <v>2</v>
      </c>
      <c r="F549">
        <v>1</v>
      </c>
      <c r="G549">
        <v>37</v>
      </c>
      <c r="H549">
        <v>62</v>
      </c>
      <c r="I549">
        <v>1</v>
      </c>
      <c r="J549" s="15">
        <v>41551.352812500001</v>
      </c>
      <c r="K549" s="15">
        <v>41551.356226851851</v>
      </c>
      <c r="L549" t="s">
        <v>338</v>
      </c>
      <c r="O549" s="17">
        <v>4.9166666634846479</v>
      </c>
      <c r="P549">
        <v>1</v>
      </c>
      <c r="Q549" s="39">
        <v>41551</v>
      </c>
    </row>
    <row r="550" spans="1:17" x14ac:dyDescent="0.3">
      <c r="A550" t="s">
        <v>319</v>
      </c>
      <c r="B550" t="s">
        <v>191</v>
      </c>
      <c r="C550" t="s">
        <v>72</v>
      </c>
      <c r="D550" t="s">
        <v>142</v>
      </c>
      <c r="E550">
        <v>3</v>
      </c>
      <c r="F550">
        <v>1</v>
      </c>
      <c r="G550">
        <v>20</v>
      </c>
      <c r="H550">
        <v>33</v>
      </c>
      <c r="I550">
        <v>1</v>
      </c>
      <c r="J550" s="15">
        <v>41551.356226851851</v>
      </c>
      <c r="K550" s="15">
        <v>41551.35732638889</v>
      </c>
      <c r="L550" t="s">
        <v>338</v>
      </c>
      <c r="O550" s="17">
        <v>1.5833333367481828</v>
      </c>
      <c r="P550">
        <v>2</v>
      </c>
      <c r="Q550" s="39">
        <v>41551</v>
      </c>
    </row>
    <row r="551" spans="1:17" x14ac:dyDescent="0.3">
      <c r="A551" t="s">
        <v>263</v>
      </c>
      <c r="B551" t="s">
        <v>161</v>
      </c>
      <c r="C551" t="s">
        <v>97</v>
      </c>
      <c r="D551" t="s">
        <v>142</v>
      </c>
      <c r="E551">
        <v>4</v>
      </c>
      <c r="F551">
        <v>1</v>
      </c>
      <c r="G551">
        <v>15</v>
      </c>
      <c r="H551">
        <v>20</v>
      </c>
      <c r="I551">
        <v>0.5</v>
      </c>
      <c r="J551" s="15">
        <v>41551.35732638889</v>
      </c>
      <c r="K551" s="15">
        <v>41551.360231481478</v>
      </c>
      <c r="L551" t="s">
        <v>338</v>
      </c>
      <c r="O551" s="17">
        <v>4.1833333263639361</v>
      </c>
      <c r="P551">
        <v>2</v>
      </c>
      <c r="Q551" s="39">
        <v>41551</v>
      </c>
    </row>
    <row r="552" spans="1:17" x14ac:dyDescent="0.3">
      <c r="A552" t="s">
        <v>375</v>
      </c>
      <c r="B552" t="s">
        <v>186</v>
      </c>
      <c r="C552" t="s">
        <v>98</v>
      </c>
      <c r="D552" t="s">
        <v>142</v>
      </c>
      <c r="E552">
        <v>5</v>
      </c>
      <c r="F552">
        <v>1</v>
      </c>
      <c r="G552">
        <v>21</v>
      </c>
      <c r="H552">
        <v>46</v>
      </c>
      <c r="I552">
        <v>0.5</v>
      </c>
      <c r="J552" s="15">
        <v>41551.360231481478</v>
      </c>
      <c r="K552" s="15">
        <v>41551.365046296298</v>
      </c>
      <c r="L552" t="s">
        <v>338</v>
      </c>
      <c r="O552" s="17">
        <v>6.9333333405666053</v>
      </c>
      <c r="P552">
        <v>2</v>
      </c>
      <c r="Q552" s="39">
        <v>41551</v>
      </c>
    </row>
    <row r="553" spans="1:17" x14ac:dyDescent="0.3">
      <c r="A553" t="s">
        <v>377</v>
      </c>
      <c r="B553" t="s">
        <v>186</v>
      </c>
      <c r="C553" t="s">
        <v>98</v>
      </c>
      <c r="D553" t="s">
        <v>142</v>
      </c>
      <c r="E553">
        <v>6</v>
      </c>
      <c r="F553">
        <v>1</v>
      </c>
      <c r="G553">
        <v>21</v>
      </c>
      <c r="H553">
        <v>46</v>
      </c>
      <c r="I553">
        <v>0.5</v>
      </c>
      <c r="J553" s="15">
        <v>41551.365046296298</v>
      </c>
      <c r="K553" s="15">
        <v>41551.36509259259</v>
      </c>
      <c r="L553" t="s">
        <v>338</v>
      </c>
      <c r="O553" s="17">
        <v>6.666666129603982E-2</v>
      </c>
      <c r="P553">
        <v>2</v>
      </c>
      <c r="Q553" s="39">
        <v>41551</v>
      </c>
    </row>
    <row r="554" spans="1:17" x14ac:dyDescent="0.3">
      <c r="A554" t="s">
        <v>343</v>
      </c>
      <c r="B554" t="s">
        <v>341</v>
      </c>
      <c r="C554" t="s">
        <v>96</v>
      </c>
      <c r="D554" t="s">
        <v>175</v>
      </c>
      <c r="E554">
        <v>9</v>
      </c>
      <c r="F554">
        <v>0.5</v>
      </c>
      <c r="G554">
        <v>22</v>
      </c>
      <c r="H554">
        <v>36</v>
      </c>
      <c r="I554">
        <v>0.5</v>
      </c>
      <c r="J554" s="15">
        <v>41551.36509259259</v>
      </c>
      <c r="K554" s="15">
        <v>41551.365381944444</v>
      </c>
      <c r="L554" t="s">
        <v>338</v>
      </c>
      <c r="O554" s="17">
        <v>0.41666666977107525</v>
      </c>
      <c r="P554">
        <v>2</v>
      </c>
      <c r="Q554" s="39">
        <v>41551</v>
      </c>
    </row>
    <row r="555" spans="1:17" x14ac:dyDescent="0.3">
      <c r="A555" t="s">
        <v>708</v>
      </c>
      <c r="B555" t="s">
        <v>180</v>
      </c>
      <c r="C555" t="s">
        <v>133</v>
      </c>
      <c r="D555" t="s">
        <v>142</v>
      </c>
      <c r="E555">
        <v>16</v>
      </c>
      <c r="F555">
        <v>1</v>
      </c>
      <c r="G555">
        <v>10</v>
      </c>
      <c r="H555">
        <v>32</v>
      </c>
      <c r="I555">
        <v>1</v>
      </c>
      <c r="J555" s="15">
        <v>41551.365381944444</v>
      </c>
      <c r="K555" s="15">
        <v>41551.366400462961</v>
      </c>
      <c r="L555" t="s">
        <v>338</v>
      </c>
      <c r="O555" s="17">
        <v>1.4666666637640446</v>
      </c>
      <c r="P555">
        <v>1</v>
      </c>
      <c r="Q555" s="39">
        <v>41551</v>
      </c>
    </row>
    <row r="556" spans="1:17" x14ac:dyDescent="0.3">
      <c r="A556" t="s">
        <v>390</v>
      </c>
      <c r="B556" t="s">
        <v>190</v>
      </c>
      <c r="C556" t="s">
        <v>87</v>
      </c>
      <c r="D556" t="s">
        <v>142</v>
      </c>
      <c r="E556">
        <v>17</v>
      </c>
      <c r="F556">
        <v>1</v>
      </c>
      <c r="G556">
        <v>41</v>
      </c>
      <c r="H556">
        <v>66</v>
      </c>
      <c r="I556">
        <v>1</v>
      </c>
      <c r="J556" s="15">
        <v>41551.366400462961</v>
      </c>
      <c r="K556" s="15">
        <v>41551.36922453704</v>
      </c>
      <c r="L556" t="s">
        <v>338</v>
      </c>
      <c r="O556" s="17">
        <v>4.0666666743345559</v>
      </c>
      <c r="P556">
        <v>2</v>
      </c>
      <c r="Q556" s="39">
        <v>41551</v>
      </c>
    </row>
    <row r="557" spans="1:17" x14ac:dyDescent="0.3">
      <c r="A557" t="s">
        <v>709</v>
      </c>
      <c r="B557" t="s">
        <v>184</v>
      </c>
      <c r="C557" t="s">
        <v>94</v>
      </c>
      <c r="D557" t="s">
        <v>142</v>
      </c>
      <c r="E557">
        <v>18</v>
      </c>
      <c r="F557">
        <v>1</v>
      </c>
      <c r="G557">
        <v>97</v>
      </c>
      <c r="H557">
        <v>162</v>
      </c>
      <c r="I557">
        <v>0</v>
      </c>
      <c r="J557" s="15">
        <v>41551.36922453704</v>
      </c>
      <c r="K557" s="15">
        <v>41551.370300925926</v>
      </c>
      <c r="L557" t="s">
        <v>338</v>
      </c>
      <c r="O557" s="17">
        <v>1.5499999956227839</v>
      </c>
      <c r="P557">
        <v>1</v>
      </c>
      <c r="Q557" s="39">
        <v>41551</v>
      </c>
    </row>
    <row r="558" spans="1:17" x14ac:dyDescent="0.3">
      <c r="A558" t="s">
        <v>460</v>
      </c>
      <c r="B558" t="s">
        <v>158</v>
      </c>
      <c r="C558" t="s">
        <v>18</v>
      </c>
      <c r="D558" t="s">
        <v>142</v>
      </c>
      <c r="E558">
        <v>19</v>
      </c>
      <c r="F558">
        <v>1</v>
      </c>
      <c r="G558">
        <v>29</v>
      </c>
      <c r="H558">
        <v>41</v>
      </c>
      <c r="I558">
        <v>1</v>
      </c>
      <c r="J558" s="15">
        <v>41551.370300925926</v>
      </c>
      <c r="K558" s="15">
        <v>41551.370752314811</v>
      </c>
      <c r="L558" t="s">
        <v>338</v>
      </c>
      <c r="O558" s="17">
        <v>0.64999999478459358</v>
      </c>
      <c r="P558">
        <v>2</v>
      </c>
      <c r="Q558" s="39">
        <v>41551</v>
      </c>
    </row>
    <row r="559" spans="1:17" x14ac:dyDescent="0.3">
      <c r="A559" t="s">
        <v>348</v>
      </c>
      <c r="B559" t="s">
        <v>333</v>
      </c>
      <c r="C559" t="s">
        <v>99</v>
      </c>
      <c r="D559" t="s">
        <v>142</v>
      </c>
      <c r="E559">
        <v>20</v>
      </c>
      <c r="F559">
        <v>1</v>
      </c>
      <c r="G559">
        <v>21</v>
      </c>
      <c r="H559">
        <v>33</v>
      </c>
      <c r="I559">
        <v>1</v>
      </c>
      <c r="J559" s="15">
        <v>41551.370752314811</v>
      </c>
      <c r="K559" s="15">
        <v>41551.372175925928</v>
      </c>
      <c r="L559" t="s">
        <v>338</v>
      </c>
      <c r="O559" s="17">
        <v>2.0500000077299774</v>
      </c>
      <c r="P559">
        <v>2</v>
      </c>
      <c r="Q559" s="39">
        <v>41551</v>
      </c>
    </row>
    <row r="560" spans="1:17" x14ac:dyDescent="0.3">
      <c r="A560" t="s">
        <v>388</v>
      </c>
      <c r="B560" t="s">
        <v>341</v>
      </c>
      <c r="C560" t="s">
        <v>96</v>
      </c>
      <c r="D560" t="s">
        <v>175</v>
      </c>
      <c r="E560">
        <v>27</v>
      </c>
      <c r="F560">
        <v>1</v>
      </c>
      <c r="G560">
        <v>23</v>
      </c>
      <c r="H560">
        <v>37</v>
      </c>
      <c r="I560">
        <v>1</v>
      </c>
      <c r="J560" s="15">
        <v>41551.372175925928</v>
      </c>
      <c r="K560" s="15">
        <v>41551.376122685186</v>
      </c>
      <c r="L560" t="s">
        <v>338</v>
      </c>
      <c r="O560" s="17">
        <v>5.6833333312533796</v>
      </c>
      <c r="P560">
        <v>2</v>
      </c>
      <c r="Q560" s="39">
        <v>41551</v>
      </c>
    </row>
    <row r="561" spans="1:17" x14ac:dyDescent="0.3">
      <c r="A561" t="s">
        <v>536</v>
      </c>
      <c r="B561" t="s">
        <v>188</v>
      </c>
      <c r="C561" t="s">
        <v>88</v>
      </c>
      <c r="D561" t="s">
        <v>175</v>
      </c>
      <c r="E561">
        <v>28</v>
      </c>
      <c r="F561">
        <v>1</v>
      </c>
      <c r="G561">
        <v>37</v>
      </c>
      <c r="H561">
        <v>62</v>
      </c>
      <c r="I561">
        <v>1</v>
      </c>
      <c r="J561" s="15">
        <v>41551.376122685186</v>
      </c>
      <c r="K561" s="15">
        <v>41551.379027777781</v>
      </c>
      <c r="L561" t="s">
        <v>338</v>
      </c>
      <c r="O561" s="17">
        <v>4.183333336841315</v>
      </c>
      <c r="P561">
        <v>2</v>
      </c>
      <c r="Q561" s="39">
        <v>41551</v>
      </c>
    </row>
    <row r="562" spans="1:17" x14ac:dyDescent="0.3">
      <c r="A562" t="s">
        <v>436</v>
      </c>
      <c r="B562" t="s">
        <v>183</v>
      </c>
      <c r="C562" t="s">
        <v>83</v>
      </c>
      <c r="D562" t="s">
        <v>142</v>
      </c>
      <c r="E562">
        <v>32</v>
      </c>
      <c r="F562">
        <v>3</v>
      </c>
      <c r="G562">
        <v>48</v>
      </c>
      <c r="H562">
        <v>65</v>
      </c>
      <c r="I562">
        <v>2</v>
      </c>
      <c r="J562" s="15">
        <v>41551.379027777781</v>
      </c>
      <c r="K562" s="15">
        <v>41551.380659722221</v>
      </c>
      <c r="L562" t="s">
        <v>338</v>
      </c>
      <c r="O562" s="17">
        <v>2.3499999940395355</v>
      </c>
      <c r="P562">
        <v>2</v>
      </c>
      <c r="Q562" s="39">
        <v>41551</v>
      </c>
    </row>
    <row r="563" spans="1:17" x14ac:dyDescent="0.3">
      <c r="A563" t="s">
        <v>310</v>
      </c>
      <c r="B563" t="s">
        <v>181</v>
      </c>
      <c r="C563" t="s">
        <v>91</v>
      </c>
      <c r="D563" t="s">
        <v>142</v>
      </c>
      <c r="E563">
        <v>34</v>
      </c>
      <c r="F563">
        <v>2</v>
      </c>
      <c r="G563">
        <v>50</v>
      </c>
      <c r="H563">
        <v>87</v>
      </c>
      <c r="I563">
        <v>1</v>
      </c>
      <c r="J563" s="15">
        <v>41551.380659722221</v>
      </c>
      <c r="K563" s="15">
        <v>41551.383032407408</v>
      </c>
      <c r="L563" t="s">
        <v>338</v>
      </c>
      <c r="O563" s="17">
        <v>3.4166666690725833</v>
      </c>
      <c r="P563">
        <v>2</v>
      </c>
      <c r="Q563" s="39">
        <v>41551</v>
      </c>
    </row>
    <row r="564" spans="1:17" x14ac:dyDescent="0.3">
      <c r="A564" t="s">
        <v>710</v>
      </c>
      <c r="B564" t="s">
        <v>180</v>
      </c>
      <c r="C564" t="s">
        <v>133</v>
      </c>
      <c r="D564" t="s">
        <v>142</v>
      </c>
      <c r="E564">
        <v>35</v>
      </c>
      <c r="F564">
        <v>1.5</v>
      </c>
      <c r="G564">
        <v>10</v>
      </c>
      <c r="H564">
        <v>33</v>
      </c>
      <c r="I564">
        <v>1</v>
      </c>
      <c r="J564" s="15">
        <v>41551.383032407408</v>
      </c>
      <c r="K564" s="15">
        <v>41551.383692129632</v>
      </c>
      <c r="L564" t="s">
        <v>338</v>
      </c>
      <c r="O564" s="17">
        <v>0.95000000204890966</v>
      </c>
      <c r="P564">
        <v>1</v>
      </c>
      <c r="Q564" s="39">
        <v>41551</v>
      </c>
    </row>
    <row r="565" spans="1:17" x14ac:dyDescent="0.3">
      <c r="A565" t="s">
        <v>461</v>
      </c>
      <c r="B565" t="s">
        <v>238</v>
      </c>
      <c r="C565" t="s">
        <v>89</v>
      </c>
      <c r="D565" t="s">
        <v>142</v>
      </c>
      <c r="E565">
        <v>37</v>
      </c>
      <c r="F565">
        <v>3</v>
      </c>
      <c r="G565">
        <v>57</v>
      </c>
      <c r="H565">
        <v>94</v>
      </c>
      <c r="I565">
        <v>3</v>
      </c>
      <c r="J565" s="15">
        <v>41551.383692129632</v>
      </c>
      <c r="K565" s="15">
        <v>41551.384421296294</v>
      </c>
      <c r="L565" t="s">
        <v>338</v>
      </c>
      <c r="O565" s="17">
        <v>1.0499999939929694</v>
      </c>
      <c r="P565">
        <v>2</v>
      </c>
      <c r="Q565" s="39">
        <v>41551</v>
      </c>
    </row>
    <row r="566" spans="1:17" x14ac:dyDescent="0.3">
      <c r="A566" t="s">
        <v>371</v>
      </c>
      <c r="B566" t="s">
        <v>341</v>
      </c>
      <c r="C566" t="s">
        <v>96</v>
      </c>
      <c r="D566" t="s">
        <v>142</v>
      </c>
      <c r="E566">
        <v>38</v>
      </c>
      <c r="F566">
        <v>4</v>
      </c>
      <c r="G566">
        <v>23</v>
      </c>
      <c r="H566">
        <v>37</v>
      </c>
      <c r="I566">
        <v>3</v>
      </c>
      <c r="J566" s="15">
        <v>41551.384421296294</v>
      </c>
      <c r="K566" s="15">
        <v>41551.393182870372</v>
      </c>
      <c r="L566" t="s">
        <v>338</v>
      </c>
      <c r="O566" s="17">
        <v>12.616666671819985</v>
      </c>
      <c r="P566">
        <v>2</v>
      </c>
      <c r="Q566" s="39">
        <v>41551</v>
      </c>
    </row>
    <row r="567" spans="1:17" x14ac:dyDescent="0.3">
      <c r="A567" t="s">
        <v>476</v>
      </c>
      <c r="B567" t="s">
        <v>184</v>
      </c>
      <c r="C567" t="s">
        <v>94</v>
      </c>
      <c r="D567" t="s">
        <v>142</v>
      </c>
      <c r="E567">
        <v>39</v>
      </c>
      <c r="F567">
        <v>2</v>
      </c>
      <c r="G567">
        <v>97</v>
      </c>
      <c r="H567">
        <v>162</v>
      </c>
      <c r="I567">
        <v>2</v>
      </c>
      <c r="J567" s="15">
        <v>41551.393182870372</v>
      </c>
      <c r="K567" s="15">
        <v>41551.395590277774</v>
      </c>
      <c r="L567" t="s">
        <v>338</v>
      </c>
      <c r="O567" s="17">
        <v>3.4666666598059237</v>
      </c>
      <c r="P567">
        <v>2</v>
      </c>
      <c r="Q567" s="39">
        <v>41551</v>
      </c>
    </row>
    <row r="568" spans="1:17" x14ac:dyDescent="0.3">
      <c r="A568" t="s">
        <v>303</v>
      </c>
      <c r="B568" t="s">
        <v>161</v>
      </c>
      <c r="C568" t="s">
        <v>97</v>
      </c>
      <c r="D568" t="s">
        <v>142</v>
      </c>
      <c r="E568">
        <v>40</v>
      </c>
      <c r="F568">
        <v>3</v>
      </c>
      <c r="G568">
        <v>15</v>
      </c>
      <c r="H568">
        <v>21</v>
      </c>
      <c r="I568">
        <v>1.75</v>
      </c>
      <c r="J568" s="15">
        <v>41551.395590277774</v>
      </c>
      <c r="K568" s="15">
        <v>41551.398194444446</v>
      </c>
      <c r="L568" t="s">
        <v>338</v>
      </c>
      <c r="O568" s="17">
        <v>3.7500000069849193</v>
      </c>
      <c r="P568">
        <v>2</v>
      </c>
      <c r="Q568" s="39">
        <v>41551</v>
      </c>
    </row>
    <row r="569" spans="1:17" x14ac:dyDescent="0.3">
      <c r="A569" t="s">
        <v>711</v>
      </c>
      <c r="B569" t="s">
        <v>190</v>
      </c>
      <c r="C569" t="s">
        <v>87</v>
      </c>
      <c r="D569" t="s">
        <v>142</v>
      </c>
      <c r="E569">
        <v>41</v>
      </c>
      <c r="F569">
        <v>2</v>
      </c>
      <c r="G569">
        <v>42</v>
      </c>
      <c r="H569">
        <v>67</v>
      </c>
      <c r="I569">
        <v>1.5</v>
      </c>
      <c r="J569" s="15">
        <v>41551.398194444446</v>
      </c>
      <c r="K569" s="15">
        <v>41551.409212962964</v>
      </c>
      <c r="L569" t="s">
        <v>338</v>
      </c>
      <c r="O569" s="17">
        <v>15.866666666697711</v>
      </c>
      <c r="P569">
        <v>1</v>
      </c>
      <c r="Q569" s="39">
        <v>41551</v>
      </c>
    </row>
    <row r="570" spans="1:17" x14ac:dyDescent="0.3">
      <c r="A570" t="s">
        <v>233</v>
      </c>
      <c r="B570" t="s">
        <v>189</v>
      </c>
      <c r="C570" t="s">
        <v>102</v>
      </c>
      <c r="D570" t="s">
        <v>142</v>
      </c>
      <c r="E570">
        <v>42</v>
      </c>
      <c r="F570">
        <v>3</v>
      </c>
      <c r="G570">
        <v>19</v>
      </c>
      <c r="H570">
        <v>37</v>
      </c>
      <c r="I570">
        <v>2.75</v>
      </c>
      <c r="J570" s="15">
        <v>41551.409212962964</v>
      </c>
      <c r="K570" s="15">
        <v>41551.41474537037</v>
      </c>
      <c r="L570" t="s">
        <v>338</v>
      </c>
      <c r="O570" s="17">
        <v>7.9666666639968753</v>
      </c>
      <c r="P570">
        <v>2</v>
      </c>
      <c r="Q570" s="39">
        <v>41551</v>
      </c>
    </row>
    <row r="571" spans="1:17" x14ac:dyDescent="0.3">
      <c r="A571" t="s">
        <v>235</v>
      </c>
      <c r="B571" t="s">
        <v>191</v>
      </c>
      <c r="C571" t="s">
        <v>72</v>
      </c>
      <c r="D571" t="s">
        <v>142</v>
      </c>
      <c r="E571">
        <v>43</v>
      </c>
      <c r="F571">
        <v>2</v>
      </c>
      <c r="G571">
        <v>21</v>
      </c>
      <c r="H571">
        <v>33</v>
      </c>
      <c r="I571">
        <v>1.25</v>
      </c>
      <c r="J571" s="15">
        <v>41551.41474537037</v>
      </c>
      <c r="K571" s="15">
        <v>41551.415416666663</v>
      </c>
      <c r="L571" t="s">
        <v>338</v>
      </c>
      <c r="O571" s="17">
        <v>0.96666666213423014</v>
      </c>
      <c r="P571">
        <v>2</v>
      </c>
      <c r="Q571" s="39">
        <v>41551</v>
      </c>
    </row>
    <row r="572" spans="1:17" x14ac:dyDescent="0.3">
      <c r="A572" t="s">
        <v>433</v>
      </c>
      <c r="B572" t="s">
        <v>186</v>
      </c>
      <c r="C572" t="s">
        <v>98</v>
      </c>
      <c r="D572" t="s">
        <v>142</v>
      </c>
      <c r="E572">
        <v>44</v>
      </c>
      <c r="F572">
        <v>2</v>
      </c>
      <c r="G572">
        <v>21</v>
      </c>
      <c r="H572">
        <v>47</v>
      </c>
      <c r="I572">
        <v>0.5</v>
      </c>
      <c r="J572" s="15">
        <v>41551.415416666663</v>
      </c>
      <c r="K572" s="15">
        <v>41551.417349537034</v>
      </c>
      <c r="L572" t="s">
        <v>338</v>
      </c>
      <c r="O572" s="17">
        <v>2.7833333343733102</v>
      </c>
      <c r="P572">
        <v>2</v>
      </c>
      <c r="Q572" s="39">
        <v>41551</v>
      </c>
    </row>
    <row r="573" spans="1:17" x14ac:dyDescent="0.3">
      <c r="A573" t="s">
        <v>260</v>
      </c>
      <c r="B573" t="s">
        <v>187</v>
      </c>
      <c r="C573" t="s">
        <v>95</v>
      </c>
      <c r="D573" t="s">
        <v>142</v>
      </c>
      <c r="E573">
        <v>45</v>
      </c>
      <c r="F573">
        <v>3</v>
      </c>
      <c r="G573">
        <v>52</v>
      </c>
      <c r="H573">
        <v>84</v>
      </c>
      <c r="I573">
        <v>2</v>
      </c>
      <c r="J573" s="15">
        <v>41551.417349537034</v>
      </c>
      <c r="K573" s="15">
        <v>41551.419386574074</v>
      </c>
      <c r="L573" t="s">
        <v>338</v>
      </c>
      <c r="O573" s="17">
        <v>2.9333333380054682</v>
      </c>
      <c r="P573">
        <v>2</v>
      </c>
      <c r="Q573" s="39">
        <v>41551</v>
      </c>
    </row>
    <row r="574" spans="1:17" x14ac:dyDescent="0.3">
      <c r="A574" t="s">
        <v>430</v>
      </c>
      <c r="B574" t="s">
        <v>186</v>
      </c>
      <c r="C574" t="s">
        <v>98</v>
      </c>
      <c r="D574" t="s">
        <v>142</v>
      </c>
      <c r="E574">
        <v>48</v>
      </c>
      <c r="F574">
        <v>3</v>
      </c>
      <c r="G574">
        <v>22</v>
      </c>
      <c r="H574">
        <v>48</v>
      </c>
      <c r="I574">
        <v>3</v>
      </c>
      <c r="J574" s="15">
        <v>41551.419386574074</v>
      </c>
      <c r="K574" s="15">
        <v>41551.424004629633</v>
      </c>
      <c r="L574" t="s">
        <v>338</v>
      </c>
      <c r="O574" s="17">
        <v>6.6500000038649887</v>
      </c>
      <c r="P574">
        <v>2</v>
      </c>
      <c r="Q574" s="39">
        <v>41551</v>
      </c>
    </row>
    <row r="575" spans="1:17" x14ac:dyDescent="0.3">
      <c r="A575" t="s">
        <v>356</v>
      </c>
      <c r="B575" t="s">
        <v>184</v>
      </c>
      <c r="C575" t="s">
        <v>94</v>
      </c>
      <c r="D575" t="s">
        <v>175</v>
      </c>
      <c r="E575">
        <v>50</v>
      </c>
      <c r="F575">
        <v>2</v>
      </c>
      <c r="G575">
        <v>97</v>
      </c>
      <c r="H575">
        <v>161</v>
      </c>
      <c r="I575">
        <v>0.5</v>
      </c>
      <c r="J575" s="15">
        <v>41551.424004629633</v>
      </c>
      <c r="K575" s="15">
        <v>41551.42596064815</v>
      </c>
      <c r="L575" t="s">
        <v>338</v>
      </c>
      <c r="O575" s="17">
        <v>2.8166666650213301</v>
      </c>
      <c r="P575">
        <v>2</v>
      </c>
      <c r="Q575" s="39">
        <v>41551</v>
      </c>
    </row>
    <row r="576" spans="1:17" x14ac:dyDescent="0.3">
      <c r="A576" t="s">
        <v>712</v>
      </c>
      <c r="B576" t="s">
        <v>197</v>
      </c>
      <c r="C576" t="s">
        <v>19</v>
      </c>
      <c r="D576" t="s">
        <v>142</v>
      </c>
      <c r="E576">
        <v>71</v>
      </c>
      <c r="F576">
        <v>3</v>
      </c>
      <c r="G576">
        <v>15</v>
      </c>
      <c r="H576">
        <v>26</v>
      </c>
      <c r="I576">
        <v>0</v>
      </c>
      <c r="J576" s="15">
        <v>41551.42596064815</v>
      </c>
      <c r="K576" s="15">
        <v>41551.427685185183</v>
      </c>
      <c r="L576" t="s">
        <v>338</v>
      </c>
      <c r="O576" s="17">
        <v>2.4833333271089941</v>
      </c>
      <c r="P576">
        <v>1</v>
      </c>
      <c r="Q576" s="39">
        <v>41551</v>
      </c>
    </row>
    <row r="577" spans="1:17" x14ac:dyDescent="0.3">
      <c r="A577" t="s">
        <v>713</v>
      </c>
      <c r="B577" t="s">
        <v>157</v>
      </c>
      <c r="C577" t="s">
        <v>84</v>
      </c>
      <c r="D577" t="s">
        <v>136</v>
      </c>
      <c r="E577">
        <v>5</v>
      </c>
      <c r="F577">
        <v>3</v>
      </c>
      <c r="G577">
        <v>34</v>
      </c>
      <c r="H577">
        <v>42</v>
      </c>
      <c r="I577">
        <v>0</v>
      </c>
      <c r="J577" s="15">
        <v>41554.734039351853</v>
      </c>
      <c r="K577" s="15">
        <v>41554.757013888891</v>
      </c>
      <c r="O577" s="17">
        <v>33.083333334652707</v>
      </c>
      <c r="P577">
        <v>1</v>
      </c>
      <c r="Q577" s="39">
        <v>41554</v>
      </c>
    </row>
    <row r="578" spans="1:17" x14ac:dyDescent="0.3">
      <c r="A578" t="s">
        <v>714</v>
      </c>
      <c r="B578" t="s">
        <v>197</v>
      </c>
      <c r="C578" t="s">
        <v>19</v>
      </c>
      <c r="D578" t="s">
        <v>141</v>
      </c>
      <c r="E578">
        <v>37</v>
      </c>
      <c r="F578">
        <v>4</v>
      </c>
      <c r="G578">
        <v>16</v>
      </c>
      <c r="H578">
        <v>27</v>
      </c>
      <c r="I578">
        <v>2</v>
      </c>
      <c r="J578" s="15">
        <v>41554.757013888891</v>
      </c>
      <c r="K578" s="15">
        <v>41554.777870370373</v>
      </c>
      <c r="O578" s="17">
        <v>30.03333333414048</v>
      </c>
      <c r="P578">
        <v>1</v>
      </c>
      <c r="Q578" s="39">
        <v>41554</v>
      </c>
    </row>
    <row r="579" spans="1:17" x14ac:dyDescent="0.3">
      <c r="A579" t="s">
        <v>715</v>
      </c>
      <c r="B579" t="s">
        <v>157</v>
      </c>
      <c r="C579" t="s">
        <v>84</v>
      </c>
      <c r="D579" t="s">
        <v>136</v>
      </c>
      <c r="E579">
        <v>1</v>
      </c>
      <c r="F579">
        <v>5</v>
      </c>
      <c r="G579">
        <v>33</v>
      </c>
      <c r="H579">
        <v>38</v>
      </c>
      <c r="I579">
        <v>2.5</v>
      </c>
      <c r="J579" s="15">
        <v>41554.777870370373</v>
      </c>
      <c r="K579" s="15">
        <v>41554.799988425926</v>
      </c>
      <c r="O579" s="17">
        <v>31.849999995902181</v>
      </c>
      <c r="P579">
        <v>1</v>
      </c>
      <c r="Q579" s="39">
        <v>41554</v>
      </c>
    </row>
    <row r="580" spans="1:17" x14ac:dyDescent="0.3">
      <c r="A580" t="s">
        <v>716</v>
      </c>
      <c r="B580" t="s">
        <v>157</v>
      </c>
      <c r="C580" t="s">
        <v>84</v>
      </c>
      <c r="D580" t="s">
        <v>136</v>
      </c>
      <c r="E580">
        <v>11</v>
      </c>
      <c r="F580">
        <v>2.5</v>
      </c>
      <c r="G580">
        <v>36</v>
      </c>
      <c r="H580">
        <v>47</v>
      </c>
      <c r="I580">
        <v>1.25</v>
      </c>
      <c r="J580" s="15">
        <v>41554.806215277778</v>
      </c>
      <c r="K580" s="15">
        <v>41554.820601851854</v>
      </c>
      <c r="O580" s="17">
        <v>20.716666668886319</v>
      </c>
      <c r="P580">
        <v>1</v>
      </c>
      <c r="Q580" s="39">
        <v>41554</v>
      </c>
    </row>
    <row r="581" spans="1:17" x14ac:dyDescent="0.3">
      <c r="A581" t="s">
        <v>650</v>
      </c>
      <c r="B581" t="s">
        <v>197</v>
      </c>
      <c r="C581" t="s">
        <v>19</v>
      </c>
      <c r="D581" t="s">
        <v>151</v>
      </c>
      <c r="E581">
        <v>23</v>
      </c>
      <c r="F581">
        <v>1.5</v>
      </c>
      <c r="G581">
        <v>13</v>
      </c>
      <c r="H581">
        <v>24</v>
      </c>
      <c r="I581">
        <v>1</v>
      </c>
      <c r="J581" s="15">
        <v>41554.820601851854</v>
      </c>
      <c r="K581" s="15">
        <v>41554.82340277778</v>
      </c>
      <c r="O581" s="17">
        <v>4.033333333209157</v>
      </c>
      <c r="P581">
        <v>3</v>
      </c>
      <c r="Q581" s="39">
        <v>41554</v>
      </c>
    </row>
    <row r="582" spans="1:17" x14ac:dyDescent="0.3">
      <c r="A582" t="s">
        <v>717</v>
      </c>
      <c r="B582" t="s">
        <v>157</v>
      </c>
      <c r="C582" t="s">
        <v>84</v>
      </c>
      <c r="D582" t="s">
        <v>136</v>
      </c>
      <c r="E582">
        <v>7</v>
      </c>
      <c r="F582">
        <v>4</v>
      </c>
      <c r="G582">
        <v>34</v>
      </c>
      <c r="H582">
        <v>45</v>
      </c>
      <c r="I582">
        <v>2</v>
      </c>
      <c r="J582" s="15">
        <v>41554.844444444447</v>
      </c>
      <c r="K582" s="15">
        <v>41554.852719907409</v>
      </c>
      <c r="O582" s="17">
        <v>11.916666665347293</v>
      </c>
      <c r="P582">
        <v>1</v>
      </c>
      <c r="Q582" s="39">
        <v>41554</v>
      </c>
    </row>
    <row r="583" spans="1:17" x14ac:dyDescent="0.3">
      <c r="A583" t="s">
        <v>718</v>
      </c>
      <c r="B583" t="s">
        <v>157</v>
      </c>
      <c r="C583" t="s">
        <v>84</v>
      </c>
      <c r="D583" t="s">
        <v>136</v>
      </c>
      <c r="E583">
        <v>13</v>
      </c>
      <c r="F583">
        <v>3</v>
      </c>
      <c r="G583">
        <v>36</v>
      </c>
      <c r="H583">
        <v>50</v>
      </c>
      <c r="I583">
        <v>0</v>
      </c>
      <c r="J583" s="15">
        <v>41554.852719907409</v>
      </c>
      <c r="K583" s="15">
        <v>41554.863888888889</v>
      </c>
      <c r="O583" s="17">
        <v>16.083333331625909</v>
      </c>
      <c r="P583">
        <v>1</v>
      </c>
      <c r="Q583" s="39">
        <v>41554</v>
      </c>
    </row>
    <row r="584" spans="1:17" x14ac:dyDescent="0.3">
      <c r="A584" t="s">
        <v>716</v>
      </c>
      <c r="B584" t="s">
        <v>157</v>
      </c>
      <c r="C584" t="s">
        <v>84</v>
      </c>
      <c r="D584" t="s">
        <v>136</v>
      </c>
      <c r="E584">
        <v>11</v>
      </c>
      <c r="F584">
        <v>2.5</v>
      </c>
      <c r="G584">
        <v>36</v>
      </c>
      <c r="H584">
        <v>47</v>
      </c>
      <c r="I584">
        <v>1</v>
      </c>
      <c r="J584" s="15">
        <v>41555.290694444448</v>
      </c>
      <c r="K584" s="15">
        <v>41555.301087962966</v>
      </c>
      <c r="O584" s="17">
        <v>14.96666666585952</v>
      </c>
      <c r="P584">
        <v>2</v>
      </c>
      <c r="Q584" s="39">
        <v>41555</v>
      </c>
    </row>
    <row r="585" spans="1:17" x14ac:dyDescent="0.3">
      <c r="A585" t="s">
        <v>719</v>
      </c>
      <c r="B585" t="s">
        <v>195</v>
      </c>
      <c r="C585" t="s">
        <v>84</v>
      </c>
      <c r="D585" t="s">
        <v>196</v>
      </c>
      <c r="E585">
        <v>3</v>
      </c>
      <c r="F585">
        <v>2</v>
      </c>
      <c r="G585">
        <v>3</v>
      </c>
      <c r="H585">
        <v>5</v>
      </c>
      <c r="I585">
        <v>0</v>
      </c>
      <c r="J585" s="15">
        <v>41555.301087962966</v>
      </c>
      <c r="K585" s="15">
        <v>41555.308506944442</v>
      </c>
      <c r="O585" s="17">
        <v>10.683333326596767</v>
      </c>
      <c r="P585">
        <v>1</v>
      </c>
      <c r="Q585" s="39">
        <v>41555</v>
      </c>
    </row>
    <row r="586" spans="1:17" x14ac:dyDescent="0.3">
      <c r="A586" t="s">
        <v>720</v>
      </c>
      <c r="B586" t="s">
        <v>157</v>
      </c>
      <c r="C586" t="s">
        <v>84</v>
      </c>
      <c r="D586" t="s">
        <v>136</v>
      </c>
      <c r="E586">
        <v>17</v>
      </c>
      <c r="F586">
        <v>1.5</v>
      </c>
      <c r="G586">
        <v>37</v>
      </c>
      <c r="H586">
        <v>54</v>
      </c>
      <c r="I586">
        <v>1.5</v>
      </c>
      <c r="J586" s="15">
        <v>41555.308506944442</v>
      </c>
      <c r="K586" s="15">
        <v>41555.32236111111</v>
      </c>
      <c r="O586" s="17">
        <v>19.950000001117587</v>
      </c>
      <c r="P586">
        <v>1</v>
      </c>
      <c r="Q586" s="39">
        <v>41555</v>
      </c>
    </row>
    <row r="587" spans="1:17" x14ac:dyDescent="0.3">
      <c r="A587" t="s">
        <v>688</v>
      </c>
      <c r="B587" t="s">
        <v>197</v>
      </c>
      <c r="C587" t="s">
        <v>19</v>
      </c>
      <c r="D587" t="s">
        <v>153</v>
      </c>
      <c r="E587">
        <v>31</v>
      </c>
      <c r="F587">
        <v>3.25</v>
      </c>
      <c r="G587">
        <v>12</v>
      </c>
      <c r="H587">
        <v>24</v>
      </c>
      <c r="I587">
        <v>3.25</v>
      </c>
      <c r="J587" s="15">
        <v>41555.370706018519</v>
      </c>
      <c r="K587" s="15">
        <v>41555.371840277781</v>
      </c>
      <c r="O587" s="17">
        <v>1.6333333379589021</v>
      </c>
      <c r="P587">
        <v>2</v>
      </c>
      <c r="Q587" s="39">
        <v>41555</v>
      </c>
    </row>
    <row r="588" spans="1:17" x14ac:dyDescent="0.3">
      <c r="A588" t="s">
        <v>715</v>
      </c>
      <c r="B588" t="s">
        <v>157</v>
      </c>
      <c r="C588" t="s">
        <v>84</v>
      </c>
      <c r="D588" t="s">
        <v>136</v>
      </c>
      <c r="E588">
        <v>1</v>
      </c>
      <c r="F588">
        <v>5</v>
      </c>
      <c r="G588">
        <v>33</v>
      </c>
      <c r="H588">
        <v>38</v>
      </c>
      <c r="I588">
        <v>4</v>
      </c>
      <c r="J588" s="15">
        <v>41555.371840277781</v>
      </c>
      <c r="K588" s="15">
        <v>41555.382847222223</v>
      </c>
      <c r="O588" s="17">
        <v>15.849999996135011</v>
      </c>
      <c r="P588">
        <v>2</v>
      </c>
      <c r="Q588" s="39">
        <v>41555</v>
      </c>
    </row>
    <row r="589" spans="1:17" x14ac:dyDescent="0.3">
      <c r="A589" t="s">
        <v>690</v>
      </c>
      <c r="B589" t="s">
        <v>197</v>
      </c>
      <c r="C589" t="s">
        <v>19</v>
      </c>
      <c r="D589" t="s">
        <v>153</v>
      </c>
      <c r="E589">
        <v>39</v>
      </c>
      <c r="F589">
        <v>2.5</v>
      </c>
      <c r="G589">
        <v>11</v>
      </c>
      <c r="H589">
        <v>23</v>
      </c>
      <c r="I589">
        <v>1</v>
      </c>
      <c r="J589" s="15">
        <v>41555.383067129631</v>
      </c>
      <c r="K589" s="15">
        <v>41555.389513888891</v>
      </c>
      <c r="O589" s="17">
        <v>9.2833333346061409</v>
      </c>
      <c r="P589">
        <v>2</v>
      </c>
      <c r="Q589" s="39">
        <v>41555</v>
      </c>
    </row>
    <row r="590" spans="1:17" x14ac:dyDescent="0.3">
      <c r="A590" t="s">
        <v>717</v>
      </c>
      <c r="B590" t="s">
        <v>157</v>
      </c>
      <c r="C590" t="s">
        <v>84</v>
      </c>
      <c r="D590" t="s">
        <v>136</v>
      </c>
      <c r="E590">
        <v>7</v>
      </c>
      <c r="F590">
        <v>4</v>
      </c>
      <c r="G590">
        <v>34</v>
      </c>
      <c r="H590">
        <v>45</v>
      </c>
      <c r="I590">
        <v>2</v>
      </c>
      <c r="J590" s="15">
        <v>41555.389513888891</v>
      </c>
      <c r="K590" s="15">
        <v>41555.389745370368</v>
      </c>
      <c r="O590" s="17">
        <v>0.33333332743495703</v>
      </c>
      <c r="P590">
        <v>2</v>
      </c>
      <c r="Q590" s="39">
        <v>41555</v>
      </c>
    </row>
    <row r="591" spans="1:17" x14ac:dyDescent="0.3">
      <c r="A591" t="s">
        <v>365</v>
      </c>
      <c r="B591" t="s">
        <v>341</v>
      </c>
      <c r="C591" t="s">
        <v>96</v>
      </c>
      <c r="D591" t="s">
        <v>144</v>
      </c>
      <c r="E591">
        <v>1</v>
      </c>
      <c r="F591">
        <v>1</v>
      </c>
      <c r="G591">
        <v>24</v>
      </c>
      <c r="H591">
        <v>38</v>
      </c>
      <c r="I591">
        <v>1</v>
      </c>
      <c r="J591" s="15">
        <v>41555.678784722222</v>
      </c>
      <c r="K591" s="15"/>
      <c r="L591" t="s">
        <v>338</v>
      </c>
      <c r="O591" s="17">
        <v>2.4</v>
      </c>
      <c r="P591">
        <v>3</v>
      </c>
      <c r="Q591" s="39">
        <v>41555</v>
      </c>
    </row>
    <row r="592" spans="1:17" x14ac:dyDescent="0.3">
      <c r="A592" t="s">
        <v>455</v>
      </c>
      <c r="B592" t="s">
        <v>189</v>
      </c>
      <c r="C592" t="s">
        <v>102</v>
      </c>
      <c r="D592" t="s">
        <v>176</v>
      </c>
      <c r="E592">
        <v>2</v>
      </c>
      <c r="F592">
        <v>1</v>
      </c>
      <c r="G592">
        <v>20</v>
      </c>
      <c r="H592">
        <v>38</v>
      </c>
      <c r="I592">
        <v>1</v>
      </c>
      <c r="J592" s="15"/>
      <c r="K592" s="15"/>
      <c r="L592" t="s">
        <v>338</v>
      </c>
      <c r="O592" s="17">
        <v>2.4</v>
      </c>
      <c r="P592">
        <v>3</v>
      </c>
      <c r="Q592" s="39">
        <v>41555</v>
      </c>
    </row>
    <row r="593" spans="1:17" x14ac:dyDescent="0.3">
      <c r="A593" t="s">
        <v>438</v>
      </c>
      <c r="B593" t="s">
        <v>333</v>
      </c>
      <c r="C593" t="s">
        <v>99</v>
      </c>
      <c r="D593" t="s">
        <v>144</v>
      </c>
      <c r="E593">
        <v>2</v>
      </c>
      <c r="F593">
        <v>1</v>
      </c>
      <c r="G593">
        <v>22</v>
      </c>
      <c r="H593">
        <v>35</v>
      </c>
      <c r="I593">
        <v>0</v>
      </c>
      <c r="J593" s="15"/>
      <c r="K593" s="15"/>
      <c r="L593" t="s">
        <v>338</v>
      </c>
      <c r="O593" s="17">
        <v>2.4</v>
      </c>
      <c r="P593">
        <v>3</v>
      </c>
      <c r="Q593" s="39">
        <v>41555</v>
      </c>
    </row>
    <row r="594" spans="1:17" x14ac:dyDescent="0.3">
      <c r="A594" t="s">
        <v>407</v>
      </c>
      <c r="B594" t="s">
        <v>190</v>
      </c>
      <c r="C594" t="s">
        <v>87</v>
      </c>
      <c r="D594" t="s">
        <v>144</v>
      </c>
      <c r="E594">
        <v>10</v>
      </c>
      <c r="F594">
        <v>1</v>
      </c>
      <c r="G594">
        <v>42</v>
      </c>
      <c r="H594">
        <v>68</v>
      </c>
      <c r="I594">
        <v>1</v>
      </c>
      <c r="J594" s="15"/>
      <c r="K594" s="15"/>
      <c r="L594" t="s">
        <v>338</v>
      </c>
      <c r="O594" s="17">
        <v>2.4</v>
      </c>
      <c r="P594">
        <v>3</v>
      </c>
      <c r="Q594" s="39">
        <v>41555</v>
      </c>
    </row>
    <row r="595" spans="1:17" x14ac:dyDescent="0.3">
      <c r="A595" t="s">
        <v>721</v>
      </c>
      <c r="B595" t="s">
        <v>188</v>
      </c>
      <c r="C595" t="s">
        <v>88</v>
      </c>
      <c r="D595" t="s">
        <v>144</v>
      </c>
      <c r="E595">
        <v>11</v>
      </c>
      <c r="F595">
        <v>1</v>
      </c>
      <c r="G595">
        <v>38</v>
      </c>
      <c r="H595">
        <v>63</v>
      </c>
      <c r="I595">
        <v>0</v>
      </c>
      <c r="J595" s="15"/>
      <c r="K595" s="15"/>
      <c r="L595" t="s">
        <v>338</v>
      </c>
      <c r="N595" t="s">
        <v>722</v>
      </c>
      <c r="O595" s="17">
        <v>2.4</v>
      </c>
      <c r="P595">
        <v>2</v>
      </c>
      <c r="Q595" s="39">
        <v>41555</v>
      </c>
    </row>
    <row r="596" spans="1:17" x14ac:dyDescent="0.3">
      <c r="A596" t="s">
        <v>723</v>
      </c>
      <c r="B596" t="s">
        <v>188</v>
      </c>
      <c r="C596" t="s">
        <v>88</v>
      </c>
      <c r="D596" t="s">
        <v>144</v>
      </c>
      <c r="E596">
        <v>12</v>
      </c>
      <c r="F596">
        <v>1</v>
      </c>
      <c r="G596">
        <v>39</v>
      </c>
      <c r="H596">
        <v>63</v>
      </c>
      <c r="I596">
        <v>1</v>
      </c>
      <c r="J596" s="15"/>
      <c r="K596" s="15"/>
      <c r="L596" t="s">
        <v>338</v>
      </c>
      <c r="O596" s="17">
        <v>2.4</v>
      </c>
      <c r="P596">
        <v>2</v>
      </c>
      <c r="Q596" s="39">
        <v>41555</v>
      </c>
    </row>
    <row r="597" spans="1:17" x14ac:dyDescent="0.3">
      <c r="A597" t="s">
        <v>515</v>
      </c>
      <c r="B597" t="s">
        <v>186</v>
      </c>
      <c r="C597" t="s">
        <v>98</v>
      </c>
      <c r="D597" t="s">
        <v>144</v>
      </c>
      <c r="E597">
        <v>14</v>
      </c>
      <c r="F597">
        <v>1</v>
      </c>
      <c r="G597">
        <v>24</v>
      </c>
      <c r="H597">
        <v>50</v>
      </c>
      <c r="I597">
        <v>1</v>
      </c>
      <c r="J597" s="15"/>
      <c r="K597" s="15"/>
      <c r="L597" t="s">
        <v>338</v>
      </c>
      <c r="O597" s="17">
        <v>2.4</v>
      </c>
      <c r="P597">
        <v>3</v>
      </c>
      <c r="Q597" s="39">
        <v>41555</v>
      </c>
    </row>
    <row r="598" spans="1:17" x14ac:dyDescent="0.3">
      <c r="A598" t="s">
        <v>344</v>
      </c>
      <c r="B598" t="s">
        <v>341</v>
      </c>
      <c r="C598" t="s">
        <v>96</v>
      </c>
      <c r="D598" t="s">
        <v>176</v>
      </c>
      <c r="E598">
        <v>14</v>
      </c>
      <c r="F598">
        <v>1</v>
      </c>
      <c r="G598">
        <v>24</v>
      </c>
      <c r="H598">
        <v>38</v>
      </c>
      <c r="I598">
        <v>1</v>
      </c>
      <c r="J598" s="15"/>
      <c r="K598" s="15"/>
      <c r="L598" t="s">
        <v>338</v>
      </c>
      <c r="O598" s="17">
        <v>2.4</v>
      </c>
      <c r="P598">
        <v>3</v>
      </c>
      <c r="Q598" s="39">
        <v>41555</v>
      </c>
    </row>
    <row r="599" spans="1:17" x14ac:dyDescent="0.3">
      <c r="A599" t="s">
        <v>624</v>
      </c>
      <c r="B599" t="s">
        <v>186</v>
      </c>
      <c r="C599" t="s">
        <v>98</v>
      </c>
      <c r="D599" t="s">
        <v>144</v>
      </c>
      <c r="E599">
        <v>15</v>
      </c>
      <c r="F599">
        <v>1</v>
      </c>
      <c r="G599">
        <v>24</v>
      </c>
      <c r="H599">
        <v>50</v>
      </c>
      <c r="I599">
        <v>0.75</v>
      </c>
      <c r="J599" s="15"/>
      <c r="K599" s="15"/>
      <c r="L599" t="s">
        <v>338</v>
      </c>
      <c r="O599" s="17">
        <v>2.4</v>
      </c>
      <c r="P599">
        <v>3</v>
      </c>
      <c r="Q599" s="39">
        <v>41555</v>
      </c>
    </row>
    <row r="600" spans="1:17" x14ac:dyDescent="0.3">
      <c r="A600" t="s">
        <v>307</v>
      </c>
      <c r="B600" t="s">
        <v>186</v>
      </c>
      <c r="C600" t="s">
        <v>98</v>
      </c>
      <c r="D600" t="s">
        <v>144</v>
      </c>
      <c r="E600">
        <v>16</v>
      </c>
      <c r="F600">
        <v>1</v>
      </c>
      <c r="G600">
        <v>24</v>
      </c>
      <c r="H600">
        <v>50</v>
      </c>
      <c r="I600">
        <v>1</v>
      </c>
      <c r="J600" s="15"/>
      <c r="K600" s="15"/>
      <c r="L600" t="s">
        <v>338</v>
      </c>
      <c r="O600" s="17">
        <v>2.4</v>
      </c>
      <c r="P600">
        <v>3</v>
      </c>
      <c r="Q600" s="39">
        <v>41555</v>
      </c>
    </row>
    <row r="601" spans="1:17" x14ac:dyDescent="0.3">
      <c r="A601" t="s">
        <v>396</v>
      </c>
      <c r="B601" t="s">
        <v>163</v>
      </c>
      <c r="C601" t="s">
        <v>90</v>
      </c>
      <c r="D601" t="s">
        <v>144</v>
      </c>
      <c r="E601">
        <v>17</v>
      </c>
      <c r="F601">
        <v>1</v>
      </c>
      <c r="G601">
        <v>23</v>
      </c>
      <c r="H601">
        <v>39</v>
      </c>
      <c r="I601">
        <v>1</v>
      </c>
      <c r="J601" s="15"/>
      <c r="K601" s="15"/>
      <c r="L601" t="s">
        <v>338</v>
      </c>
      <c r="O601" s="17">
        <v>2.4</v>
      </c>
      <c r="P601">
        <v>3</v>
      </c>
      <c r="Q601" s="39">
        <v>41555</v>
      </c>
    </row>
    <row r="602" spans="1:17" x14ac:dyDescent="0.3">
      <c r="A602" t="s">
        <v>724</v>
      </c>
      <c r="B602" t="s">
        <v>180</v>
      </c>
      <c r="C602" t="s">
        <v>133</v>
      </c>
      <c r="D602" t="s">
        <v>144</v>
      </c>
      <c r="E602">
        <v>20</v>
      </c>
      <c r="F602">
        <v>1</v>
      </c>
      <c r="G602">
        <v>11</v>
      </c>
      <c r="H602">
        <v>33</v>
      </c>
      <c r="I602">
        <v>1</v>
      </c>
      <c r="J602" s="15"/>
      <c r="K602" s="15"/>
      <c r="L602" t="s">
        <v>338</v>
      </c>
      <c r="O602" s="17">
        <v>2.4</v>
      </c>
      <c r="P602">
        <v>2</v>
      </c>
      <c r="Q602" s="39">
        <v>41555</v>
      </c>
    </row>
    <row r="603" spans="1:17" x14ac:dyDescent="0.3">
      <c r="A603" t="s">
        <v>725</v>
      </c>
      <c r="B603" t="s">
        <v>184</v>
      </c>
      <c r="C603" t="s">
        <v>94</v>
      </c>
      <c r="D603" t="s">
        <v>176</v>
      </c>
      <c r="E603">
        <v>30</v>
      </c>
      <c r="F603">
        <v>2</v>
      </c>
      <c r="G603">
        <v>99</v>
      </c>
      <c r="H603">
        <v>164</v>
      </c>
      <c r="I603">
        <v>1</v>
      </c>
      <c r="J603" s="15"/>
      <c r="K603" s="15"/>
      <c r="L603" t="s">
        <v>338</v>
      </c>
      <c r="N603" t="s">
        <v>726</v>
      </c>
      <c r="O603" s="17">
        <v>4.8</v>
      </c>
      <c r="P603">
        <v>2</v>
      </c>
      <c r="Q603" s="39">
        <v>41555</v>
      </c>
    </row>
    <row r="604" spans="1:17" x14ac:dyDescent="0.3">
      <c r="A604" t="s">
        <v>727</v>
      </c>
      <c r="B604" t="s">
        <v>190</v>
      </c>
      <c r="C604" t="s">
        <v>87</v>
      </c>
      <c r="D604" t="s">
        <v>144</v>
      </c>
      <c r="E604">
        <v>31</v>
      </c>
      <c r="F604">
        <v>4</v>
      </c>
      <c r="G604">
        <v>42</v>
      </c>
      <c r="H604">
        <v>69</v>
      </c>
      <c r="I604">
        <v>3.5</v>
      </c>
      <c r="J604" s="15"/>
      <c r="K604" s="15"/>
      <c r="L604" t="s">
        <v>338</v>
      </c>
      <c r="N604" t="s">
        <v>728</v>
      </c>
      <c r="O604" s="17">
        <v>9.6</v>
      </c>
      <c r="P604">
        <v>2</v>
      </c>
      <c r="Q604" s="39">
        <v>41555</v>
      </c>
    </row>
    <row r="605" spans="1:17" x14ac:dyDescent="0.3">
      <c r="A605" t="s">
        <v>511</v>
      </c>
      <c r="B605" t="s">
        <v>190</v>
      </c>
      <c r="C605" t="s">
        <v>87</v>
      </c>
      <c r="D605" t="s">
        <v>144</v>
      </c>
      <c r="E605">
        <v>32</v>
      </c>
      <c r="F605">
        <v>3</v>
      </c>
      <c r="G605">
        <v>43</v>
      </c>
      <c r="H605">
        <v>70</v>
      </c>
      <c r="I605">
        <v>0</v>
      </c>
      <c r="J605" s="15"/>
      <c r="K605" s="15"/>
      <c r="L605" t="s">
        <v>338</v>
      </c>
      <c r="N605" t="s">
        <v>729</v>
      </c>
      <c r="O605" s="17">
        <v>7.1999999999999993</v>
      </c>
      <c r="P605">
        <v>3</v>
      </c>
      <c r="Q605" s="39">
        <v>41555</v>
      </c>
    </row>
    <row r="606" spans="1:17" x14ac:dyDescent="0.3">
      <c r="A606" t="s">
        <v>296</v>
      </c>
      <c r="B606" t="s">
        <v>189</v>
      </c>
      <c r="C606" t="s">
        <v>102</v>
      </c>
      <c r="D606" t="s">
        <v>144</v>
      </c>
      <c r="E606">
        <v>33</v>
      </c>
      <c r="F606">
        <v>2</v>
      </c>
      <c r="G606">
        <v>21</v>
      </c>
      <c r="H606">
        <v>39</v>
      </c>
      <c r="I606">
        <v>2</v>
      </c>
      <c r="J606" s="15"/>
      <c r="K606" s="15"/>
      <c r="L606" t="s">
        <v>338</v>
      </c>
      <c r="O606" s="17">
        <v>4.8</v>
      </c>
      <c r="P606">
        <v>3</v>
      </c>
      <c r="Q606" s="39">
        <v>41555</v>
      </c>
    </row>
    <row r="607" spans="1:17" x14ac:dyDescent="0.3">
      <c r="A607" t="s">
        <v>384</v>
      </c>
      <c r="B607" t="s">
        <v>188</v>
      </c>
      <c r="C607" t="s">
        <v>88</v>
      </c>
      <c r="D607" t="s">
        <v>144</v>
      </c>
      <c r="E607">
        <v>34</v>
      </c>
      <c r="F607">
        <v>3</v>
      </c>
      <c r="G607">
        <v>39</v>
      </c>
      <c r="H607">
        <v>64</v>
      </c>
      <c r="I607">
        <v>2</v>
      </c>
      <c r="J607" s="15"/>
      <c r="K607" s="15"/>
      <c r="L607" t="s">
        <v>338</v>
      </c>
      <c r="O607" s="17">
        <v>7.1999999999999993</v>
      </c>
      <c r="P607">
        <v>3</v>
      </c>
      <c r="Q607" s="39">
        <v>41555</v>
      </c>
    </row>
    <row r="608" spans="1:17" x14ac:dyDescent="0.3">
      <c r="A608" t="s">
        <v>267</v>
      </c>
      <c r="B608" t="s">
        <v>192</v>
      </c>
      <c r="C608" t="s">
        <v>103</v>
      </c>
      <c r="D608" t="s">
        <v>144</v>
      </c>
      <c r="E608">
        <v>35</v>
      </c>
      <c r="F608">
        <v>5</v>
      </c>
      <c r="G608">
        <v>31</v>
      </c>
      <c r="H608">
        <v>50</v>
      </c>
      <c r="I608">
        <v>4</v>
      </c>
      <c r="J608" s="15">
        <v>41555.570740740739</v>
      </c>
      <c r="K608" s="15">
        <v>41555.585844907408</v>
      </c>
      <c r="L608" t="s">
        <v>338</v>
      </c>
      <c r="O608" s="17">
        <v>21.750000002793968</v>
      </c>
      <c r="P608">
        <v>2</v>
      </c>
      <c r="Q608" s="39">
        <v>41555</v>
      </c>
    </row>
    <row r="609" spans="1:17" x14ac:dyDescent="0.3">
      <c r="A609" t="s">
        <v>730</v>
      </c>
      <c r="B609" t="s">
        <v>186</v>
      </c>
      <c r="C609" t="s">
        <v>98</v>
      </c>
      <c r="D609" t="s">
        <v>144</v>
      </c>
      <c r="E609">
        <v>36</v>
      </c>
      <c r="F609">
        <v>2.5</v>
      </c>
      <c r="G609">
        <v>25</v>
      </c>
      <c r="H609">
        <v>50</v>
      </c>
      <c r="I609">
        <v>1.5</v>
      </c>
      <c r="J609" s="15">
        <v>41555.585844907408</v>
      </c>
      <c r="K609" s="15">
        <v>41555.590937499997</v>
      </c>
      <c r="L609" t="s">
        <v>338</v>
      </c>
      <c r="N609" t="s">
        <v>731</v>
      </c>
      <c r="O609" s="17">
        <v>7.3333333292976022</v>
      </c>
      <c r="P609">
        <v>1</v>
      </c>
      <c r="Q609" s="39">
        <v>41555</v>
      </c>
    </row>
    <row r="610" spans="1:17" x14ac:dyDescent="0.3">
      <c r="A610" t="s">
        <v>732</v>
      </c>
      <c r="B610" t="s">
        <v>187</v>
      </c>
      <c r="C610" t="s">
        <v>95</v>
      </c>
      <c r="D610" t="s">
        <v>144</v>
      </c>
      <c r="E610">
        <v>38</v>
      </c>
      <c r="F610">
        <v>2</v>
      </c>
      <c r="G610">
        <v>52</v>
      </c>
      <c r="H610">
        <v>84</v>
      </c>
      <c r="I610">
        <v>1.5</v>
      </c>
      <c r="J610" s="15">
        <v>41555.590937499997</v>
      </c>
      <c r="K610" s="15">
        <v>41555.591689814813</v>
      </c>
      <c r="L610" t="s">
        <v>338</v>
      </c>
      <c r="N610" t="s">
        <v>733</v>
      </c>
      <c r="O610" s="17">
        <v>1.0833333351183683</v>
      </c>
      <c r="P610">
        <v>1</v>
      </c>
      <c r="Q610" s="39">
        <v>41555</v>
      </c>
    </row>
    <row r="611" spans="1:17" x14ac:dyDescent="0.3">
      <c r="A611" t="s">
        <v>734</v>
      </c>
      <c r="B611" t="s">
        <v>187</v>
      </c>
      <c r="C611" t="s">
        <v>95</v>
      </c>
      <c r="D611" t="s">
        <v>144</v>
      </c>
      <c r="E611">
        <v>39</v>
      </c>
      <c r="F611">
        <v>3.5</v>
      </c>
      <c r="G611">
        <v>53</v>
      </c>
      <c r="H611">
        <v>85</v>
      </c>
      <c r="I611">
        <v>1</v>
      </c>
      <c r="J611" s="15">
        <v>41555.591689814813</v>
      </c>
      <c r="K611" s="15">
        <v>41555.597418981481</v>
      </c>
      <c r="L611" t="s">
        <v>338</v>
      </c>
      <c r="N611" t="s">
        <v>735</v>
      </c>
      <c r="O611" s="17">
        <v>8.2500000006984919</v>
      </c>
      <c r="P611">
        <v>1</v>
      </c>
      <c r="Q611" s="39">
        <v>41555</v>
      </c>
    </row>
    <row r="612" spans="1:17" x14ac:dyDescent="0.3">
      <c r="A612" t="s">
        <v>254</v>
      </c>
      <c r="B612" t="s">
        <v>192</v>
      </c>
      <c r="C612" t="s">
        <v>103</v>
      </c>
      <c r="D612" t="s">
        <v>144</v>
      </c>
      <c r="E612">
        <v>40</v>
      </c>
      <c r="F612">
        <v>2</v>
      </c>
      <c r="G612">
        <v>32</v>
      </c>
      <c r="H612">
        <v>51</v>
      </c>
      <c r="I612">
        <v>1</v>
      </c>
      <c r="J612" s="15">
        <v>41555.597418981481</v>
      </c>
      <c r="K612" s="15">
        <v>41555.602719907409</v>
      </c>
      <c r="L612" t="s">
        <v>338</v>
      </c>
      <c r="N612" t="s">
        <v>736</v>
      </c>
      <c r="O612" s="17">
        <v>7.6333333365619183</v>
      </c>
      <c r="P612">
        <v>2</v>
      </c>
      <c r="Q612" s="39">
        <v>41555</v>
      </c>
    </row>
    <row r="613" spans="1:17" x14ac:dyDescent="0.3">
      <c r="A613" t="s">
        <v>393</v>
      </c>
      <c r="B613" t="s">
        <v>184</v>
      </c>
      <c r="C613" t="s">
        <v>94</v>
      </c>
      <c r="D613" t="s">
        <v>176</v>
      </c>
      <c r="E613">
        <v>41</v>
      </c>
      <c r="F613">
        <v>2</v>
      </c>
      <c r="G613">
        <v>99</v>
      </c>
      <c r="H613">
        <v>165</v>
      </c>
      <c r="I613">
        <v>1.5</v>
      </c>
      <c r="J613" s="15">
        <v>41555.602719907409</v>
      </c>
      <c r="K613" s="15">
        <v>41555.606539351851</v>
      </c>
      <c r="L613" t="s">
        <v>338</v>
      </c>
      <c r="O613" s="17">
        <v>5.4999999969732016</v>
      </c>
      <c r="P613">
        <v>2</v>
      </c>
      <c r="Q613" s="39">
        <v>41555</v>
      </c>
    </row>
    <row r="614" spans="1:17" x14ac:dyDescent="0.3">
      <c r="A614" t="s">
        <v>486</v>
      </c>
      <c r="B614" t="s">
        <v>184</v>
      </c>
      <c r="C614" t="s">
        <v>94</v>
      </c>
      <c r="D614" t="s">
        <v>144</v>
      </c>
      <c r="E614">
        <v>42</v>
      </c>
      <c r="F614">
        <v>3</v>
      </c>
      <c r="G614">
        <v>100</v>
      </c>
      <c r="H614">
        <v>166</v>
      </c>
      <c r="I614">
        <v>3</v>
      </c>
      <c r="J614" s="15">
        <v>41555.606539351851</v>
      </c>
      <c r="K614" s="15">
        <v>41555.610312500001</v>
      </c>
      <c r="L614" t="s">
        <v>338</v>
      </c>
      <c r="O614" s="17">
        <v>5.4333333356771618</v>
      </c>
      <c r="P614">
        <v>2</v>
      </c>
      <c r="Q614" s="39">
        <v>41555</v>
      </c>
    </row>
    <row r="615" spans="1:17" x14ac:dyDescent="0.3">
      <c r="A615" t="s">
        <v>313</v>
      </c>
      <c r="B615" t="s">
        <v>238</v>
      </c>
      <c r="C615" t="s">
        <v>89</v>
      </c>
      <c r="D615" t="s">
        <v>144</v>
      </c>
      <c r="E615">
        <v>43</v>
      </c>
      <c r="F615">
        <v>3</v>
      </c>
      <c r="G615">
        <v>58</v>
      </c>
      <c r="H615">
        <v>96</v>
      </c>
      <c r="I615">
        <v>3</v>
      </c>
      <c r="J615" s="15">
        <v>41555.610312500001</v>
      </c>
      <c r="K615" s="15">
        <v>41555.612442129626</v>
      </c>
      <c r="L615" t="s">
        <v>338</v>
      </c>
      <c r="O615" s="17">
        <v>3.0666666605975479</v>
      </c>
      <c r="P615">
        <v>2</v>
      </c>
      <c r="Q615" s="39">
        <v>41555</v>
      </c>
    </row>
    <row r="616" spans="1:17" x14ac:dyDescent="0.3">
      <c r="A616" t="s">
        <v>457</v>
      </c>
      <c r="B616" t="s">
        <v>341</v>
      </c>
      <c r="C616" t="s">
        <v>96</v>
      </c>
      <c r="D616" t="s">
        <v>144</v>
      </c>
      <c r="E616">
        <v>44</v>
      </c>
      <c r="F616">
        <v>2</v>
      </c>
      <c r="G616">
        <v>25</v>
      </c>
      <c r="H616">
        <v>39</v>
      </c>
      <c r="I616">
        <v>1.25</v>
      </c>
      <c r="J616" s="15">
        <v>41555.612442129626</v>
      </c>
      <c r="K616" s="15">
        <v>41555.613645833335</v>
      </c>
      <c r="L616" t="s">
        <v>338</v>
      </c>
      <c r="N616" t="s">
        <v>737</v>
      </c>
      <c r="O616" s="17">
        <v>1.7333333403803408</v>
      </c>
      <c r="P616">
        <v>2</v>
      </c>
      <c r="Q616" s="39">
        <v>41555</v>
      </c>
    </row>
    <row r="617" spans="1:17" x14ac:dyDescent="0.3">
      <c r="A617" t="s">
        <v>738</v>
      </c>
      <c r="B617" t="s">
        <v>180</v>
      </c>
      <c r="C617" t="s">
        <v>133</v>
      </c>
      <c r="D617" t="s">
        <v>144</v>
      </c>
      <c r="E617">
        <v>46</v>
      </c>
      <c r="F617">
        <v>2</v>
      </c>
      <c r="G617">
        <v>11</v>
      </c>
      <c r="H617">
        <v>34</v>
      </c>
      <c r="I617">
        <v>1.25</v>
      </c>
      <c r="J617" s="15">
        <v>41555.613645833335</v>
      </c>
      <c r="K617" s="15">
        <v>41555.616319444445</v>
      </c>
      <c r="L617" t="s">
        <v>338</v>
      </c>
      <c r="O617" s="17">
        <v>3.849999998928979</v>
      </c>
      <c r="P617">
        <v>1</v>
      </c>
      <c r="Q617" s="39">
        <v>41555</v>
      </c>
    </row>
    <row r="618" spans="1:17" x14ac:dyDescent="0.3">
      <c r="A618" t="s">
        <v>489</v>
      </c>
      <c r="B618" t="s">
        <v>183</v>
      </c>
      <c r="C618" t="s">
        <v>83</v>
      </c>
      <c r="D618" t="s">
        <v>144</v>
      </c>
      <c r="E618">
        <v>47</v>
      </c>
      <c r="F618">
        <v>2</v>
      </c>
      <c r="G618">
        <v>49</v>
      </c>
      <c r="H618">
        <v>66</v>
      </c>
      <c r="I618">
        <v>1.25</v>
      </c>
      <c r="J618" s="15">
        <v>41555.613645833335</v>
      </c>
      <c r="K618" s="15">
        <v>41555.616319444445</v>
      </c>
      <c r="L618" t="s">
        <v>338</v>
      </c>
      <c r="O618" s="17">
        <v>3.849999998928979</v>
      </c>
      <c r="P618">
        <v>2</v>
      </c>
      <c r="Q618" s="39">
        <v>41555</v>
      </c>
    </row>
    <row r="619" spans="1:17" x14ac:dyDescent="0.3">
      <c r="A619" t="s">
        <v>397</v>
      </c>
      <c r="B619" t="s">
        <v>180</v>
      </c>
      <c r="C619" t="s">
        <v>133</v>
      </c>
      <c r="D619" t="s">
        <v>144</v>
      </c>
      <c r="E619">
        <v>48</v>
      </c>
      <c r="F619">
        <v>4</v>
      </c>
      <c r="G619">
        <v>12</v>
      </c>
      <c r="H619">
        <v>35</v>
      </c>
      <c r="I619">
        <v>3</v>
      </c>
      <c r="J619" s="15">
        <v>41555.616319444445</v>
      </c>
      <c r="K619" s="15">
        <v>41555.617465277777</v>
      </c>
      <c r="L619" t="s">
        <v>338</v>
      </c>
      <c r="O619" s="17">
        <v>1.6499999980442226</v>
      </c>
      <c r="P619">
        <v>2</v>
      </c>
      <c r="Q619" s="39">
        <v>41555</v>
      </c>
    </row>
    <row r="620" spans="1:17" x14ac:dyDescent="0.3">
      <c r="A620" t="s">
        <v>739</v>
      </c>
      <c r="B620" t="s">
        <v>197</v>
      </c>
      <c r="C620" t="s">
        <v>19</v>
      </c>
      <c r="D620" t="s">
        <v>144</v>
      </c>
      <c r="E620">
        <v>39</v>
      </c>
      <c r="F620">
        <v>2</v>
      </c>
      <c r="G620">
        <v>14</v>
      </c>
      <c r="H620">
        <v>25</v>
      </c>
      <c r="I620">
        <v>1.5</v>
      </c>
      <c r="J620" s="15">
        <v>41555.617465277777</v>
      </c>
      <c r="K620" s="15">
        <v>41555.62263888889</v>
      </c>
      <c r="L620" t="s">
        <v>338</v>
      </c>
      <c r="N620" t="s">
        <v>740</v>
      </c>
      <c r="O620" s="17">
        <v>7.4500000022817403</v>
      </c>
      <c r="P620">
        <v>1</v>
      </c>
      <c r="Q620" s="39">
        <v>41555</v>
      </c>
    </row>
    <row r="621" spans="1:17" x14ac:dyDescent="0.3">
      <c r="A621" t="s">
        <v>741</v>
      </c>
      <c r="B621" t="s">
        <v>198</v>
      </c>
      <c r="C621" t="s">
        <v>130</v>
      </c>
      <c r="D621" t="s">
        <v>196</v>
      </c>
      <c r="E621">
        <v>2</v>
      </c>
      <c r="F621">
        <v>2</v>
      </c>
      <c r="G621">
        <v>4</v>
      </c>
      <c r="H621">
        <v>8</v>
      </c>
      <c r="I621">
        <v>1.25</v>
      </c>
      <c r="J621" s="15">
        <v>41555.729456018518</v>
      </c>
      <c r="K621" s="15">
        <v>41555.730162037034</v>
      </c>
      <c r="L621" t="s">
        <v>338</v>
      </c>
      <c r="O621" s="17">
        <v>1.0166666633449495</v>
      </c>
      <c r="P621">
        <v>1</v>
      </c>
      <c r="Q621" s="39">
        <v>41555</v>
      </c>
    </row>
    <row r="622" spans="1:17" x14ac:dyDescent="0.3">
      <c r="A622" t="s">
        <v>742</v>
      </c>
      <c r="B622" t="s">
        <v>157</v>
      </c>
      <c r="C622" t="s">
        <v>84</v>
      </c>
      <c r="D622" t="s">
        <v>136</v>
      </c>
      <c r="E622">
        <v>12</v>
      </c>
      <c r="F622">
        <v>3</v>
      </c>
      <c r="G622">
        <v>36</v>
      </c>
      <c r="H622">
        <v>49</v>
      </c>
      <c r="I622">
        <v>2</v>
      </c>
      <c r="J622" s="15">
        <v>41555.730162037034</v>
      </c>
      <c r="K622" s="15">
        <v>41555.735034722224</v>
      </c>
      <c r="L622" t="s">
        <v>338</v>
      </c>
      <c r="O622" s="17">
        <v>7.0166666724253446</v>
      </c>
      <c r="P622">
        <v>1</v>
      </c>
      <c r="Q622" s="39">
        <v>41555</v>
      </c>
    </row>
    <row r="623" spans="1:17" x14ac:dyDescent="0.3">
      <c r="A623" t="s">
        <v>743</v>
      </c>
      <c r="B623" t="s">
        <v>197</v>
      </c>
      <c r="C623" t="s">
        <v>19</v>
      </c>
      <c r="D623" t="s">
        <v>148</v>
      </c>
      <c r="E623">
        <v>33</v>
      </c>
      <c r="F623">
        <v>2.5</v>
      </c>
      <c r="G623">
        <v>13</v>
      </c>
      <c r="H623">
        <v>25</v>
      </c>
      <c r="I623">
        <v>1.5</v>
      </c>
      <c r="J623" s="15">
        <v>41555.735034722224</v>
      </c>
      <c r="K623" s="15">
        <v>41555.736006944448</v>
      </c>
      <c r="L623" t="s">
        <v>338</v>
      </c>
      <c r="O623" s="17">
        <v>1.4000000024680048</v>
      </c>
      <c r="P623">
        <v>1</v>
      </c>
      <c r="Q623" s="39">
        <v>41555</v>
      </c>
    </row>
    <row r="624" spans="1:17" x14ac:dyDescent="0.3">
      <c r="A624" t="s">
        <v>744</v>
      </c>
      <c r="B624" t="s">
        <v>195</v>
      </c>
      <c r="C624" t="s">
        <v>84</v>
      </c>
      <c r="D624" t="s">
        <v>196</v>
      </c>
      <c r="E624">
        <v>2</v>
      </c>
      <c r="F624">
        <v>2</v>
      </c>
      <c r="G624">
        <v>3</v>
      </c>
      <c r="H624">
        <v>5</v>
      </c>
      <c r="I624">
        <v>1.5</v>
      </c>
      <c r="J624" s="15">
        <v>41555.736006944448</v>
      </c>
      <c r="K624" s="15">
        <v>41555.741863425923</v>
      </c>
      <c r="L624" t="s">
        <v>338</v>
      </c>
      <c r="O624" s="17">
        <v>8.4333333245012909</v>
      </c>
      <c r="P624">
        <v>1</v>
      </c>
      <c r="Q624" s="39">
        <v>41555</v>
      </c>
    </row>
    <row r="625" spans="1:17" x14ac:dyDescent="0.3">
      <c r="A625" t="s">
        <v>745</v>
      </c>
      <c r="B625" t="s">
        <v>157</v>
      </c>
      <c r="C625" t="s">
        <v>84</v>
      </c>
      <c r="D625" t="s">
        <v>136</v>
      </c>
      <c r="E625">
        <v>9</v>
      </c>
      <c r="F625">
        <v>2</v>
      </c>
      <c r="G625">
        <v>35</v>
      </c>
      <c r="H625">
        <v>46</v>
      </c>
      <c r="I625">
        <v>2</v>
      </c>
      <c r="J625" s="15">
        <v>41555.741863425923</v>
      </c>
      <c r="K625" s="15">
        <v>41555.742256944446</v>
      </c>
      <c r="L625" t="s">
        <v>338</v>
      </c>
      <c r="O625" s="17">
        <v>0.56666667340323329</v>
      </c>
      <c r="P625">
        <v>1</v>
      </c>
      <c r="Q625" s="39">
        <v>41555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439"/>
  <sheetViews>
    <sheetView workbookViewId="0">
      <selection activeCell="J7" sqref="J7"/>
    </sheetView>
  </sheetViews>
  <sheetFormatPr defaultRowHeight="14.4" x14ac:dyDescent="0.3"/>
  <cols>
    <col min="1" max="1" width="26.5546875" customWidth="1"/>
    <col min="2" max="2" width="19.109375" bestFit="1" customWidth="1"/>
    <col min="3" max="3" width="17" bestFit="1" customWidth="1"/>
    <col min="4" max="4" width="9.6640625" style="73" bestFit="1" customWidth="1"/>
    <col min="5" max="5" width="14" bestFit="1" customWidth="1"/>
    <col min="6" max="6" width="6.5546875" bestFit="1" customWidth="1"/>
    <col min="7" max="7" width="7.109375" bestFit="1" customWidth="1"/>
    <col min="8" max="8" width="7" bestFit="1" customWidth="1"/>
    <col min="9" max="9" width="9.109375" style="20"/>
  </cols>
  <sheetData>
    <row r="1" spans="1:11" x14ac:dyDescent="0.3">
      <c r="A1" s="12" t="s">
        <v>2</v>
      </c>
      <c r="B1" s="12" t="s">
        <v>0</v>
      </c>
      <c r="C1" s="12" t="s">
        <v>1</v>
      </c>
      <c r="D1" s="101" t="s">
        <v>3</v>
      </c>
      <c r="E1" s="12" t="s">
        <v>4</v>
      </c>
      <c r="F1" s="12" t="s">
        <v>5</v>
      </c>
      <c r="G1" s="12" t="s">
        <v>6</v>
      </c>
      <c r="H1" s="12" t="s">
        <v>7</v>
      </c>
      <c r="I1" s="58" t="s">
        <v>21</v>
      </c>
      <c r="J1" s="12" t="s">
        <v>129</v>
      </c>
      <c r="K1" s="12"/>
    </row>
    <row r="2" spans="1:11" x14ac:dyDescent="0.3">
      <c r="A2" t="s">
        <v>872</v>
      </c>
      <c r="B2" t="s">
        <v>865</v>
      </c>
      <c r="C2" t="s">
        <v>817</v>
      </c>
      <c r="D2" s="73" t="s">
        <v>196</v>
      </c>
      <c r="E2">
        <v>1</v>
      </c>
      <c r="F2">
        <v>2</v>
      </c>
      <c r="G2">
        <v>1</v>
      </c>
      <c r="H2">
        <v>3</v>
      </c>
      <c r="K2" t="str">
        <f>IF(ISNA(VLOOKUP(A2,ResultDB!$A:$A,1,FALSE)),"","x")</f>
        <v/>
      </c>
    </row>
    <row r="3" spans="1:11" x14ac:dyDescent="0.3">
      <c r="A3" t="s">
        <v>873</v>
      </c>
      <c r="B3" t="s">
        <v>865</v>
      </c>
      <c r="C3" t="s">
        <v>817</v>
      </c>
      <c r="D3" s="73" t="s">
        <v>196</v>
      </c>
      <c r="E3">
        <v>2</v>
      </c>
      <c r="F3">
        <v>2</v>
      </c>
      <c r="G3">
        <v>1</v>
      </c>
      <c r="H3">
        <v>3</v>
      </c>
      <c r="K3" t="str">
        <f>IF(ISNA(VLOOKUP(A3,ResultDB!$A:$A,1,FALSE)),"","x")</f>
        <v/>
      </c>
    </row>
    <row r="4" spans="1:11" x14ac:dyDescent="0.3">
      <c r="A4" t="s">
        <v>874</v>
      </c>
      <c r="B4" t="s">
        <v>865</v>
      </c>
      <c r="C4" t="s">
        <v>817</v>
      </c>
      <c r="D4" s="73" t="s">
        <v>196</v>
      </c>
      <c r="E4">
        <v>3</v>
      </c>
      <c r="F4">
        <v>2</v>
      </c>
      <c r="G4">
        <v>1</v>
      </c>
      <c r="H4">
        <v>4</v>
      </c>
      <c r="K4" t="str">
        <f>IF(ISNA(VLOOKUP(A4,ResultDB!$A:$A,1,FALSE)),"","x")</f>
        <v/>
      </c>
    </row>
    <row r="5" spans="1:11" x14ac:dyDescent="0.3">
      <c r="A5" t="s">
        <v>875</v>
      </c>
      <c r="B5" t="s">
        <v>865</v>
      </c>
      <c r="C5" t="s">
        <v>817</v>
      </c>
      <c r="D5" s="73" t="s">
        <v>196</v>
      </c>
      <c r="E5">
        <v>4</v>
      </c>
      <c r="F5">
        <v>2</v>
      </c>
      <c r="G5">
        <v>1</v>
      </c>
      <c r="H5">
        <v>4</v>
      </c>
      <c r="K5" t="str">
        <f>IF(ISNA(VLOOKUP(A5,ResultDB!$A:$A,1,FALSE)),"","x")</f>
        <v>x</v>
      </c>
    </row>
    <row r="6" spans="1:11" x14ac:dyDescent="0.3">
      <c r="A6" t="s">
        <v>876</v>
      </c>
      <c r="B6" t="s">
        <v>865</v>
      </c>
      <c r="C6" t="s">
        <v>817</v>
      </c>
      <c r="D6" s="73" t="s">
        <v>196</v>
      </c>
      <c r="E6">
        <v>5</v>
      </c>
      <c r="F6">
        <v>2</v>
      </c>
      <c r="G6">
        <v>1</v>
      </c>
      <c r="H6">
        <v>5</v>
      </c>
      <c r="K6" t="str">
        <f>IF(ISNA(VLOOKUP(A6,ResultDB!$A:$A,1,FALSE)),"","x")</f>
        <v>x</v>
      </c>
    </row>
    <row r="7" spans="1:11" x14ac:dyDescent="0.3">
      <c r="A7" t="s">
        <v>877</v>
      </c>
      <c r="B7" t="s">
        <v>865</v>
      </c>
      <c r="C7" t="s">
        <v>817</v>
      </c>
      <c r="D7" s="73" t="s">
        <v>196</v>
      </c>
      <c r="E7">
        <v>6</v>
      </c>
      <c r="F7">
        <v>2</v>
      </c>
      <c r="G7">
        <v>2</v>
      </c>
      <c r="H7">
        <v>5</v>
      </c>
      <c r="K7" t="str">
        <f>IF(ISNA(VLOOKUP(A7,ResultDB!$A:$A,1,FALSE)),"","x")</f>
        <v>x</v>
      </c>
    </row>
    <row r="8" spans="1:11" x14ac:dyDescent="0.3">
      <c r="A8" t="s">
        <v>878</v>
      </c>
      <c r="B8" t="s">
        <v>865</v>
      </c>
      <c r="C8" t="s">
        <v>817</v>
      </c>
      <c r="D8" s="73" t="s">
        <v>196</v>
      </c>
      <c r="E8">
        <v>7</v>
      </c>
      <c r="F8">
        <v>2</v>
      </c>
      <c r="G8">
        <v>2</v>
      </c>
      <c r="H8">
        <v>5</v>
      </c>
      <c r="K8" t="str">
        <f>IF(ISNA(VLOOKUP(A8,ResultDB!$A:$A,1,FALSE)),"","x")</f>
        <v>x</v>
      </c>
    </row>
    <row r="9" spans="1:11" x14ac:dyDescent="0.3">
      <c r="A9" t="s">
        <v>879</v>
      </c>
      <c r="B9" t="s">
        <v>865</v>
      </c>
      <c r="C9" t="s">
        <v>817</v>
      </c>
      <c r="D9" s="73" t="s">
        <v>196</v>
      </c>
      <c r="E9">
        <v>8</v>
      </c>
      <c r="F9">
        <v>2</v>
      </c>
      <c r="G9">
        <v>2</v>
      </c>
      <c r="H9">
        <v>6</v>
      </c>
      <c r="K9" t="str">
        <f>IF(ISNA(VLOOKUP(A9,ResultDB!$A:$A,1,FALSE)),"","x")</f>
        <v>x</v>
      </c>
    </row>
    <row r="10" spans="1:11" x14ac:dyDescent="0.3">
      <c r="A10" t="s">
        <v>880</v>
      </c>
      <c r="B10" t="s">
        <v>865</v>
      </c>
      <c r="C10" t="s">
        <v>817</v>
      </c>
      <c r="D10" s="73" t="s">
        <v>196</v>
      </c>
      <c r="E10">
        <v>9</v>
      </c>
      <c r="F10">
        <v>2</v>
      </c>
      <c r="G10">
        <v>2</v>
      </c>
      <c r="H10">
        <v>6</v>
      </c>
      <c r="K10" t="str">
        <f>IF(ISNA(VLOOKUP(A10,ResultDB!$A:$A,1,FALSE)),"","x")</f>
        <v>x</v>
      </c>
    </row>
    <row r="11" spans="1:11" x14ac:dyDescent="0.3">
      <c r="A11" t="s">
        <v>881</v>
      </c>
      <c r="B11" t="s">
        <v>865</v>
      </c>
      <c r="C11" t="s">
        <v>819</v>
      </c>
      <c r="D11" s="73" t="s">
        <v>196</v>
      </c>
      <c r="E11">
        <v>1</v>
      </c>
      <c r="F11">
        <v>2</v>
      </c>
      <c r="G11">
        <v>7</v>
      </c>
      <c r="H11">
        <v>9</v>
      </c>
      <c r="K11" t="str">
        <f>IF(ISNA(VLOOKUP(A11,ResultDB!$A:$A,1,FALSE)),"","x")</f>
        <v>x</v>
      </c>
    </row>
    <row r="12" spans="1:11" x14ac:dyDescent="0.3">
      <c r="A12" t="s">
        <v>882</v>
      </c>
      <c r="B12" t="s">
        <v>865</v>
      </c>
      <c r="C12" t="s">
        <v>819</v>
      </c>
      <c r="D12" s="73" t="s">
        <v>196</v>
      </c>
      <c r="E12">
        <v>2</v>
      </c>
      <c r="F12">
        <v>2</v>
      </c>
      <c r="G12">
        <v>7</v>
      </c>
      <c r="H12">
        <v>9</v>
      </c>
      <c r="K12" t="str">
        <f>IF(ISNA(VLOOKUP(A12,ResultDB!$A:$A,1,FALSE)),"","x")</f>
        <v>x</v>
      </c>
    </row>
    <row r="13" spans="1:11" x14ac:dyDescent="0.3">
      <c r="A13" t="s">
        <v>883</v>
      </c>
      <c r="B13" t="s">
        <v>865</v>
      </c>
      <c r="C13" t="s">
        <v>819</v>
      </c>
      <c r="D13" s="73" t="s">
        <v>196</v>
      </c>
      <c r="E13">
        <v>3</v>
      </c>
      <c r="F13">
        <v>2</v>
      </c>
      <c r="G13">
        <v>7</v>
      </c>
      <c r="H13">
        <v>10</v>
      </c>
      <c r="K13" t="str">
        <f>IF(ISNA(VLOOKUP(A13,ResultDB!$A:$A,1,FALSE)),"","x")</f>
        <v>x</v>
      </c>
    </row>
    <row r="14" spans="1:11" x14ac:dyDescent="0.3">
      <c r="A14" t="s">
        <v>884</v>
      </c>
      <c r="B14" t="s">
        <v>865</v>
      </c>
      <c r="C14" t="s">
        <v>819</v>
      </c>
      <c r="D14" s="73" t="s">
        <v>196</v>
      </c>
      <c r="E14">
        <v>4</v>
      </c>
      <c r="F14">
        <v>2</v>
      </c>
      <c r="G14">
        <v>7</v>
      </c>
      <c r="H14">
        <v>11</v>
      </c>
      <c r="K14" t="str">
        <f>IF(ISNA(VLOOKUP(A14,ResultDB!$A:$A,1,FALSE)),"","x")</f>
        <v>x</v>
      </c>
    </row>
    <row r="15" spans="1:11" x14ac:dyDescent="0.3">
      <c r="A15" t="s">
        <v>885</v>
      </c>
      <c r="B15" t="s">
        <v>865</v>
      </c>
      <c r="C15" t="s">
        <v>819</v>
      </c>
      <c r="D15" s="73" t="s">
        <v>196</v>
      </c>
      <c r="E15">
        <v>5</v>
      </c>
      <c r="F15">
        <v>2</v>
      </c>
      <c r="G15">
        <v>8</v>
      </c>
      <c r="H15">
        <v>11</v>
      </c>
      <c r="K15" t="str">
        <f>IF(ISNA(VLOOKUP(A15,ResultDB!$A:$A,1,FALSE)),"","x")</f>
        <v>x</v>
      </c>
    </row>
    <row r="16" spans="1:11" x14ac:dyDescent="0.3">
      <c r="A16" t="s">
        <v>886</v>
      </c>
      <c r="B16" t="s">
        <v>865</v>
      </c>
      <c r="C16" t="s">
        <v>819</v>
      </c>
      <c r="D16" s="73" t="s">
        <v>196</v>
      </c>
      <c r="E16">
        <v>6</v>
      </c>
      <c r="F16">
        <v>2</v>
      </c>
      <c r="G16">
        <v>8</v>
      </c>
      <c r="H16">
        <v>11</v>
      </c>
      <c r="K16" t="str">
        <f>IF(ISNA(VLOOKUP(A16,ResultDB!$A:$A,1,FALSE)),"","x")</f>
        <v>x</v>
      </c>
    </row>
    <row r="17" spans="1:11" x14ac:dyDescent="0.3">
      <c r="A17" t="s">
        <v>887</v>
      </c>
      <c r="B17" t="s">
        <v>865</v>
      </c>
      <c r="C17" t="s">
        <v>819</v>
      </c>
      <c r="D17" s="73" t="s">
        <v>196</v>
      </c>
      <c r="E17">
        <v>7</v>
      </c>
      <c r="F17">
        <v>2</v>
      </c>
      <c r="G17">
        <v>8</v>
      </c>
      <c r="H17">
        <v>12</v>
      </c>
      <c r="K17" t="str">
        <f>IF(ISNA(VLOOKUP(A17,ResultDB!$A:$A,1,FALSE)),"","x")</f>
        <v>x</v>
      </c>
    </row>
    <row r="18" spans="1:11" x14ac:dyDescent="0.3">
      <c r="A18" t="s">
        <v>888</v>
      </c>
      <c r="B18" t="s">
        <v>865</v>
      </c>
      <c r="C18" t="s">
        <v>819</v>
      </c>
      <c r="D18" s="73" t="s">
        <v>196</v>
      </c>
      <c r="E18">
        <v>8</v>
      </c>
      <c r="F18">
        <v>2</v>
      </c>
      <c r="G18">
        <v>8</v>
      </c>
      <c r="H18">
        <v>13</v>
      </c>
      <c r="K18" t="str">
        <f>IF(ISNA(VLOOKUP(A18,ResultDB!$A:$A,1,FALSE)),"","x")</f>
        <v>x</v>
      </c>
    </row>
    <row r="19" spans="1:11" x14ac:dyDescent="0.3">
      <c r="A19" t="s">
        <v>889</v>
      </c>
      <c r="B19" t="s">
        <v>865</v>
      </c>
      <c r="C19" t="s">
        <v>813</v>
      </c>
      <c r="D19" s="73" t="s">
        <v>196</v>
      </c>
      <c r="E19">
        <v>1</v>
      </c>
      <c r="F19">
        <v>2</v>
      </c>
      <c r="G19">
        <v>15</v>
      </c>
      <c r="H19">
        <v>16</v>
      </c>
      <c r="K19" t="str">
        <f>IF(ISNA(VLOOKUP(A19,ResultDB!$A:$A,1,FALSE)),"","x")</f>
        <v>x</v>
      </c>
    </row>
    <row r="20" spans="1:11" x14ac:dyDescent="0.3">
      <c r="A20" t="s">
        <v>890</v>
      </c>
      <c r="B20" t="s">
        <v>865</v>
      </c>
      <c r="C20" t="s">
        <v>813</v>
      </c>
      <c r="D20" s="73" t="s">
        <v>196</v>
      </c>
      <c r="E20">
        <v>2</v>
      </c>
      <c r="F20">
        <v>2</v>
      </c>
      <c r="G20">
        <v>15</v>
      </c>
      <c r="H20">
        <v>16</v>
      </c>
      <c r="K20" t="str">
        <f>IF(ISNA(VLOOKUP(A20,ResultDB!$A:$A,1,FALSE)),"","x")</f>
        <v>x</v>
      </c>
    </row>
    <row r="21" spans="1:11" x14ac:dyDescent="0.3">
      <c r="A21" t="s">
        <v>891</v>
      </c>
      <c r="B21" t="s">
        <v>865</v>
      </c>
      <c r="C21" t="s">
        <v>813</v>
      </c>
      <c r="D21" s="73" t="s">
        <v>196</v>
      </c>
      <c r="E21">
        <v>3</v>
      </c>
      <c r="F21">
        <v>2</v>
      </c>
      <c r="G21">
        <v>15</v>
      </c>
      <c r="H21">
        <v>17</v>
      </c>
      <c r="K21" t="str">
        <f>IF(ISNA(VLOOKUP(A21,ResultDB!$A:$A,1,FALSE)),"","x")</f>
        <v>x</v>
      </c>
    </row>
    <row r="22" spans="1:11" x14ac:dyDescent="0.3">
      <c r="A22" t="s">
        <v>892</v>
      </c>
      <c r="B22" t="s">
        <v>865</v>
      </c>
      <c r="C22" t="s">
        <v>820</v>
      </c>
      <c r="D22" s="73" t="s">
        <v>196</v>
      </c>
      <c r="E22">
        <v>1</v>
      </c>
      <c r="F22">
        <v>2</v>
      </c>
      <c r="G22">
        <v>19</v>
      </c>
      <c r="H22">
        <v>21</v>
      </c>
      <c r="K22" t="str">
        <f>IF(ISNA(VLOOKUP(A22,ResultDB!$A:$A,1,FALSE)),"","x")</f>
        <v>x</v>
      </c>
    </row>
    <row r="23" spans="1:11" x14ac:dyDescent="0.3">
      <c r="A23" t="s">
        <v>893</v>
      </c>
      <c r="B23" t="s">
        <v>865</v>
      </c>
      <c r="C23" t="s">
        <v>820</v>
      </c>
      <c r="D23" s="73" t="s">
        <v>196</v>
      </c>
      <c r="E23">
        <v>2</v>
      </c>
      <c r="F23">
        <v>2</v>
      </c>
      <c r="G23">
        <v>19</v>
      </c>
      <c r="H23">
        <v>21</v>
      </c>
      <c r="K23" t="str">
        <f>IF(ISNA(VLOOKUP(A23,ResultDB!$A:$A,1,FALSE)),"","x")</f>
        <v>x</v>
      </c>
    </row>
    <row r="24" spans="1:11" x14ac:dyDescent="0.3">
      <c r="A24" t="s">
        <v>894</v>
      </c>
      <c r="B24" t="s">
        <v>865</v>
      </c>
      <c r="C24" t="s">
        <v>820</v>
      </c>
      <c r="D24" s="73" t="s">
        <v>196</v>
      </c>
      <c r="E24">
        <v>3</v>
      </c>
      <c r="F24">
        <v>2</v>
      </c>
      <c r="G24">
        <v>19</v>
      </c>
      <c r="H24">
        <v>22</v>
      </c>
      <c r="K24" t="str">
        <f>IF(ISNA(VLOOKUP(A24,ResultDB!$A:$A,1,FALSE)),"","x")</f>
        <v>x</v>
      </c>
    </row>
    <row r="25" spans="1:11" x14ac:dyDescent="0.3">
      <c r="A25" t="s">
        <v>895</v>
      </c>
      <c r="B25" t="s">
        <v>865</v>
      </c>
      <c r="C25" t="s">
        <v>820</v>
      </c>
      <c r="D25" s="73" t="s">
        <v>196</v>
      </c>
      <c r="E25">
        <v>4</v>
      </c>
      <c r="F25">
        <v>2</v>
      </c>
      <c r="G25">
        <v>20</v>
      </c>
      <c r="H25">
        <v>22</v>
      </c>
      <c r="K25" t="str">
        <f>IF(ISNA(VLOOKUP(A25,ResultDB!$A:$A,1,FALSE)),"","x")</f>
        <v>x</v>
      </c>
    </row>
    <row r="26" spans="1:11" x14ac:dyDescent="0.3">
      <c r="A26" t="s">
        <v>896</v>
      </c>
      <c r="B26" t="s">
        <v>865</v>
      </c>
      <c r="C26" t="s">
        <v>820</v>
      </c>
      <c r="D26" s="73" t="s">
        <v>196</v>
      </c>
      <c r="E26">
        <v>5</v>
      </c>
      <c r="F26">
        <v>2</v>
      </c>
      <c r="G26">
        <v>20</v>
      </c>
      <c r="H26">
        <v>23</v>
      </c>
      <c r="K26" t="str">
        <f>IF(ISNA(VLOOKUP(A26,ResultDB!$A:$A,1,FALSE)),"","x")</f>
        <v>x</v>
      </c>
    </row>
    <row r="27" spans="1:11" x14ac:dyDescent="0.3">
      <c r="A27" t="s">
        <v>897</v>
      </c>
      <c r="B27" t="s">
        <v>865</v>
      </c>
      <c r="C27" t="s">
        <v>820</v>
      </c>
      <c r="D27" s="73" t="s">
        <v>196</v>
      </c>
      <c r="E27">
        <v>6</v>
      </c>
      <c r="F27">
        <v>2</v>
      </c>
      <c r="G27">
        <v>20</v>
      </c>
      <c r="H27">
        <v>23</v>
      </c>
      <c r="K27" t="str">
        <f>IF(ISNA(VLOOKUP(A27,ResultDB!$A:$A,1,FALSE)),"","x")</f>
        <v>x</v>
      </c>
    </row>
    <row r="28" spans="1:11" x14ac:dyDescent="0.3">
      <c r="A28" t="s">
        <v>898</v>
      </c>
      <c r="B28" t="s">
        <v>865</v>
      </c>
      <c r="C28" t="s">
        <v>820</v>
      </c>
      <c r="D28" s="73" t="s">
        <v>196</v>
      </c>
      <c r="E28">
        <v>7</v>
      </c>
      <c r="F28">
        <v>2</v>
      </c>
      <c r="G28">
        <v>20</v>
      </c>
      <c r="H28">
        <v>23</v>
      </c>
      <c r="K28" t="str">
        <f>IF(ISNA(VLOOKUP(A28,ResultDB!$A:$A,1,FALSE)),"","x")</f>
        <v>x</v>
      </c>
    </row>
    <row r="29" spans="1:11" x14ac:dyDescent="0.3">
      <c r="A29" t="s">
        <v>899</v>
      </c>
      <c r="B29" t="s">
        <v>865</v>
      </c>
      <c r="C29" t="s">
        <v>814</v>
      </c>
      <c r="D29" s="73" t="s">
        <v>196</v>
      </c>
      <c r="E29">
        <v>1</v>
      </c>
      <c r="F29">
        <v>2</v>
      </c>
      <c r="G29">
        <v>24</v>
      </c>
      <c r="H29">
        <v>26</v>
      </c>
      <c r="K29" t="str">
        <f>IF(ISNA(VLOOKUP(A29,ResultDB!$A:$A,1,FALSE)),"","x")</f>
        <v>x</v>
      </c>
    </row>
    <row r="30" spans="1:11" x14ac:dyDescent="0.3">
      <c r="A30" t="s">
        <v>900</v>
      </c>
      <c r="B30" t="s">
        <v>865</v>
      </c>
      <c r="C30" t="s">
        <v>814</v>
      </c>
      <c r="D30" s="73" t="s">
        <v>196</v>
      </c>
      <c r="E30">
        <v>2</v>
      </c>
      <c r="F30">
        <v>2</v>
      </c>
      <c r="G30">
        <v>24</v>
      </c>
      <c r="H30">
        <v>26</v>
      </c>
      <c r="K30" t="str">
        <f>IF(ISNA(VLOOKUP(A30,ResultDB!$A:$A,1,FALSE)),"","x")</f>
        <v>x</v>
      </c>
    </row>
    <row r="31" spans="1:11" x14ac:dyDescent="0.3">
      <c r="A31" t="s">
        <v>901</v>
      </c>
      <c r="B31" t="s">
        <v>865</v>
      </c>
      <c r="C31" t="s">
        <v>814</v>
      </c>
      <c r="D31" s="73" t="s">
        <v>196</v>
      </c>
      <c r="E31">
        <v>3</v>
      </c>
      <c r="F31">
        <v>2</v>
      </c>
      <c r="G31">
        <v>24</v>
      </c>
      <c r="H31">
        <v>27</v>
      </c>
      <c r="K31" t="str">
        <f>IF(ISNA(VLOOKUP(A31,ResultDB!$A:$A,1,FALSE)),"","x")</f>
        <v>x</v>
      </c>
    </row>
    <row r="32" spans="1:11" x14ac:dyDescent="0.3">
      <c r="A32" t="s">
        <v>902</v>
      </c>
      <c r="B32" t="s">
        <v>865</v>
      </c>
      <c r="C32" t="s">
        <v>814</v>
      </c>
      <c r="D32" s="73" t="s">
        <v>196</v>
      </c>
      <c r="E32">
        <v>4</v>
      </c>
      <c r="F32">
        <v>2</v>
      </c>
      <c r="G32">
        <v>24</v>
      </c>
      <c r="H32">
        <v>27</v>
      </c>
      <c r="K32" t="str">
        <f>IF(ISNA(VLOOKUP(A32,ResultDB!$A:$A,1,FALSE)),"","x")</f>
        <v>x</v>
      </c>
    </row>
    <row r="33" spans="1:11" x14ac:dyDescent="0.3">
      <c r="A33" t="s">
        <v>903</v>
      </c>
      <c r="B33" t="s">
        <v>865</v>
      </c>
      <c r="C33" t="s">
        <v>814</v>
      </c>
      <c r="D33" s="73" t="s">
        <v>196</v>
      </c>
      <c r="E33">
        <v>5</v>
      </c>
      <c r="F33">
        <v>2</v>
      </c>
      <c r="G33">
        <v>25</v>
      </c>
      <c r="H33">
        <v>28</v>
      </c>
      <c r="K33" t="str">
        <f>IF(ISNA(VLOOKUP(A33,ResultDB!$A:$A,1,FALSE)),"","x")</f>
        <v>x</v>
      </c>
    </row>
    <row r="34" spans="1:11" x14ac:dyDescent="0.3">
      <c r="A34" t="s">
        <v>904</v>
      </c>
      <c r="B34" t="s">
        <v>865</v>
      </c>
      <c r="C34" t="s">
        <v>821</v>
      </c>
      <c r="D34" s="73" t="s">
        <v>196</v>
      </c>
      <c r="E34">
        <v>1</v>
      </c>
      <c r="F34">
        <v>2</v>
      </c>
      <c r="G34">
        <v>29</v>
      </c>
      <c r="H34">
        <v>30</v>
      </c>
      <c r="K34" t="str">
        <f>IF(ISNA(VLOOKUP(A34,ResultDB!$A:$A,1,FALSE)),"","x")</f>
        <v>x</v>
      </c>
    </row>
    <row r="35" spans="1:11" x14ac:dyDescent="0.3">
      <c r="A35" t="s">
        <v>905</v>
      </c>
      <c r="B35" t="s">
        <v>865</v>
      </c>
      <c r="C35" t="s">
        <v>821</v>
      </c>
      <c r="D35" s="73" t="s">
        <v>196</v>
      </c>
      <c r="E35">
        <v>2</v>
      </c>
      <c r="F35">
        <v>2</v>
      </c>
      <c r="G35">
        <v>29</v>
      </c>
      <c r="H35">
        <v>30</v>
      </c>
      <c r="K35" t="str">
        <f>IF(ISNA(VLOOKUP(A35,ResultDB!$A:$A,1,FALSE)),"","x")</f>
        <v>x</v>
      </c>
    </row>
    <row r="36" spans="1:11" x14ac:dyDescent="0.3">
      <c r="A36" t="s">
        <v>906</v>
      </c>
      <c r="B36" t="s">
        <v>865</v>
      </c>
      <c r="C36" t="s">
        <v>821</v>
      </c>
      <c r="D36" s="73" t="s">
        <v>196</v>
      </c>
      <c r="E36">
        <v>3</v>
      </c>
      <c r="F36">
        <v>2</v>
      </c>
      <c r="G36">
        <v>29</v>
      </c>
      <c r="H36">
        <v>30</v>
      </c>
      <c r="K36" t="str">
        <f>IF(ISNA(VLOOKUP(A36,ResultDB!$A:$A,1,FALSE)),"","x")</f>
        <v>x</v>
      </c>
    </row>
    <row r="37" spans="1:11" x14ac:dyDescent="0.3">
      <c r="A37" t="s">
        <v>907</v>
      </c>
      <c r="B37" t="s">
        <v>865</v>
      </c>
      <c r="C37" t="s">
        <v>821</v>
      </c>
      <c r="D37" s="73" t="s">
        <v>196</v>
      </c>
      <c r="E37">
        <v>4</v>
      </c>
      <c r="F37">
        <v>2</v>
      </c>
      <c r="G37">
        <v>29</v>
      </c>
      <c r="H37">
        <v>30</v>
      </c>
      <c r="K37" t="str">
        <f>IF(ISNA(VLOOKUP(A37,ResultDB!$A:$A,1,FALSE)),"","x")</f>
        <v>x</v>
      </c>
    </row>
    <row r="38" spans="1:11" x14ac:dyDescent="0.3">
      <c r="A38" t="s">
        <v>908</v>
      </c>
      <c r="B38" t="s">
        <v>865</v>
      </c>
      <c r="C38" t="s">
        <v>821</v>
      </c>
      <c r="D38" s="73" t="s">
        <v>196</v>
      </c>
      <c r="E38">
        <v>5</v>
      </c>
      <c r="F38">
        <v>2</v>
      </c>
      <c r="G38">
        <v>29</v>
      </c>
      <c r="H38">
        <v>31</v>
      </c>
      <c r="K38" t="str">
        <f>IF(ISNA(VLOOKUP(A38,ResultDB!$A:$A,1,FALSE)),"","x")</f>
        <v>x</v>
      </c>
    </row>
    <row r="39" spans="1:11" x14ac:dyDescent="0.3">
      <c r="A39" t="s">
        <v>909</v>
      </c>
      <c r="B39" t="s">
        <v>865</v>
      </c>
      <c r="C39" t="s">
        <v>821</v>
      </c>
      <c r="D39" s="73" t="s">
        <v>196</v>
      </c>
      <c r="E39">
        <v>6</v>
      </c>
      <c r="F39">
        <v>2</v>
      </c>
      <c r="G39">
        <v>29</v>
      </c>
      <c r="H39">
        <v>31</v>
      </c>
      <c r="K39" t="str">
        <f>IF(ISNA(VLOOKUP(A39,ResultDB!$A:$A,1,FALSE)),"","x")</f>
        <v>x</v>
      </c>
    </row>
    <row r="40" spans="1:11" x14ac:dyDescent="0.3">
      <c r="A40" t="s">
        <v>910</v>
      </c>
      <c r="B40" t="s">
        <v>865</v>
      </c>
      <c r="C40" t="s">
        <v>823</v>
      </c>
      <c r="D40" s="73" t="s">
        <v>196</v>
      </c>
      <c r="E40">
        <v>1</v>
      </c>
      <c r="F40">
        <v>2</v>
      </c>
      <c r="G40">
        <v>32</v>
      </c>
      <c r="H40">
        <v>34</v>
      </c>
      <c r="K40" t="str">
        <f>IF(ISNA(VLOOKUP(A40,ResultDB!$A:$A,1,FALSE)),"","x")</f>
        <v>x</v>
      </c>
    </row>
    <row r="41" spans="1:11" x14ac:dyDescent="0.3">
      <c r="A41" t="s">
        <v>911</v>
      </c>
      <c r="B41" t="s">
        <v>865</v>
      </c>
      <c r="C41" t="s">
        <v>823</v>
      </c>
      <c r="D41" s="73" t="s">
        <v>196</v>
      </c>
      <c r="E41">
        <v>2</v>
      </c>
      <c r="F41">
        <v>2</v>
      </c>
      <c r="G41">
        <v>32</v>
      </c>
      <c r="H41">
        <v>34</v>
      </c>
      <c r="K41" t="str">
        <f>IF(ISNA(VLOOKUP(A41,ResultDB!$A:$A,1,FALSE)),"","x")</f>
        <v>x</v>
      </c>
    </row>
    <row r="42" spans="1:11" x14ac:dyDescent="0.3">
      <c r="A42" t="s">
        <v>912</v>
      </c>
      <c r="B42" t="s">
        <v>865</v>
      </c>
      <c r="C42" t="s">
        <v>823</v>
      </c>
      <c r="D42" s="73" t="s">
        <v>196</v>
      </c>
      <c r="E42">
        <v>3</v>
      </c>
      <c r="F42">
        <v>2</v>
      </c>
      <c r="G42">
        <v>32</v>
      </c>
      <c r="H42">
        <v>35</v>
      </c>
      <c r="K42" t="str">
        <f>IF(ISNA(VLOOKUP(A42,ResultDB!$A:$A,1,FALSE)),"","x")</f>
        <v>x</v>
      </c>
    </row>
    <row r="43" spans="1:11" x14ac:dyDescent="0.3">
      <c r="A43" t="s">
        <v>913</v>
      </c>
      <c r="B43" t="s">
        <v>865</v>
      </c>
      <c r="C43" t="s">
        <v>823</v>
      </c>
      <c r="D43" s="73" t="s">
        <v>196</v>
      </c>
      <c r="E43">
        <v>4</v>
      </c>
      <c r="F43">
        <v>2</v>
      </c>
      <c r="G43">
        <v>33</v>
      </c>
      <c r="H43">
        <v>35</v>
      </c>
      <c r="K43" t="str">
        <f>IF(ISNA(VLOOKUP(A43,ResultDB!$A:$A,1,FALSE)),"","x")</f>
        <v>x</v>
      </c>
    </row>
    <row r="44" spans="1:11" x14ac:dyDescent="0.3">
      <c r="A44" t="s">
        <v>914</v>
      </c>
      <c r="B44" t="s">
        <v>865</v>
      </c>
      <c r="C44" t="s">
        <v>815</v>
      </c>
      <c r="D44" s="73" t="s">
        <v>196</v>
      </c>
      <c r="E44">
        <v>1</v>
      </c>
      <c r="F44">
        <v>2</v>
      </c>
      <c r="G44">
        <v>37</v>
      </c>
      <c r="H44">
        <v>39</v>
      </c>
      <c r="K44" t="str">
        <f>IF(ISNA(VLOOKUP(A44,ResultDB!$A:$A,1,FALSE)),"","x")</f>
        <v>x</v>
      </c>
    </row>
    <row r="45" spans="1:11" x14ac:dyDescent="0.3">
      <c r="A45" t="s">
        <v>915</v>
      </c>
      <c r="B45" t="s">
        <v>865</v>
      </c>
      <c r="C45" t="s">
        <v>815</v>
      </c>
      <c r="D45" s="73" t="s">
        <v>196</v>
      </c>
      <c r="E45">
        <v>2</v>
      </c>
      <c r="F45">
        <v>2</v>
      </c>
      <c r="G45">
        <v>37</v>
      </c>
      <c r="H45">
        <v>40</v>
      </c>
      <c r="K45" t="str">
        <f>IF(ISNA(VLOOKUP(A45,ResultDB!$A:$A,1,FALSE)),"","x")</f>
        <v>x</v>
      </c>
    </row>
    <row r="46" spans="1:11" x14ac:dyDescent="0.3">
      <c r="A46" t="s">
        <v>916</v>
      </c>
      <c r="B46" t="s">
        <v>865</v>
      </c>
      <c r="C46" t="s">
        <v>815</v>
      </c>
      <c r="D46" s="73" t="s">
        <v>196</v>
      </c>
      <c r="E46">
        <v>3</v>
      </c>
      <c r="F46">
        <v>2</v>
      </c>
      <c r="G46">
        <v>38</v>
      </c>
      <c r="H46">
        <v>40</v>
      </c>
      <c r="K46" t="str">
        <f>IF(ISNA(VLOOKUP(A46,ResultDB!$A:$A,1,FALSE)),"","x")</f>
        <v>x</v>
      </c>
    </row>
    <row r="47" spans="1:11" x14ac:dyDescent="0.3">
      <c r="A47" t="s">
        <v>917</v>
      </c>
      <c r="B47" t="s">
        <v>865</v>
      </c>
      <c r="C47" t="s">
        <v>815</v>
      </c>
      <c r="D47" s="73" t="s">
        <v>196</v>
      </c>
      <c r="E47">
        <v>4</v>
      </c>
      <c r="F47">
        <v>2</v>
      </c>
      <c r="G47">
        <v>38</v>
      </c>
      <c r="H47">
        <v>41</v>
      </c>
      <c r="K47" t="str">
        <f>IF(ISNA(VLOOKUP(A47,ResultDB!$A:$A,1,FALSE)),"","x")</f>
        <v>x</v>
      </c>
    </row>
    <row r="48" spans="1:11" x14ac:dyDescent="0.3">
      <c r="A48" t="s">
        <v>918</v>
      </c>
      <c r="B48" t="s">
        <v>865</v>
      </c>
      <c r="C48" t="s">
        <v>815</v>
      </c>
      <c r="D48" s="73" t="s">
        <v>196</v>
      </c>
      <c r="E48">
        <v>5</v>
      </c>
      <c r="F48">
        <v>2</v>
      </c>
      <c r="G48">
        <v>38</v>
      </c>
      <c r="H48">
        <v>42</v>
      </c>
      <c r="K48" t="str">
        <f>IF(ISNA(VLOOKUP(A48,ResultDB!$A:$A,1,FALSE)),"","x")</f>
        <v>x</v>
      </c>
    </row>
    <row r="49" spans="1:11" x14ac:dyDescent="0.3">
      <c r="A49" t="s">
        <v>919</v>
      </c>
      <c r="B49" t="s">
        <v>866</v>
      </c>
      <c r="C49" t="s">
        <v>828</v>
      </c>
      <c r="D49" s="73" t="s">
        <v>196</v>
      </c>
      <c r="E49">
        <v>1</v>
      </c>
      <c r="F49">
        <v>2</v>
      </c>
      <c r="G49">
        <v>1</v>
      </c>
      <c r="H49">
        <v>3</v>
      </c>
      <c r="K49" t="str">
        <f>IF(ISNA(VLOOKUP(A49,ResultDB!$A:$A,1,FALSE)),"","x")</f>
        <v>x</v>
      </c>
    </row>
    <row r="50" spans="1:11" x14ac:dyDescent="0.3">
      <c r="A50" t="s">
        <v>920</v>
      </c>
      <c r="B50" t="s">
        <v>866</v>
      </c>
      <c r="C50" t="s">
        <v>828</v>
      </c>
      <c r="D50" s="73" t="s">
        <v>196</v>
      </c>
      <c r="E50">
        <v>2</v>
      </c>
      <c r="F50">
        <v>2</v>
      </c>
      <c r="G50">
        <v>1</v>
      </c>
      <c r="H50">
        <v>3</v>
      </c>
      <c r="K50" t="str">
        <f>IF(ISNA(VLOOKUP(A50,ResultDB!$A:$A,1,FALSE)),"","x")</f>
        <v>x</v>
      </c>
    </row>
    <row r="51" spans="1:11" x14ac:dyDescent="0.3">
      <c r="A51" t="s">
        <v>921</v>
      </c>
      <c r="B51" t="s">
        <v>866</v>
      </c>
      <c r="C51" t="s">
        <v>828</v>
      </c>
      <c r="D51" s="73" t="s">
        <v>196</v>
      </c>
      <c r="E51">
        <v>3</v>
      </c>
      <c r="F51">
        <v>2</v>
      </c>
      <c r="G51">
        <v>1</v>
      </c>
      <c r="H51">
        <v>4</v>
      </c>
      <c r="K51" t="str">
        <f>IF(ISNA(VLOOKUP(A51,ResultDB!$A:$A,1,FALSE)),"","x")</f>
        <v>x</v>
      </c>
    </row>
    <row r="52" spans="1:11" x14ac:dyDescent="0.3">
      <c r="A52" t="s">
        <v>922</v>
      </c>
      <c r="B52" t="s">
        <v>866</v>
      </c>
      <c r="C52" t="s">
        <v>828</v>
      </c>
      <c r="D52" s="73" t="s">
        <v>196</v>
      </c>
      <c r="E52">
        <v>4</v>
      </c>
      <c r="F52">
        <v>2</v>
      </c>
      <c r="G52">
        <v>1</v>
      </c>
      <c r="H52">
        <v>4</v>
      </c>
      <c r="K52" t="str">
        <f>IF(ISNA(VLOOKUP(A52,ResultDB!$A:$A,1,FALSE)),"","x")</f>
        <v>x</v>
      </c>
    </row>
    <row r="53" spans="1:11" x14ac:dyDescent="0.3">
      <c r="A53" t="s">
        <v>923</v>
      </c>
      <c r="B53" t="s">
        <v>866</v>
      </c>
      <c r="C53" t="s">
        <v>828</v>
      </c>
      <c r="D53" s="73" t="s">
        <v>196</v>
      </c>
      <c r="E53">
        <v>5</v>
      </c>
      <c r="F53">
        <v>2</v>
      </c>
      <c r="G53">
        <v>2</v>
      </c>
      <c r="H53">
        <v>5</v>
      </c>
      <c r="K53" t="str">
        <f>IF(ISNA(VLOOKUP(A53,ResultDB!$A:$A,1,FALSE)),"","x")</f>
        <v>x</v>
      </c>
    </row>
    <row r="54" spans="1:11" x14ac:dyDescent="0.3">
      <c r="A54" t="s">
        <v>924</v>
      </c>
      <c r="B54" t="s">
        <v>866</v>
      </c>
      <c r="C54" t="s">
        <v>828</v>
      </c>
      <c r="D54" s="73" t="s">
        <v>196</v>
      </c>
      <c r="E54">
        <v>6</v>
      </c>
      <c r="F54">
        <v>2</v>
      </c>
      <c r="G54">
        <v>2</v>
      </c>
      <c r="H54">
        <v>5</v>
      </c>
      <c r="K54" t="str">
        <f>IF(ISNA(VLOOKUP(A54,ResultDB!$A:$A,1,FALSE)),"","x")</f>
        <v>x</v>
      </c>
    </row>
    <row r="55" spans="1:11" x14ac:dyDescent="0.3">
      <c r="A55" t="s">
        <v>925</v>
      </c>
      <c r="B55" t="s">
        <v>866</v>
      </c>
      <c r="C55" t="s">
        <v>828</v>
      </c>
      <c r="D55" s="73" t="s">
        <v>196</v>
      </c>
      <c r="E55">
        <v>7</v>
      </c>
      <c r="F55">
        <v>2</v>
      </c>
      <c r="G55">
        <v>2</v>
      </c>
      <c r="H55">
        <v>6</v>
      </c>
      <c r="K55" t="str">
        <f>IF(ISNA(VLOOKUP(A55,ResultDB!$A:$A,1,FALSE)),"","x")</f>
        <v>x</v>
      </c>
    </row>
    <row r="56" spans="1:11" x14ac:dyDescent="0.3">
      <c r="A56" t="s">
        <v>926</v>
      </c>
      <c r="B56" t="s">
        <v>866</v>
      </c>
      <c r="C56" t="s">
        <v>826</v>
      </c>
      <c r="D56" s="73" t="s">
        <v>196</v>
      </c>
      <c r="E56">
        <v>1</v>
      </c>
      <c r="F56">
        <v>2</v>
      </c>
      <c r="G56">
        <v>7</v>
      </c>
      <c r="H56">
        <v>9</v>
      </c>
      <c r="K56" t="str">
        <f>IF(ISNA(VLOOKUP(A56,ResultDB!$A:$A,1,FALSE)),"","x")</f>
        <v>x</v>
      </c>
    </row>
    <row r="57" spans="1:11" x14ac:dyDescent="0.3">
      <c r="A57" t="s">
        <v>927</v>
      </c>
      <c r="B57" t="s">
        <v>866</v>
      </c>
      <c r="C57" t="s">
        <v>826</v>
      </c>
      <c r="D57" s="73" t="s">
        <v>196</v>
      </c>
      <c r="E57">
        <v>2</v>
      </c>
      <c r="F57">
        <v>2</v>
      </c>
      <c r="G57">
        <v>7</v>
      </c>
      <c r="H57">
        <v>9</v>
      </c>
      <c r="K57" t="str">
        <f>IF(ISNA(VLOOKUP(A57,ResultDB!$A:$A,1,FALSE)),"","x")</f>
        <v>x</v>
      </c>
    </row>
    <row r="58" spans="1:11" x14ac:dyDescent="0.3">
      <c r="A58" t="s">
        <v>928</v>
      </c>
      <c r="B58" t="s">
        <v>866</v>
      </c>
      <c r="C58" t="s">
        <v>826</v>
      </c>
      <c r="D58" s="73" t="s">
        <v>196</v>
      </c>
      <c r="E58">
        <v>3</v>
      </c>
      <c r="F58">
        <v>2</v>
      </c>
      <c r="G58">
        <v>7</v>
      </c>
      <c r="H58">
        <v>11</v>
      </c>
      <c r="K58" t="str">
        <f>IF(ISNA(VLOOKUP(A58,ResultDB!$A:$A,1,FALSE)),"","x")</f>
        <v>x</v>
      </c>
    </row>
    <row r="59" spans="1:11" x14ac:dyDescent="0.3">
      <c r="A59" t="s">
        <v>929</v>
      </c>
      <c r="B59" t="s">
        <v>866</v>
      </c>
      <c r="C59" t="s">
        <v>826</v>
      </c>
      <c r="D59" s="73" t="s">
        <v>196</v>
      </c>
      <c r="E59">
        <v>4</v>
      </c>
      <c r="F59">
        <v>2</v>
      </c>
      <c r="G59">
        <v>8</v>
      </c>
      <c r="H59">
        <v>12</v>
      </c>
      <c r="K59" t="str">
        <f>IF(ISNA(VLOOKUP(A59,ResultDB!$A:$A,1,FALSE)),"","x")</f>
        <v>x</v>
      </c>
    </row>
    <row r="60" spans="1:11" x14ac:dyDescent="0.3">
      <c r="A60" t="s">
        <v>930</v>
      </c>
      <c r="B60" t="s">
        <v>866</v>
      </c>
      <c r="C60" t="s">
        <v>826</v>
      </c>
      <c r="D60" s="73" t="s">
        <v>196</v>
      </c>
      <c r="E60">
        <v>5</v>
      </c>
      <c r="F60">
        <v>2</v>
      </c>
      <c r="G60">
        <v>8</v>
      </c>
      <c r="H60">
        <v>12</v>
      </c>
      <c r="K60" t="str">
        <f>IF(ISNA(VLOOKUP(A60,ResultDB!$A:$A,1,FALSE)),"","x")</f>
        <v>x</v>
      </c>
    </row>
    <row r="61" spans="1:11" x14ac:dyDescent="0.3">
      <c r="A61" t="s">
        <v>931</v>
      </c>
      <c r="B61" t="s">
        <v>866</v>
      </c>
      <c r="C61" t="s">
        <v>826</v>
      </c>
      <c r="D61" s="73" t="s">
        <v>196</v>
      </c>
      <c r="E61">
        <v>6</v>
      </c>
      <c r="F61">
        <v>2</v>
      </c>
      <c r="G61">
        <v>8</v>
      </c>
      <c r="H61">
        <v>13</v>
      </c>
      <c r="K61" t="str">
        <f>IF(ISNA(VLOOKUP(A61,ResultDB!$A:$A,1,FALSE)),"","x")</f>
        <v>x</v>
      </c>
    </row>
    <row r="62" spans="1:11" x14ac:dyDescent="0.3">
      <c r="A62" t="s">
        <v>932</v>
      </c>
      <c r="B62" t="s">
        <v>866</v>
      </c>
      <c r="C62" t="s">
        <v>767</v>
      </c>
      <c r="D62" s="73" t="s">
        <v>196</v>
      </c>
      <c r="E62">
        <v>1</v>
      </c>
      <c r="F62">
        <v>2</v>
      </c>
      <c r="G62">
        <v>16</v>
      </c>
      <c r="H62">
        <v>17</v>
      </c>
      <c r="K62" t="str">
        <f>IF(ISNA(VLOOKUP(A62,ResultDB!$A:$A,1,FALSE)),"","x")</f>
        <v>x</v>
      </c>
    </row>
    <row r="63" spans="1:11" x14ac:dyDescent="0.3">
      <c r="A63" t="s">
        <v>933</v>
      </c>
      <c r="B63" t="s">
        <v>866</v>
      </c>
      <c r="C63" t="s">
        <v>767</v>
      </c>
      <c r="D63" s="73" t="s">
        <v>196</v>
      </c>
      <c r="E63">
        <v>2</v>
      </c>
      <c r="F63">
        <v>2</v>
      </c>
      <c r="G63">
        <v>16</v>
      </c>
      <c r="H63">
        <v>17</v>
      </c>
      <c r="K63" t="str">
        <f>IF(ISNA(VLOOKUP(A63,ResultDB!$A:$A,1,FALSE)),"","x")</f>
        <v>x</v>
      </c>
    </row>
    <row r="64" spans="1:11" x14ac:dyDescent="0.3">
      <c r="A64" t="s">
        <v>934</v>
      </c>
      <c r="B64" t="s">
        <v>866</v>
      </c>
      <c r="C64" t="s">
        <v>775</v>
      </c>
      <c r="D64" s="73" t="s">
        <v>196</v>
      </c>
      <c r="E64">
        <v>1</v>
      </c>
      <c r="F64">
        <v>2</v>
      </c>
      <c r="G64">
        <v>18</v>
      </c>
      <c r="H64">
        <v>19</v>
      </c>
      <c r="K64" t="str">
        <f>IF(ISNA(VLOOKUP(A64,ResultDB!$A:$A,1,FALSE)),"","x")</f>
        <v>x</v>
      </c>
    </row>
    <row r="65" spans="1:11" x14ac:dyDescent="0.3">
      <c r="A65" t="s">
        <v>935</v>
      </c>
      <c r="B65" t="s">
        <v>866</v>
      </c>
      <c r="C65" t="s">
        <v>775</v>
      </c>
      <c r="D65" s="73" t="s">
        <v>196</v>
      </c>
      <c r="E65">
        <v>2</v>
      </c>
      <c r="F65">
        <v>2</v>
      </c>
      <c r="G65">
        <v>18</v>
      </c>
      <c r="H65">
        <v>20</v>
      </c>
      <c r="K65" t="str">
        <f>IF(ISNA(VLOOKUP(A65,ResultDB!$A:$A,1,FALSE)),"","x")</f>
        <v>x</v>
      </c>
    </row>
    <row r="66" spans="1:11" x14ac:dyDescent="0.3">
      <c r="A66" t="s">
        <v>936</v>
      </c>
      <c r="B66" t="s">
        <v>866</v>
      </c>
      <c r="C66" t="s">
        <v>776</v>
      </c>
      <c r="D66" s="73" t="s">
        <v>196</v>
      </c>
      <c r="E66">
        <v>1</v>
      </c>
      <c r="F66">
        <v>2</v>
      </c>
      <c r="G66">
        <v>21</v>
      </c>
      <c r="H66">
        <v>22</v>
      </c>
      <c r="K66" t="str">
        <f>IF(ISNA(VLOOKUP(A66,ResultDB!$A:$A,1,FALSE)),"","x")</f>
        <v>x</v>
      </c>
    </row>
    <row r="67" spans="1:11" x14ac:dyDescent="0.3">
      <c r="A67" t="s">
        <v>937</v>
      </c>
      <c r="B67" t="s">
        <v>867</v>
      </c>
      <c r="C67" t="s">
        <v>818</v>
      </c>
      <c r="D67" s="73" t="s">
        <v>196</v>
      </c>
      <c r="E67">
        <v>1</v>
      </c>
      <c r="F67">
        <v>2</v>
      </c>
      <c r="G67">
        <v>1</v>
      </c>
      <c r="H67">
        <v>3</v>
      </c>
      <c r="K67" t="str">
        <f>IF(ISNA(VLOOKUP(A67,ResultDB!$A:$A,1,FALSE)),"","x")</f>
        <v>x</v>
      </c>
    </row>
    <row r="68" spans="1:11" x14ac:dyDescent="0.3">
      <c r="A68" t="s">
        <v>938</v>
      </c>
      <c r="B68" t="s">
        <v>867</v>
      </c>
      <c r="C68" t="s">
        <v>818</v>
      </c>
      <c r="D68" s="73" t="s">
        <v>196</v>
      </c>
      <c r="E68">
        <v>2</v>
      </c>
      <c r="F68">
        <v>2</v>
      </c>
      <c r="G68">
        <v>1</v>
      </c>
      <c r="H68">
        <v>3</v>
      </c>
      <c r="K68" t="str">
        <f>IF(ISNA(VLOOKUP(A68,ResultDB!$A:$A,1,FALSE)),"","x")</f>
        <v>x</v>
      </c>
    </row>
    <row r="69" spans="1:11" x14ac:dyDescent="0.3">
      <c r="A69" t="s">
        <v>939</v>
      </c>
      <c r="B69" t="s">
        <v>867</v>
      </c>
      <c r="C69" t="s">
        <v>818</v>
      </c>
      <c r="D69" s="73" t="s">
        <v>196</v>
      </c>
      <c r="E69">
        <v>3</v>
      </c>
      <c r="F69">
        <v>2</v>
      </c>
      <c r="G69">
        <v>1</v>
      </c>
      <c r="H69">
        <v>4</v>
      </c>
      <c r="K69" t="str">
        <f>IF(ISNA(VLOOKUP(A69,ResultDB!$A:$A,1,FALSE)),"","x")</f>
        <v>x</v>
      </c>
    </row>
    <row r="70" spans="1:11" x14ac:dyDescent="0.3">
      <c r="A70" t="s">
        <v>940</v>
      </c>
      <c r="B70" t="s">
        <v>867</v>
      </c>
      <c r="C70" t="s">
        <v>818</v>
      </c>
      <c r="D70" s="73" t="s">
        <v>196</v>
      </c>
      <c r="E70">
        <v>4</v>
      </c>
      <c r="F70">
        <v>2</v>
      </c>
      <c r="G70">
        <v>1</v>
      </c>
      <c r="H70">
        <v>4</v>
      </c>
      <c r="K70" t="str">
        <f>IF(ISNA(VLOOKUP(A70,ResultDB!$A:$A,1,FALSE)),"","x")</f>
        <v>x</v>
      </c>
    </row>
    <row r="71" spans="1:11" x14ac:dyDescent="0.3">
      <c r="A71" t="s">
        <v>941</v>
      </c>
      <c r="B71" t="s">
        <v>867</v>
      </c>
      <c r="C71" t="s">
        <v>818</v>
      </c>
      <c r="D71" s="73" t="s">
        <v>196</v>
      </c>
      <c r="E71">
        <v>5</v>
      </c>
      <c r="F71">
        <v>2</v>
      </c>
      <c r="G71">
        <v>2</v>
      </c>
      <c r="H71">
        <v>5</v>
      </c>
      <c r="K71" t="str">
        <f>IF(ISNA(VLOOKUP(A71,ResultDB!$A:$A,1,FALSE)),"","x")</f>
        <v>x</v>
      </c>
    </row>
    <row r="72" spans="1:11" x14ac:dyDescent="0.3">
      <c r="A72" t="s">
        <v>942</v>
      </c>
      <c r="B72" t="s">
        <v>867</v>
      </c>
      <c r="C72" t="s">
        <v>818</v>
      </c>
      <c r="D72" s="73" t="s">
        <v>196</v>
      </c>
      <c r="E72">
        <v>6</v>
      </c>
      <c r="F72">
        <v>2</v>
      </c>
      <c r="G72">
        <v>2</v>
      </c>
      <c r="H72">
        <v>6</v>
      </c>
      <c r="K72" t="str">
        <f>IF(ISNA(VLOOKUP(A72,ResultDB!$A:$A,1,FALSE)),"","x")</f>
        <v>x</v>
      </c>
    </row>
    <row r="73" spans="1:11" x14ac:dyDescent="0.3">
      <c r="A73" t="s">
        <v>943</v>
      </c>
      <c r="B73" t="s">
        <v>867</v>
      </c>
      <c r="C73" t="s">
        <v>818</v>
      </c>
      <c r="D73" s="73" t="s">
        <v>196</v>
      </c>
      <c r="E73">
        <v>7</v>
      </c>
      <c r="F73">
        <v>2</v>
      </c>
      <c r="G73">
        <v>2</v>
      </c>
      <c r="H73">
        <v>7</v>
      </c>
      <c r="K73" t="str">
        <f>IF(ISNA(VLOOKUP(A73,ResultDB!$A:$A,1,FALSE)),"","x")</f>
        <v>x</v>
      </c>
    </row>
    <row r="74" spans="1:11" x14ac:dyDescent="0.3">
      <c r="A74" t="s">
        <v>944</v>
      </c>
      <c r="B74" t="s">
        <v>867</v>
      </c>
      <c r="C74" t="s">
        <v>837</v>
      </c>
      <c r="D74" s="73" t="s">
        <v>196</v>
      </c>
      <c r="E74">
        <v>1</v>
      </c>
      <c r="F74">
        <v>2</v>
      </c>
      <c r="G74">
        <v>8</v>
      </c>
      <c r="H74">
        <v>10</v>
      </c>
      <c r="K74" t="str">
        <f>IF(ISNA(VLOOKUP(A74,ResultDB!$A:$A,1,FALSE)),"","x")</f>
        <v>x</v>
      </c>
    </row>
    <row r="75" spans="1:11" x14ac:dyDescent="0.3">
      <c r="A75" t="s">
        <v>945</v>
      </c>
      <c r="B75" t="s">
        <v>867</v>
      </c>
      <c r="C75" t="s">
        <v>837</v>
      </c>
      <c r="D75" s="73" t="s">
        <v>196</v>
      </c>
      <c r="E75">
        <v>2</v>
      </c>
      <c r="F75">
        <v>2</v>
      </c>
      <c r="G75">
        <v>8</v>
      </c>
      <c r="H75">
        <v>10</v>
      </c>
      <c r="K75" t="str">
        <f>IF(ISNA(VLOOKUP(A75,ResultDB!$A:$A,1,FALSE)),"","x")</f>
        <v>x</v>
      </c>
    </row>
    <row r="76" spans="1:11" x14ac:dyDescent="0.3">
      <c r="A76" t="s">
        <v>946</v>
      </c>
      <c r="B76" t="s">
        <v>867</v>
      </c>
      <c r="C76" t="s">
        <v>837</v>
      </c>
      <c r="D76" s="73" t="s">
        <v>196</v>
      </c>
      <c r="E76">
        <v>3</v>
      </c>
      <c r="F76">
        <v>2</v>
      </c>
      <c r="G76">
        <v>8</v>
      </c>
      <c r="H76">
        <v>12</v>
      </c>
      <c r="K76" t="str">
        <f>IF(ISNA(VLOOKUP(A76,ResultDB!$A:$A,1,FALSE)),"","x")</f>
        <v>x</v>
      </c>
    </row>
    <row r="77" spans="1:11" x14ac:dyDescent="0.3">
      <c r="A77" t="s">
        <v>947</v>
      </c>
      <c r="B77" t="s">
        <v>867</v>
      </c>
      <c r="C77" t="s">
        <v>837</v>
      </c>
      <c r="D77" s="73" t="s">
        <v>196</v>
      </c>
      <c r="E77">
        <v>4</v>
      </c>
      <c r="F77">
        <v>2</v>
      </c>
      <c r="G77">
        <v>9</v>
      </c>
      <c r="H77">
        <v>13</v>
      </c>
      <c r="K77" t="str">
        <f>IF(ISNA(VLOOKUP(A77,ResultDB!$A:$A,1,FALSE)),"","x")</f>
        <v>x</v>
      </c>
    </row>
    <row r="78" spans="1:11" x14ac:dyDescent="0.3">
      <c r="A78" t="s">
        <v>948</v>
      </c>
      <c r="B78" t="s">
        <v>867</v>
      </c>
      <c r="C78" t="s">
        <v>837</v>
      </c>
      <c r="D78" s="73" t="s">
        <v>196</v>
      </c>
      <c r="E78">
        <v>5</v>
      </c>
      <c r="F78">
        <v>2</v>
      </c>
      <c r="G78">
        <v>9</v>
      </c>
      <c r="H78">
        <v>14</v>
      </c>
      <c r="K78" t="str">
        <f>IF(ISNA(VLOOKUP(A78,ResultDB!$A:$A,1,FALSE)),"","x")</f>
        <v>x</v>
      </c>
    </row>
    <row r="79" spans="1:11" x14ac:dyDescent="0.3">
      <c r="A79" t="s">
        <v>949</v>
      </c>
      <c r="B79" t="s">
        <v>867</v>
      </c>
      <c r="C79" t="s">
        <v>837</v>
      </c>
      <c r="D79" s="73" t="s">
        <v>196</v>
      </c>
      <c r="E79">
        <v>6</v>
      </c>
      <c r="F79">
        <v>2</v>
      </c>
      <c r="G79">
        <v>9</v>
      </c>
      <c r="H79">
        <v>15</v>
      </c>
      <c r="K79" t="str">
        <f>IF(ISNA(VLOOKUP(A79,ResultDB!$A:$A,1,FALSE)),"","x")</f>
        <v>x</v>
      </c>
    </row>
    <row r="80" spans="1:11" x14ac:dyDescent="0.3">
      <c r="A80" t="s">
        <v>950</v>
      </c>
      <c r="B80" t="s">
        <v>867</v>
      </c>
      <c r="C80" t="s">
        <v>766</v>
      </c>
      <c r="D80" s="73" t="s">
        <v>196</v>
      </c>
      <c r="E80">
        <v>1</v>
      </c>
      <c r="F80">
        <v>2</v>
      </c>
      <c r="G80">
        <v>16</v>
      </c>
      <c r="H80">
        <v>17</v>
      </c>
      <c r="K80" t="str">
        <f>IF(ISNA(VLOOKUP(A80,ResultDB!$A:$A,1,FALSE)),"","x")</f>
        <v>x</v>
      </c>
    </row>
    <row r="81" spans="1:11" x14ac:dyDescent="0.3">
      <c r="A81" t="s">
        <v>951</v>
      </c>
      <c r="B81" t="s">
        <v>867</v>
      </c>
      <c r="C81" t="s">
        <v>766</v>
      </c>
      <c r="D81" s="73" t="s">
        <v>196</v>
      </c>
      <c r="E81">
        <v>2</v>
      </c>
      <c r="F81">
        <v>2</v>
      </c>
      <c r="G81">
        <v>16</v>
      </c>
      <c r="H81">
        <v>17</v>
      </c>
      <c r="K81" t="str">
        <f>IF(ISNA(VLOOKUP(A81,ResultDB!$A:$A,1,FALSE)),"","x")</f>
        <v>x</v>
      </c>
    </row>
    <row r="82" spans="1:11" x14ac:dyDescent="0.3">
      <c r="A82" t="s">
        <v>952</v>
      </c>
      <c r="B82" t="s">
        <v>867</v>
      </c>
      <c r="C82" t="s">
        <v>766</v>
      </c>
      <c r="D82" s="73" t="s">
        <v>196</v>
      </c>
      <c r="E82">
        <v>3</v>
      </c>
      <c r="F82">
        <v>2</v>
      </c>
      <c r="G82">
        <v>16</v>
      </c>
      <c r="H82">
        <v>17</v>
      </c>
      <c r="K82" t="str">
        <f>IF(ISNA(VLOOKUP(A82,ResultDB!$A:$A,1,FALSE)),"","x")</f>
        <v>x</v>
      </c>
    </row>
    <row r="83" spans="1:11" x14ac:dyDescent="0.3">
      <c r="A83" t="s">
        <v>953</v>
      </c>
      <c r="B83" t="s">
        <v>867</v>
      </c>
      <c r="C83" t="s">
        <v>762</v>
      </c>
      <c r="D83" s="73" t="s">
        <v>196</v>
      </c>
      <c r="E83">
        <v>1</v>
      </c>
      <c r="F83">
        <v>2</v>
      </c>
      <c r="G83">
        <v>19</v>
      </c>
      <c r="H83">
        <v>21</v>
      </c>
      <c r="K83" t="str">
        <f>IF(ISNA(VLOOKUP(A83,ResultDB!$A:$A,1,FALSE)),"","x")</f>
        <v>x</v>
      </c>
    </row>
    <row r="84" spans="1:11" x14ac:dyDescent="0.3">
      <c r="A84" t="s">
        <v>954</v>
      </c>
      <c r="B84" t="s">
        <v>867</v>
      </c>
      <c r="C84" t="s">
        <v>762</v>
      </c>
      <c r="D84" s="73" t="s">
        <v>196</v>
      </c>
      <c r="E84">
        <v>2</v>
      </c>
      <c r="F84">
        <v>2</v>
      </c>
      <c r="G84">
        <v>19</v>
      </c>
      <c r="H84">
        <v>21</v>
      </c>
      <c r="K84" t="str">
        <f>IF(ISNA(VLOOKUP(A84,ResultDB!$A:$A,1,FALSE)),"","x")</f>
        <v>x</v>
      </c>
    </row>
    <row r="85" spans="1:11" x14ac:dyDescent="0.3">
      <c r="A85" t="s">
        <v>955</v>
      </c>
      <c r="B85" t="s">
        <v>867</v>
      </c>
      <c r="C85" t="s">
        <v>762</v>
      </c>
      <c r="D85" s="73" t="s">
        <v>196</v>
      </c>
      <c r="E85">
        <v>3</v>
      </c>
      <c r="F85">
        <v>2</v>
      </c>
      <c r="G85">
        <v>19</v>
      </c>
      <c r="H85">
        <v>22</v>
      </c>
      <c r="K85" t="str">
        <f>IF(ISNA(VLOOKUP(A85,ResultDB!$A:$A,1,FALSE)),"","x")</f>
        <v>x</v>
      </c>
    </row>
    <row r="86" spans="1:11" x14ac:dyDescent="0.3">
      <c r="A86" t="s">
        <v>956</v>
      </c>
      <c r="B86" t="s">
        <v>867</v>
      </c>
      <c r="C86" t="s">
        <v>762</v>
      </c>
      <c r="D86" s="73" t="s">
        <v>196</v>
      </c>
      <c r="E86">
        <v>4</v>
      </c>
      <c r="F86">
        <v>2</v>
      </c>
      <c r="G86">
        <v>20</v>
      </c>
      <c r="H86">
        <v>23</v>
      </c>
      <c r="K86" t="str">
        <f>IF(ISNA(VLOOKUP(A86,ResultDB!$A:$A,1,FALSE)),"","x")</f>
        <v>x</v>
      </c>
    </row>
    <row r="87" spans="1:11" x14ac:dyDescent="0.3">
      <c r="A87" t="s">
        <v>957</v>
      </c>
      <c r="B87" t="s">
        <v>867</v>
      </c>
      <c r="C87" t="s">
        <v>762</v>
      </c>
      <c r="D87" s="73" t="s">
        <v>196</v>
      </c>
      <c r="E87">
        <v>5</v>
      </c>
      <c r="F87">
        <v>2</v>
      </c>
      <c r="G87">
        <v>20</v>
      </c>
      <c r="H87">
        <v>24</v>
      </c>
      <c r="K87" t="str">
        <f>IF(ISNA(VLOOKUP(A87,ResultDB!$A:$A,1,FALSE)),"","x")</f>
        <v>x</v>
      </c>
    </row>
    <row r="88" spans="1:11" x14ac:dyDescent="0.3">
      <c r="A88" t="s">
        <v>958</v>
      </c>
      <c r="B88" t="s">
        <v>867</v>
      </c>
      <c r="C88" t="s">
        <v>770</v>
      </c>
      <c r="D88" s="73" t="s">
        <v>196</v>
      </c>
      <c r="E88">
        <v>1</v>
      </c>
      <c r="F88">
        <v>2</v>
      </c>
      <c r="G88">
        <v>25</v>
      </c>
      <c r="H88">
        <v>28</v>
      </c>
      <c r="K88" t="str">
        <f>IF(ISNA(VLOOKUP(A88,ResultDB!$A:$A,1,FALSE)),"","x")</f>
        <v>x</v>
      </c>
    </row>
    <row r="89" spans="1:11" x14ac:dyDescent="0.3">
      <c r="A89" t="s">
        <v>959</v>
      </c>
      <c r="B89" t="s">
        <v>867</v>
      </c>
      <c r="C89" t="s">
        <v>770</v>
      </c>
      <c r="D89" s="73" t="s">
        <v>196</v>
      </c>
      <c r="E89">
        <v>2</v>
      </c>
      <c r="F89">
        <v>2</v>
      </c>
      <c r="G89">
        <v>25</v>
      </c>
      <c r="H89">
        <v>29</v>
      </c>
      <c r="K89" t="str">
        <f>IF(ISNA(VLOOKUP(A89,ResultDB!$A:$A,1,FALSE)),"","x")</f>
        <v>x</v>
      </c>
    </row>
    <row r="90" spans="1:11" x14ac:dyDescent="0.3">
      <c r="A90" t="s">
        <v>960</v>
      </c>
      <c r="B90" t="s">
        <v>867</v>
      </c>
      <c r="C90" t="s">
        <v>770</v>
      </c>
      <c r="D90" s="73" t="s">
        <v>196</v>
      </c>
      <c r="E90">
        <v>3</v>
      </c>
      <c r="F90">
        <v>2</v>
      </c>
      <c r="G90">
        <v>26</v>
      </c>
      <c r="H90">
        <v>30</v>
      </c>
      <c r="K90" t="str">
        <f>IF(ISNA(VLOOKUP(A90,ResultDB!$A:$A,1,FALSE)),"","x")</f>
        <v>x</v>
      </c>
    </row>
    <row r="91" spans="1:11" x14ac:dyDescent="0.3">
      <c r="A91" t="s">
        <v>961</v>
      </c>
      <c r="B91" t="s">
        <v>867</v>
      </c>
      <c r="C91" t="s">
        <v>770</v>
      </c>
      <c r="D91" s="73" t="s">
        <v>196</v>
      </c>
      <c r="E91">
        <v>4</v>
      </c>
      <c r="F91">
        <v>2</v>
      </c>
      <c r="G91">
        <v>27</v>
      </c>
      <c r="H91">
        <v>31</v>
      </c>
      <c r="K91" t="str">
        <f>IF(ISNA(VLOOKUP(A91,ResultDB!$A:$A,1,FALSE)),"","x")</f>
        <v>x</v>
      </c>
    </row>
    <row r="92" spans="1:11" x14ac:dyDescent="0.3">
      <c r="A92" t="s">
        <v>962</v>
      </c>
      <c r="B92" t="s">
        <v>867</v>
      </c>
      <c r="C92" t="s">
        <v>770</v>
      </c>
      <c r="D92" s="73" t="s">
        <v>196</v>
      </c>
      <c r="E92">
        <v>5</v>
      </c>
      <c r="F92">
        <v>2</v>
      </c>
      <c r="G92">
        <v>27</v>
      </c>
      <c r="H92">
        <v>32</v>
      </c>
      <c r="K92" t="str">
        <f>IF(ISNA(VLOOKUP(A92,ResultDB!$A:$A,1,FALSE)),"","x")</f>
        <v>x</v>
      </c>
    </row>
    <row r="93" spans="1:11" x14ac:dyDescent="0.3">
      <c r="A93" t="s">
        <v>963</v>
      </c>
      <c r="B93" t="s">
        <v>868</v>
      </c>
      <c r="C93" t="s">
        <v>774</v>
      </c>
      <c r="D93" s="73" t="s">
        <v>196</v>
      </c>
      <c r="E93">
        <v>1</v>
      </c>
      <c r="F93">
        <v>2</v>
      </c>
      <c r="G93">
        <v>1</v>
      </c>
      <c r="H93">
        <v>2</v>
      </c>
      <c r="K93" t="str">
        <f>IF(ISNA(VLOOKUP(A93,ResultDB!$A:$A,1,FALSE)),"","x")</f>
        <v>x</v>
      </c>
    </row>
    <row r="94" spans="1:11" x14ac:dyDescent="0.3">
      <c r="A94" t="s">
        <v>964</v>
      </c>
      <c r="B94" t="s">
        <v>868</v>
      </c>
      <c r="C94" t="s">
        <v>774</v>
      </c>
      <c r="D94" s="73" t="s">
        <v>196</v>
      </c>
      <c r="E94">
        <v>2</v>
      </c>
      <c r="F94">
        <v>2</v>
      </c>
      <c r="G94">
        <v>1</v>
      </c>
      <c r="H94">
        <v>2</v>
      </c>
      <c r="K94" t="str">
        <f>IF(ISNA(VLOOKUP(A94,ResultDB!$A:$A,1,FALSE)),"","x")</f>
        <v>x</v>
      </c>
    </row>
    <row r="95" spans="1:11" x14ac:dyDescent="0.3">
      <c r="A95" t="s">
        <v>965</v>
      </c>
      <c r="B95" t="s">
        <v>868</v>
      </c>
      <c r="C95" t="s">
        <v>774</v>
      </c>
      <c r="D95" s="73" t="s">
        <v>196</v>
      </c>
      <c r="E95">
        <v>3</v>
      </c>
      <c r="F95">
        <v>2</v>
      </c>
      <c r="G95">
        <v>1</v>
      </c>
      <c r="H95">
        <v>2</v>
      </c>
      <c r="K95" t="str">
        <f>IF(ISNA(VLOOKUP(A95,ResultDB!$A:$A,1,FALSE)),"","x")</f>
        <v>x</v>
      </c>
    </row>
    <row r="96" spans="1:11" x14ac:dyDescent="0.3">
      <c r="A96" t="s">
        <v>966</v>
      </c>
      <c r="B96" t="s">
        <v>868</v>
      </c>
      <c r="C96" t="s">
        <v>774</v>
      </c>
      <c r="D96" s="73" t="s">
        <v>196</v>
      </c>
      <c r="E96">
        <v>4</v>
      </c>
      <c r="F96">
        <v>2</v>
      </c>
      <c r="G96">
        <v>1</v>
      </c>
      <c r="H96">
        <v>2</v>
      </c>
      <c r="K96" t="str">
        <f>IF(ISNA(VLOOKUP(A96,ResultDB!$A:$A,1,FALSE)),"","x")</f>
        <v>x</v>
      </c>
    </row>
    <row r="97" spans="1:11" x14ac:dyDescent="0.3">
      <c r="A97" t="s">
        <v>967</v>
      </c>
      <c r="B97" t="s">
        <v>868</v>
      </c>
      <c r="C97" t="s">
        <v>774</v>
      </c>
      <c r="D97" s="73" t="s">
        <v>196</v>
      </c>
      <c r="E97">
        <v>5</v>
      </c>
      <c r="F97">
        <v>2</v>
      </c>
      <c r="G97">
        <v>1</v>
      </c>
      <c r="H97">
        <v>2</v>
      </c>
      <c r="K97" t="str">
        <f>IF(ISNA(VLOOKUP(A97,ResultDB!$A:$A,1,FALSE)),"","x")</f>
        <v>x</v>
      </c>
    </row>
    <row r="98" spans="1:11" x14ac:dyDescent="0.3">
      <c r="A98" t="s">
        <v>968</v>
      </c>
      <c r="B98" t="s">
        <v>868</v>
      </c>
      <c r="C98" t="s">
        <v>774</v>
      </c>
      <c r="D98" s="73" t="s">
        <v>196</v>
      </c>
      <c r="E98">
        <v>6</v>
      </c>
      <c r="F98">
        <v>2</v>
      </c>
      <c r="G98">
        <v>1</v>
      </c>
      <c r="H98">
        <v>3</v>
      </c>
      <c r="K98" t="str">
        <f>IF(ISNA(VLOOKUP(A98,ResultDB!$A:$A,1,FALSE)),"","x")</f>
        <v>x</v>
      </c>
    </row>
    <row r="99" spans="1:11" x14ac:dyDescent="0.3">
      <c r="A99" t="s">
        <v>969</v>
      </c>
      <c r="B99" t="s">
        <v>868</v>
      </c>
      <c r="C99" t="s">
        <v>774</v>
      </c>
      <c r="D99" s="73" t="s">
        <v>196</v>
      </c>
      <c r="E99">
        <v>7</v>
      </c>
      <c r="F99">
        <v>2</v>
      </c>
      <c r="G99">
        <v>1</v>
      </c>
      <c r="H99">
        <v>3</v>
      </c>
      <c r="K99" t="str">
        <f>IF(ISNA(VLOOKUP(A99,ResultDB!$A:$A,1,FALSE)),"","x")</f>
        <v>x</v>
      </c>
    </row>
    <row r="100" spans="1:11" x14ac:dyDescent="0.3">
      <c r="A100" t="s">
        <v>970</v>
      </c>
      <c r="B100" t="s">
        <v>868</v>
      </c>
      <c r="C100" t="s">
        <v>768</v>
      </c>
      <c r="D100" s="73" t="s">
        <v>196</v>
      </c>
      <c r="E100">
        <v>1</v>
      </c>
      <c r="F100">
        <v>2</v>
      </c>
      <c r="G100">
        <v>4</v>
      </c>
      <c r="H100">
        <v>7</v>
      </c>
      <c r="K100" t="str">
        <f>IF(ISNA(VLOOKUP(A100,ResultDB!$A:$A,1,FALSE)),"","x")</f>
        <v>x</v>
      </c>
    </row>
    <row r="101" spans="1:11" x14ac:dyDescent="0.3">
      <c r="A101" t="s">
        <v>971</v>
      </c>
      <c r="B101" t="s">
        <v>868</v>
      </c>
      <c r="C101" t="s">
        <v>768</v>
      </c>
      <c r="D101" s="73" t="s">
        <v>196</v>
      </c>
      <c r="E101">
        <v>2</v>
      </c>
      <c r="F101">
        <v>2</v>
      </c>
      <c r="G101">
        <v>4</v>
      </c>
      <c r="H101">
        <v>7</v>
      </c>
      <c r="K101" t="str">
        <f>IF(ISNA(VLOOKUP(A101,ResultDB!$A:$A,1,FALSE)),"","x")</f>
        <v>x</v>
      </c>
    </row>
    <row r="102" spans="1:11" x14ac:dyDescent="0.3">
      <c r="A102" t="s">
        <v>972</v>
      </c>
      <c r="B102" t="s">
        <v>868</v>
      </c>
      <c r="C102" t="s">
        <v>768</v>
      </c>
      <c r="D102" s="73" t="s">
        <v>196</v>
      </c>
      <c r="E102">
        <v>3</v>
      </c>
      <c r="F102">
        <v>2</v>
      </c>
      <c r="G102">
        <v>4</v>
      </c>
      <c r="H102">
        <v>7</v>
      </c>
      <c r="K102" t="str">
        <f>IF(ISNA(VLOOKUP(A102,ResultDB!$A:$A,1,FALSE)),"","x")</f>
        <v>x</v>
      </c>
    </row>
    <row r="103" spans="1:11" x14ac:dyDescent="0.3">
      <c r="A103" t="s">
        <v>973</v>
      </c>
      <c r="B103" t="s">
        <v>868</v>
      </c>
      <c r="C103" t="s">
        <v>768</v>
      </c>
      <c r="D103" s="73" t="s">
        <v>196</v>
      </c>
      <c r="E103">
        <v>4</v>
      </c>
      <c r="F103">
        <v>2</v>
      </c>
      <c r="G103">
        <v>4</v>
      </c>
      <c r="H103">
        <v>7</v>
      </c>
      <c r="K103" t="str">
        <f>IF(ISNA(VLOOKUP(A103,ResultDB!$A:$A,1,FALSE)),"","x")</f>
        <v>x</v>
      </c>
    </row>
    <row r="104" spans="1:11" x14ac:dyDescent="0.3">
      <c r="A104" t="s">
        <v>974</v>
      </c>
      <c r="B104" t="s">
        <v>868</v>
      </c>
      <c r="C104" t="s">
        <v>768</v>
      </c>
      <c r="D104" s="73" t="s">
        <v>196</v>
      </c>
      <c r="E104">
        <v>5</v>
      </c>
      <c r="F104">
        <v>2</v>
      </c>
      <c r="G104">
        <v>4</v>
      </c>
      <c r="H104">
        <v>8</v>
      </c>
      <c r="K104" t="str">
        <f>IF(ISNA(VLOOKUP(A104,ResultDB!$A:$A,1,FALSE)),"","x")</f>
        <v>x</v>
      </c>
    </row>
    <row r="105" spans="1:11" x14ac:dyDescent="0.3">
      <c r="A105" t="s">
        <v>975</v>
      </c>
      <c r="B105" t="s">
        <v>868</v>
      </c>
      <c r="C105" t="s">
        <v>768</v>
      </c>
      <c r="D105" s="73" t="s">
        <v>196</v>
      </c>
      <c r="E105">
        <v>6</v>
      </c>
      <c r="F105">
        <v>2</v>
      </c>
      <c r="G105">
        <v>5</v>
      </c>
      <c r="H105">
        <v>9</v>
      </c>
      <c r="K105" t="str">
        <f>IF(ISNA(VLOOKUP(A105,ResultDB!$A:$A,1,FALSE)),"","x")</f>
        <v>x</v>
      </c>
    </row>
    <row r="106" spans="1:11" x14ac:dyDescent="0.3">
      <c r="A106" t="s">
        <v>976</v>
      </c>
      <c r="B106" t="s">
        <v>868</v>
      </c>
      <c r="C106" t="s">
        <v>768</v>
      </c>
      <c r="D106" s="73" t="s">
        <v>196</v>
      </c>
      <c r="E106">
        <v>7</v>
      </c>
      <c r="F106">
        <v>2</v>
      </c>
      <c r="G106">
        <v>5</v>
      </c>
      <c r="H106">
        <v>9</v>
      </c>
      <c r="K106" t="str">
        <f>IF(ISNA(VLOOKUP(A106,ResultDB!$A:$A,1,FALSE)),"","x")</f>
        <v>x</v>
      </c>
    </row>
    <row r="107" spans="1:11" x14ac:dyDescent="0.3">
      <c r="A107" t="s">
        <v>977</v>
      </c>
      <c r="B107" t="s">
        <v>868</v>
      </c>
      <c r="C107" t="s">
        <v>768</v>
      </c>
      <c r="D107" s="73" t="s">
        <v>196</v>
      </c>
      <c r="E107">
        <v>8</v>
      </c>
      <c r="F107">
        <v>2</v>
      </c>
      <c r="G107">
        <v>5</v>
      </c>
      <c r="H107">
        <v>10</v>
      </c>
      <c r="K107" t="str">
        <f>IF(ISNA(VLOOKUP(A107,ResultDB!$A:$A,1,FALSE)),"","x")</f>
        <v>x</v>
      </c>
    </row>
    <row r="108" spans="1:11" x14ac:dyDescent="0.3">
      <c r="A108" t="s">
        <v>978</v>
      </c>
      <c r="B108" t="s">
        <v>868</v>
      </c>
      <c r="C108" t="s">
        <v>768</v>
      </c>
      <c r="D108" s="73" t="s">
        <v>196</v>
      </c>
      <c r="E108">
        <v>9</v>
      </c>
      <c r="F108">
        <v>2</v>
      </c>
      <c r="G108">
        <v>5</v>
      </c>
      <c r="H108">
        <v>11</v>
      </c>
      <c r="K108" t="str">
        <f>IF(ISNA(VLOOKUP(A108,ResultDB!$A:$A,1,FALSE)),"","x")</f>
        <v>x</v>
      </c>
    </row>
    <row r="109" spans="1:11" x14ac:dyDescent="0.3">
      <c r="A109" t="s">
        <v>979</v>
      </c>
      <c r="B109" t="s">
        <v>868</v>
      </c>
      <c r="C109" t="s">
        <v>768</v>
      </c>
      <c r="D109" s="73" t="s">
        <v>196</v>
      </c>
      <c r="E109">
        <v>10</v>
      </c>
      <c r="F109">
        <v>2</v>
      </c>
      <c r="G109">
        <v>6</v>
      </c>
      <c r="H109">
        <v>11</v>
      </c>
      <c r="K109" t="str">
        <f>IF(ISNA(VLOOKUP(A109,ResultDB!$A:$A,1,FALSE)),"","x")</f>
        <v>x</v>
      </c>
    </row>
    <row r="110" spans="1:11" x14ac:dyDescent="0.3">
      <c r="A110" t="s">
        <v>980</v>
      </c>
      <c r="B110" t="s">
        <v>868</v>
      </c>
      <c r="C110" t="s">
        <v>769</v>
      </c>
      <c r="D110" s="73" t="s">
        <v>196</v>
      </c>
      <c r="E110">
        <v>1</v>
      </c>
      <c r="F110">
        <v>2</v>
      </c>
      <c r="G110">
        <v>14</v>
      </c>
      <c r="H110">
        <v>15</v>
      </c>
      <c r="K110" t="str">
        <f>IF(ISNA(VLOOKUP(A110,ResultDB!$A:$A,1,FALSE)),"","x")</f>
        <v>x</v>
      </c>
    </row>
    <row r="111" spans="1:11" x14ac:dyDescent="0.3">
      <c r="A111" t="s">
        <v>981</v>
      </c>
      <c r="B111" t="s">
        <v>868</v>
      </c>
      <c r="C111" t="s">
        <v>769</v>
      </c>
      <c r="D111" s="73" t="s">
        <v>196</v>
      </c>
      <c r="E111">
        <v>2</v>
      </c>
      <c r="F111">
        <v>2</v>
      </c>
      <c r="G111">
        <v>14</v>
      </c>
      <c r="H111">
        <v>15</v>
      </c>
      <c r="K111" t="str">
        <f>IF(ISNA(VLOOKUP(A111,ResultDB!$A:$A,1,FALSE)),"","x")</f>
        <v>x</v>
      </c>
    </row>
    <row r="112" spans="1:11" x14ac:dyDescent="0.3">
      <c r="A112" t="s">
        <v>982</v>
      </c>
      <c r="B112" t="s">
        <v>868</v>
      </c>
      <c r="C112" t="s">
        <v>769</v>
      </c>
      <c r="D112" s="73" t="s">
        <v>196</v>
      </c>
      <c r="E112">
        <v>3</v>
      </c>
      <c r="F112">
        <v>2</v>
      </c>
      <c r="G112">
        <v>14</v>
      </c>
      <c r="H112">
        <v>16</v>
      </c>
      <c r="K112" t="str">
        <f>IF(ISNA(VLOOKUP(A112,ResultDB!$A:$A,1,FALSE)),"","x")</f>
        <v>x</v>
      </c>
    </row>
    <row r="113" spans="1:11" x14ac:dyDescent="0.3">
      <c r="A113" t="s">
        <v>983</v>
      </c>
      <c r="B113" t="s">
        <v>868</v>
      </c>
      <c r="C113" t="s">
        <v>777</v>
      </c>
      <c r="D113" s="73" t="s">
        <v>196</v>
      </c>
      <c r="E113">
        <v>1</v>
      </c>
      <c r="F113">
        <v>2</v>
      </c>
      <c r="G113">
        <v>17</v>
      </c>
      <c r="H113">
        <v>19</v>
      </c>
      <c r="K113" t="str">
        <f>IF(ISNA(VLOOKUP(A113,ResultDB!$A:$A,1,FALSE)),"","x")</f>
        <v>x</v>
      </c>
    </row>
    <row r="114" spans="1:11" x14ac:dyDescent="0.3">
      <c r="A114" t="s">
        <v>984</v>
      </c>
      <c r="B114" t="s">
        <v>868</v>
      </c>
      <c r="C114" t="s">
        <v>777</v>
      </c>
      <c r="D114" s="73" t="s">
        <v>196</v>
      </c>
      <c r="E114">
        <v>2</v>
      </c>
      <c r="F114">
        <v>2</v>
      </c>
      <c r="G114">
        <v>17</v>
      </c>
      <c r="H114">
        <v>19</v>
      </c>
      <c r="K114" t="str">
        <f>IF(ISNA(VLOOKUP(A114,ResultDB!$A:$A,1,FALSE)),"","x")</f>
        <v>x</v>
      </c>
    </row>
    <row r="115" spans="1:11" x14ac:dyDescent="0.3">
      <c r="A115" t="s">
        <v>985</v>
      </c>
      <c r="B115" t="s">
        <v>868</v>
      </c>
      <c r="C115" t="s">
        <v>777</v>
      </c>
      <c r="D115" s="73" t="s">
        <v>196</v>
      </c>
      <c r="E115">
        <v>3</v>
      </c>
      <c r="F115">
        <v>2</v>
      </c>
      <c r="G115">
        <v>17</v>
      </c>
      <c r="H115">
        <v>19</v>
      </c>
      <c r="K115" t="str">
        <f>IF(ISNA(VLOOKUP(A115,ResultDB!$A:$A,1,FALSE)),"","x")</f>
        <v>x</v>
      </c>
    </row>
    <row r="116" spans="1:11" x14ac:dyDescent="0.3">
      <c r="A116" t="s">
        <v>986</v>
      </c>
      <c r="B116" t="s">
        <v>868</v>
      </c>
      <c r="C116" t="s">
        <v>777</v>
      </c>
      <c r="D116" s="73" t="s">
        <v>196</v>
      </c>
      <c r="E116">
        <v>4</v>
      </c>
      <c r="F116">
        <v>2</v>
      </c>
      <c r="G116">
        <v>17</v>
      </c>
      <c r="H116">
        <v>20</v>
      </c>
      <c r="K116" t="str">
        <f>IF(ISNA(VLOOKUP(A116,ResultDB!$A:$A,1,FALSE)),"","x")</f>
        <v>x</v>
      </c>
    </row>
    <row r="117" spans="1:11" x14ac:dyDescent="0.3">
      <c r="A117" t="s">
        <v>987</v>
      </c>
      <c r="B117" t="s">
        <v>868</v>
      </c>
      <c r="C117" t="s">
        <v>777</v>
      </c>
      <c r="D117" s="73" t="s">
        <v>196</v>
      </c>
      <c r="E117">
        <v>5</v>
      </c>
      <c r="F117">
        <v>2</v>
      </c>
      <c r="G117">
        <v>18</v>
      </c>
      <c r="H117">
        <v>20</v>
      </c>
      <c r="K117" t="str">
        <f>IF(ISNA(VLOOKUP(A117,ResultDB!$A:$A,1,FALSE)),"","x")</f>
        <v>x</v>
      </c>
    </row>
    <row r="118" spans="1:11" x14ac:dyDescent="0.3">
      <c r="A118" t="s">
        <v>988</v>
      </c>
      <c r="B118" t="s">
        <v>868</v>
      </c>
      <c r="C118" t="s">
        <v>777</v>
      </c>
      <c r="D118" s="73" t="s">
        <v>196</v>
      </c>
      <c r="E118">
        <v>6</v>
      </c>
      <c r="F118">
        <v>2</v>
      </c>
      <c r="G118">
        <v>18</v>
      </c>
      <c r="H118">
        <v>20</v>
      </c>
      <c r="K118" t="str">
        <f>IF(ISNA(VLOOKUP(A118,ResultDB!$A:$A,1,FALSE)),"","x")</f>
        <v>x</v>
      </c>
    </row>
    <row r="119" spans="1:11" x14ac:dyDescent="0.3">
      <c r="A119" t="s">
        <v>989</v>
      </c>
      <c r="B119" t="s">
        <v>868</v>
      </c>
      <c r="C119" t="s">
        <v>777</v>
      </c>
      <c r="D119" s="73" t="s">
        <v>196</v>
      </c>
      <c r="E119">
        <v>7</v>
      </c>
      <c r="F119">
        <v>2</v>
      </c>
      <c r="G119">
        <v>18</v>
      </c>
      <c r="H119">
        <v>21</v>
      </c>
      <c r="K119" t="str">
        <f>IF(ISNA(VLOOKUP(A119,ResultDB!$A:$A,1,FALSE)),"","x")</f>
        <v>x</v>
      </c>
    </row>
    <row r="120" spans="1:11" x14ac:dyDescent="0.3">
      <c r="A120" t="s">
        <v>990</v>
      </c>
      <c r="B120" t="s">
        <v>868</v>
      </c>
      <c r="C120" t="s">
        <v>777</v>
      </c>
      <c r="D120" s="73" t="s">
        <v>196</v>
      </c>
      <c r="E120">
        <v>8</v>
      </c>
      <c r="F120">
        <v>2</v>
      </c>
      <c r="G120">
        <v>18</v>
      </c>
      <c r="H120">
        <v>21</v>
      </c>
      <c r="K120" t="str">
        <f>IF(ISNA(VLOOKUP(A120,ResultDB!$A:$A,1,FALSE)),"","x")</f>
        <v>x</v>
      </c>
    </row>
    <row r="121" spans="1:11" x14ac:dyDescent="0.3">
      <c r="A121" t="s">
        <v>991</v>
      </c>
      <c r="B121" t="s">
        <v>868</v>
      </c>
      <c r="C121" t="s">
        <v>777</v>
      </c>
      <c r="D121" s="73" t="s">
        <v>196</v>
      </c>
      <c r="E121">
        <v>9</v>
      </c>
      <c r="F121">
        <v>2</v>
      </c>
      <c r="G121">
        <v>18</v>
      </c>
      <c r="H121">
        <v>21</v>
      </c>
      <c r="K121" t="str">
        <f>IF(ISNA(VLOOKUP(A121,ResultDB!$A:$A,1,FALSE)),"","x")</f>
        <v>x</v>
      </c>
    </row>
    <row r="122" spans="1:11" x14ac:dyDescent="0.3">
      <c r="A122" t="s">
        <v>992</v>
      </c>
      <c r="B122" t="s">
        <v>868</v>
      </c>
      <c r="C122" t="s">
        <v>780</v>
      </c>
      <c r="D122" s="73" t="s">
        <v>196</v>
      </c>
      <c r="E122">
        <v>1</v>
      </c>
      <c r="F122">
        <v>2</v>
      </c>
      <c r="G122">
        <v>23</v>
      </c>
      <c r="H122">
        <v>30</v>
      </c>
      <c r="K122" t="str">
        <f>IF(ISNA(VLOOKUP(A122,ResultDB!$A:$A,1,FALSE)),"","x")</f>
        <v>x</v>
      </c>
    </row>
    <row r="123" spans="1:11" x14ac:dyDescent="0.3">
      <c r="A123" t="s">
        <v>993</v>
      </c>
      <c r="B123" t="s">
        <v>868</v>
      </c>
      <c r="C123" t="s">
        <v>780</v>
      </c>
      <c r="D123" s="73" t="s">
        <v>196</v>
      </c>
      <c r="E123">
        <v>2</v>
      </c>
      <c r="F123">
        <v>2</v>
      </c>
      <c r="G123">
        <v>23</v>
      </c>
      <c r="H123">
        <v>31</v>
      </c>
      <c r="K123" t="str">
        <f>IF(ISNA(VLOOKUP(A123,ResultDB!$A:$A,1,FALSE)),"","x")</f>
        <v>x</v>
      </c>
    </row>
    <row r="124" spans="1:11" x14ac:dyDescent="0.3">
      <c r="A124" t="s">
        <v>994</v>
      </c>
      <c r="B124" t="s">
        <v>868</v>
      </c>
      <c r="C124" t="s">
        <v>780</v>
      </c>
      <c r="D124" s="73" t="s">
        <v>196</v>
      </c>
      <c r="E124">
        <v>3</v>
      </c>
      <c r="F124">
        <v>2</v>
      </c>
      <c r="G124">
        <v>23</v>
      </c>
      <c r="H124">
        <v>31</v>
      </c>
      <c r="K124" t="str">
        <f>IF(ISNA(VLOOKUP(A124,ResultDB!$A:$A,1,FALSE)),"","x")</f>
        <v>x</v>
      </c>
    </row>
    <row r="125" spans="1:11" x14ac:dyDescent="0.3">
      <c r="A125" t="s">
        <v>995</v>
      </c>
      <c r="B125" t="s">
        <v>868</v>
      </c>
      <c r="C125" t="s">
        <v>780</v>
      </c>
      <c r="D125" s="73" t="s">
        <v>196</v>
      </c>
      <c r="E125">
        <v>4</v>
      </c>
      <c r="F125">
        <v>2</v>
      </c>
      <c r="G125">
        <v>24</v>
      </c>
      <c r="H125">
        <v>32</v>
      </c>
      <c r="K125" t="str">
        <f>IF(ISNA(VLOOKUP(A125,ResultDB!$A:$A,1,FALSE)),"","x")</f>
        <v>x</v>
      </c>
    </row>
    <row r="126" spans="1:11" x14ac:dyDescent="0.3">
      <c r="A126" t="s">
        <v>996</v>
      </c>
      <c r="B126" t="s">
        <v>868</v>
      </c>
      <c r="C126" t="s">
        <v>780</v>
      </c>
      <c r="D126" s="73" t="s">
        <v>196</v>
      </c>
      <c r="E126">
        <v>5</v>
      </c>
      <c r="F126">
        <v>2</v>
      </c>
      <c r="G126">
        <v>24</v>
      </c>
      <c r="H126">
        <v>32</v>
      </c>
      <c r="K126" t="str">
        <f>IF(ISNA(VLOOKUP(A126,ResultDB!$A:$A,1,FALSE)),"","x")</f>
        <v>x</v>
      </c>
    </row>
    <row r="127" spans="1:11" x14ac:dyDescent="0.3">
      <c r="A127" t="s">
        <v>997</v>
      </c>
      <c r="B127" t="s">
        <v>868</v>
      </c>
      <c r="C127" t="s">
        <v>780</v>
      </c>
      <c r="D127" s="73" t="s">
        <v>196</v>
      </c>
      <c r="E127">
        <v>6</v>
      </c>
      <c r="F127">
        <v>2</v>
      </c>
      <c r="G127">
        <v>24</v>
      </c>
      <c r="H127">
        <v>33</v>
      </c>
      <c r="K127" t="str">
        <f>IF(ISNA(VLOOKUP(A127,ResultDB!$A:$A,1,FALSE)),"","x")</f>
        <v>x</v>
      </c>
    </row>
    <row r="128" spans="1:11" x14ac:dyDescent="0.3">
      <c r="A128" t="s">
        <v>998</v>
      </c>
      <c r="B128" t="s">
        <v>868</v>
      </c>
      <c r="C128" t="s">
        <v>780</v>
      </c>
      <c r="D128" s="73" t="s">
        <v>196</v>
      </c>
      <c r="E128">
        <v>7</v>
      </c>
      <c r="F128">
        <v>2</v>
      </c>
      <c r="G128">
        <v>24</v>
      </c>
      <c r="H128">
        <v>33</v>
      </c>
      <c r="K128" t="str">
        <f>IF(ISNA(VLOOKUP(A128,ResultDB!$A:$A,1,FALSE)),"","x")</f>
        <v>x</v>
      </c>
    </row>
    <row r="129" spans="1:11" x14ac:dyDescent="0.3">
      <c r="A129" t="s">
        <v>999</v>
      </c>
      <c r="B129" t="s">
        <v>868</v>
      </c>
      <c r="C129" t="s">
        <v>780</v>
      </c>
      <c r="D129" s="73" t="s">
        <v>196</v>
      </c>
      <c r="E129">
        <v>8</v>
      </c>
      <c r="F129">
        <v>2</v>
      </c>
      <c r="G129">
        <v>25</v>
      </c>
      <c r="H129">
        <v>34</v>
      </c>
      <c r="K129" t="str">
        <f>IF(ISNA(VLOOKUP(A129,ResultDB!$A:$A,1,FALSE)),"","x")</f>
        <v>x</v>
      </c>
    </row>
    <row r="130" spans="1:11" x14ac:dyDescent="0.3">
      <c r="A130" t="s">
        <v>1000</v>
      </c>
      <c r="B130" t="s">
        <v>868</v>
      </c>
      <c r="C130" t="s">
        <v>780</v>
      </c>
      <c r="D130" s="73" t="s">
        <v>196</v>
      </c>
      <c r="E130">
        <v>9</v>
      </c>
      <c r="F130">
        <v>2</v>
      </c>
      <c r="G130">
        <v>26</v>
      </c>
      <c r="H130">
        <v>36</v>
      </c>
      <c r="K130" t="str">
        <f>IF(ISNA(VLOOKUP(A130,ResultDB!$A:$A,1,FALSE)),"","x")</f>
        <v>x</v>
      </c>
    </row>
    <row r="131" spans="1:11" x14ac:dyDescent="0.3">
      <c r="A131" t="s">
        <v>1001</v>
      </c>
      <c r="B131" t="s">
        <v>868</v>
      </c>
      <c r="C131" t="s">
        <v>780</v>
      </c>
      <c r="D131" s="73" t="s">
        <v>196</v>
      </c>
      <c r="E131">
        <v>10</v>
      </c>
      <c r="F131">
        <v>2</v>
      </c>
      <c r="G131">
        <v>27</v>
      </c>
      <c r="H131">
        <v>37</v>
      </c>
      <c r="K131" t="str">
        <f>IF(ISNA(VLOOKUP(A131,ResultDB!$A:$A,1,FALSE)),"","x")</f>
        <v>x</v>
      </c>
    </row>
    <row r="132" spans="1:11" x14ac:dyDescent="0.3">
      <c r="A132" t="s">
        <v>1002</v>
      </c>
      <c r="B132" t="s">
        <v>868</v>
      </c>
      <c r="C132" t="s">
        <v>780</v>
      </c>
      <c r="D132" s="73" t="s">
        <v>196</v>
      </c>
      <c r="E132">
        <v>11</v>
      </c>
      <c r="F132">
        <v>2</v>
      </c>
      <c r="G132">
        <v>28</v>
      </c>
      <c r="H132">
        <v>39</v>
      </c>
      <c r="K132" t="str">
        <f>IF(ISNA(VLOOKUP(A132,ResultDB!$A:$A,1,FALSE)),"","x")</f>
        <v>x</v>
      </c>
    </row>
    <row r="133" spans="1:11" x14ac:dyDescent="0.3">
      <c r="A133" t="s">
        <v>1003</v>
      </c>
      <c r="B133" t="s">
        <v>868</v>
      </c>
      <c r="C133" t="s">
        <v>780</v>
      </c>
      <c r="D133" s="73" t="s">
        <v>196</v>
      </c>
      <c r="E133">
        <v>12</v>
      </c>
      <c r="F133">
        <v>2</v>
      </c>
      <c r="G133">
        <v>29</v>
      </c>
      <c r="H133">
        <v>40</v>
      </c>
      <c r="K133" t="str">
        <f>IF(ISNA(VLOOKUP(A133,ResultDB!$A:$A,1,FALSE)),"","x")</f>
        <v>x</v>
      </c>
    </row>
    <row r="134" spans="1:11" x14ac:dyDescent="0.3">
      <c r="A134" t="s">
        <v>1004</v>
      </c>
      <c r="B134" t="s">
        <v>868</v>
      </c>
      <c r="C134" t="s">
        <v>773</v>
      </c>
      <c r="D134" s="73" t="s">
        <v>196</v>
      </c>
      <c r="E134">
        <v>1</v>
      </c>
      <c r="F134">
        <v>2</v>
      </c>
      <c r="G134">
        <v>41</v>
      </c>
      <c r="H134">
        <v>44</v>
      </c>
      <c r="K134" t="str">
        <f>IF(ISNA(VLOOKUP(A134,ResultDB!$A:$A,1,FALSE)),"","x")</f>
        <v>x</v>
      </c>
    </row>
    <row r="135" spans="1:11" x14ac:dyDescent="0.3">
      <c r="A135" t="s">
        <v>1005</v>
      </c>
      <c r="B135" t="s">
        <v>868</v>
      </c>
      <c r="C135" t="s">
        <v>773</v>
      </c>
      <c r="D135" s="73" t="s">
        <v>196</v>
      </c>
      <c r="E135">
        <v>2</v>
      </c>
      <c r="F135">
        <v>2</v>
      </c>
      <c r="G135">
        <v>41</v>
      </c>
      <c r="H135">
        <v>44</v>
      </c>
      <c r="K135" t="str">
        <f>IF(ISNA(VLOOKUP(A135,ResultDB!$A:$A,1,FALSE)),"","x")</f>
        <v>x</v>
      </c>
    </row>
    <row r="136" spans="1:11" x14ac:dyDescent="0.3">
      <c r="A136" t="s">
        <v>1006</v>
      </c>
      <c r="B136" t="s">
        <v>868</v>
      </c>
      <c r="C136" t="s">
        <v>773</v>
      </c>
      <c r="D136" s="73" t="s">
        <v>196</v>
      </c>
      <c r="E136">
        <v>3</v>
      </c>
      <c r="F136">
        <v>2</v>
      </c>
      <c r="G136">
        <v>41</v>
      </c>
      <c r="H136">
        <v>45</v>
      </c>
      <c r="K136" t="str">
        <f>IF(ISNA(VLOOKUP(A136,ResultDB!$A:$A,1,FALSE)),"","x")</f>
        <v>x</v>
      </c>
    </row>
    <row r="137" spans="1:11" x14ac:dyDescent="0.3">
      <c r="A137" t="s">
        <v>1007</v>
      </c>
      <c r="B137" t="s">
        <v>868</v>
      </c>
      <c r="C137" t="s">
        <v>773</v>
      </c>
      <c r="D137" s="73" t="s">
        <v>196</v>
      </c>
      <c r="E137">
        <v>4</v>
      </c>
      <c r="F137">
        <v>2</v>
      </c>
      <c r="G137">
        <v>42</v>
      </c>
      <c r="H137">
        <v>46</v>
      </c>
      <c r="K137" t="str">
        <f>IF(ISNA(VLOOKUP(A137,ResultDB!$A:$A,1,FALSE)),"","x")</f>
        <v>x</v>
      </c>
    </row>
    <row r="138" spans="1:11" x14ac:dyDescent="0.3">
      <c r="A138" t="s">
        <v>1008</v>
      </c>
      <c r="B138" t="s">
        <v>868</v>
      </c>
      <c r="C138" t="s">
        <v>773</v>
      </c>
      <c r="D138" s="73" t="s">
        <v>196</v>
      </c>
      <c r="E138">
        <v>5</v>
      </c>
      <c r="F138">
        <v>2</v>
      </c>
      <c r="G138">
        <v>43</v>
      </c>
      <c r="H138">
        <v>48</v>
      </c>
      <c r="K138" t="str">
        <f>IF(ISNA(VLOOKUP(A138,ResultDB!$A:$A,1,FALSE)),"","x")</f>
        <v>x</v>
      </c>
    </row>
    <row r="139" spans="1:11" x14ac:dyDescent="0.3">
      <c r="A139" t="s">
        <v>1009</v>
      </c>
      <c r="B139" t="s">
        <v>868</v>
      </c>
      <c r="C139" t="s">
        <v>772</v>
      </c>
      <c r="D139" s="73" t="s">
        <v>196</v>
      </c>
      <c r="E139">
        <v>1</v>
      </c>
      <c r="F139">
        <v>2</v>
      </c>
      <c r="G139">
        <v>50</v>
      </c>
      <c r="H139">
        <v>52</v>
      </c>
      <c r="K139" t="str">
        <f>IF(ISNA(VLOOKUP(A139,ResultDB!$A:$A,1,FALSE)),"","x")</f>
        <v>x</v>
      </c>
    </row>
    <row r="140" spans="1:11" x14ac:dyDescent="0.3">
      <c r="A140" t="s">
        <v>1010</v>
      </c>
      <c r="B140" t="s">
        <v>868</v>
      </c>
      <c r="C140" t="s">
        <v>772</v>
      </c>
      <c r="D140" s="73" t="s">
        <v>196</v>
      </c>
      <c r="E140">
        <v>2</v>
      </c>
      <c r="F140">
        <v>2</v>
      </c>
      <c r="G140">
        <v>50</v>
      </c>
      <c r="H140">
        <v>52</v>
      </c>
      <c r="K140" t="str">
        <f>IF(ISNA(VLOOKUP(A140,ResultDB!$A:$A,1,FALSE)),"","x")</f>
        <v>x</v>
      </c>
    </row>
    <row r="141" spans="1:11" x14ac:dyDescent="0.3">
      <c r="A141" t="s">
        <v>1011</v>
      </c>
      <c r="B141" t="s">
        <v>868</v>
      </c>
      <c r="C141" t="s">
        <v>772</v>
      </c>
      <c r="D141" s="73" t="s">
        <v>196</v>
      </c>
      <c r="E141">
        <v>3</v>
      </c>
      <c r="F141">
        <v>2</v>
      </c>
      <c r="G141">
        <v>50</v>
      </c>
      <c r="H141">
        <v>52</v>
      </c>
      <c r="K141" t="str">
        <f>IF(ISNA(VLOOKUP(A141,ResultDB!$A:$A,1,FALSE)),"","x")</f>
        <v>x</v>
      </c>
    </row>
    <row r="142" spans="1:11" x14ac:dyDescent="0.3">
      <c r="A142" t="s">
        <v>1012</v>
      </c>
      <c r="B142" t="s">
        <v>868</v>
      </c>
      <c r="C142" t="s">
        <v>772</v>
      </c>
      <c r="D142" s="73" t="s">
        <v>196</v>
      </c>
      <c r="E142">
        <v>4</v>
      </c>
      <c r="F142">
        <v>2</v>
      </c>
      <c r="G142">
        <v>50</v>
      </c>
      <c r="H142">
        <v>52</v>
      </c>
      <c r="K142" t="str">
        <f>IF(ISNA(VLOOKUP(A142,ResultDB!$A:$A,1,FALSE)),"","x")</f>
        <v>x</v>
      </c>
    </row>
    <row r="143" spans="1:11" x14ac:dyDescent="0.3">
      <c r="A143" t="s">
        <v>1013</v>
      </c>
      <c r="B143" t="s">
        <v>868</v>
      </c>
      <c r="C143" t="s">
        <v>772</v>
      </c>
      <c r="D143" s="73" t="s">
        <v>196</v>
      </c>
      <c r="E143">
        <v>5</v>
      </c>
      <c r="F143">
        <v>2</v>
      </c>
      <c r="G143">
        <v>50</v>
      </c>
      <c r="H143">
        <v>52</v>
      </c>
      <c r="K143" t="str">
        <f>IF(ISNA(VLOOKUP(A143,ResultDB!$A:$A,1,FALSE)),"","x")</f>
        <v>x</v>
      </c>
    </row>
    <row r="144" spans="1:11" x14ac:dyDescent="0.3">
      <c r="A144" t="s">
        <v>1014</v>
      </c>
      <c r="B144" t="s">
        <v>868</v>
      </c>
      <c r="C144" t="s">
        <v>772</v>
      </c>
      <c r="D144" s="73" t="s">
        <v>196</v>
      </c>
      <c r="E144">
        <v>6</v>
      </c>
      <c r="F144">
        <v>2</v>
      </c>
      <c r="G144">
        <v>50</v>
      </c>
      <c r="H144">
        <v>53</v>
      </c>
      <c r="K144" t="str">
        <f>IF(ISNA(VLOOKUP(A144,ResultDB!$A:$A,1,FALSE)),"","x")</f>
        <v>x</v>
      </c>
    </row>
    <row r="145" spans="1:11" x14ac:dyDescent="0.3">
      <c r="A145" t="s">
        <v>1015</v>
      </c>
      <c r="B145" t="s">
        <v>868</v>
      </c>
      <c r="C145" t="s">
        <v>772</v>
      </c>
      <c r="D145" s="73" t="s">
        <v>196</v>
      </c>
      <c r="E145">
        <v>7</v>
      </c>
      <c r="F145">
        <v>2</v>
      </c>
      <c r="G145">
        <v>51</v>
      </c>
      <c r="H145">
        <v>53</v>
      </c>
      <c r="K145" t="str">
        <f>IF(ISNA(VLOOKUP(A145,ResultDB!$A:$A,1,FALSE)),"","x")</f>
        <v>x</v>
      </c>
    </row>
    <row r="146" spans="1:11" x14ac:dyDescent="0.3">
      <c r="A146" t="s">
        <v>1016</v>
      </c>
      <c r="B146" t="s">
        <v>868</v>
      </c>
      <c r="C146" t="s">
        <v>772</v>
      </c>
      <c r="D146" s="73" t="s">
        <v>196</v>
      </c>
      <c r="E146">
        <v>8</v>
      </c>
      <c r="F146">
        <v>2</v>
      </c>
      <c r="G146">
        <v>51</v>
      </c>
      <c r="H146">
        <v>54</v>
      </c>
      <c r="K146" t="str">
        <f>IF(ISNA(VLOOKUP(A146,ResultDB!$A:$A,1,FALSE)),"","x")</f>
        <v>x</v>
      </c>
    </row>
    <row r="147" spans="1:11" x14ac:dyDescent="0.3">
      <c r="A147" t="s">
        <v>1017</v>
      </c>
      <c r="B147" t="s">
        <v>868</v>
      </c>
      <c r="C147" t="s">
        <v>772</v>
      </c>
      <c r="D147" s="73" t="s">
        <v>196</v>
      </c>
      <c r="E147">
        <v>9</v>
      </c>
      <c r="F147">
        <v>2</v>
      </c>
      <c r="G147">
        <v>51</v>
      </c>
      <c r="H147">
        <v>54</v>
      </c>
      <c r="K147" t="str">
        <f>IF(ISNA(VLOOKUP(A147,ResultDB!$A:$A,1,FALSE)),"","x")</f>
        <v>x</v>
      </c>
    </row>
    <row r="148" spans="1:11" x14ac:dyDescent="0.3">
      <c r="A148" t="s">
        <v>1047</v>
      </c>
      <c r="B148" t="s">
        <v>870</v>
      </c>
      <c r="C148" t="s">
        <v>818</v>
      </c>
      <c r="D148" s="73">
        <v>2005</v>
      </c>
      <c r="E148">
        <v>17</v>
      </c>
      <c r="F148">
        <v>2</v>
      </c>
      <c r="G148">
        <v>1</v>
      </c>
      <c r="H148">
        <v>9</v>
      </c>
      <c r="K148" t="str">
        <f>IF(ISNA(VLOOKUP(A148,ResultDB!$A:$A,1,FALSE)),"","x")</f>
        <v>x</v>
      </c>
    </row>
    <row r="149" spans="1:11" x14ac:dyDescent="0.3">
      <c r="A149" t="s">
        <v>1048</v>
      </c>
      <c r="B149" t="s">
        <v>870</v>
      </c>
      <c r="C149" t="s">
        <v>818</v>
      </c>
      <c r="D149" s="73">
        <v>2005</v>
      </c>
      <c r="E149">
        <v>19</v>
      </c>
      <c r="F149">
        <v>2</v>
      </c>
      <c r="G149">
        <v>1</v>
      </c>
      <c r="H149">
        <v>9</v>
      </c>
      <c r="K149" t="str">
        <f>IF(ISNA(VLOOKUP(A149,ResultDB!$A:$A,1,FALSE)),"","x")</f>
        <v>x</v>
      </c>
    </row>
    <row r="150" spans="1:11" x14ac:dyDescent="0.3">
      <c r="A150" t="s">
        <v>1049</v>
      </c>
      <c r="B150" t="s">
        <v>870</v>
      </c>
      <c r="C150" t="s">
        <v>818</v>
      </c>
      <c r="D150" s="73">
        <v>2007</v>
      </c>
      <c r="E150">
        <v>13</v>
      </c>
      <c r="F150">
        <v>1.5</v>
      </c>
      <c r="G150">
        <v>2</v>
      </c>
      <c r="H150">
        <v>10</v>
      </c>
      <c r="K150" t="str">
        <f>IF(ISNA(VLOOKUP(A150,ResultDB!$A:$A,1,FALSE)),"","x")</f>
        <v>x</v>
      </c>
    </row>
    <row r="151" spans="1:11" x14ac:dyDescent="0.3">
      <c r="A151" t="s">
        <v>1050</v>
      </c>
      <c r="B151" t="s">
        <v>870</v>
      </c>
      <c r="C151" t="s">
        <v>818</v>
      </c>
      <c r="D151" s="73">
        <v>2007</v>
      </c>
      <c r="E151">
        <v>32</v>
      </c>
      <c r="F151">
        <v>1.5</v>
      </c>
      <c r="G151">
        <v>2</v>
      </c>
      <c r="H151">
        <v>11</v>
      </c>
      <c r="K151" t="str">
        <f>IF(ISNA(VLOOKUP(A151,ResultDB!$A:$A,1,FALSE)),"","x")</f>
        <v>x</v>
      </c>
    </row>
    <row r="152" spans="1:11" x14ac:dyDescent="0.3">
      <c r="A152" t="s">
        <v>1051</v>
      </c>
      <c r="B152" t="s">
        <v>870</v>
      </c>
      <c r="C152" t="s">
        <v>818</v>
      </c>
      <c r="D152" s="73">
        <v>2009</v>
      </c>
      <c r="E152">
        <v>13</v>
      </c>
      <c r="F152">
        <v>4</v>
      </c>
      <c r="G152">
        <v>4</v>
      </c>
      <c r="H152">
        <v>13</v>
      </c>
      <c r="K152" t="str">
        <f>IF(ISNA(VLOOKUP(A152,ResultDB!$A:$A,1,FALSE)),"","x")</f>
        <v>x</v>
      </c>
    </row>
    <row r="153" spans="1:11" x14ac:dyDescent="0.3">
      <c r="A153" t="s">
        <v>1052</v>
      </c>
      <c r="B153" t="s">
        <v>870</v>
      </c>
      <c r="C153" t="s">
        <v>818</v>
      </c>
      <c r="D153" s="73">
        <v>2009</v>
      </c>
      <c r="E153">
        <v>32</v>
      </c>
      <c r="F153">
        <v>2.25</v>
      </c>
      <c r="G153">
        <v>4</v>
      </c>
      <c r="H153">
        <v>14</v>
      </c>
      <c r="K153" t="str">
        <f>IF(ISNA(VLOOKUP(A153,ResultDB!$A:$A,1,FALSE)),"","x")</f>
        <v>x</v>
      </c>
    </row>
    <row r="154" spans="1:11" x14ac:dyDescent="0.3">
      <c r="A154" t="s">
        <v>1053</v>
      </c>
      <c r="B154" t="s">
        <v>870</v>
      </c>
      <c r="C154" t="s">
        <v>818</v>
      </c>
      <c r="D154" s="73">
        <v>2010</v>
      </c>
      <c r="E154">
        <v>9</v>
      </c>
      <c r="F154">
        <v>3.25</v>
      </c>
      <c r="G154">
        <v>4</v>
      </c>
      <c r="H154">
        <v>15</v>
      </c>
      <c r="K154" t="str">
        <f>IF(ISNA(VLOOKUP(A154,ResultDB!$A:$A,1,FALSE)),"","x")</f>
        <v>x</v>
      </c>
    </row>
    <row r="155" spans="1:11" x14ac:dyDescent="0.3">
      <c r="A155" t="s">
        <v>1054</v>
      </c>
      <c r="B155" t="s">
        <v>870</v>
      </c>
      <c r="C155" t="s">
        <v>818</v>
      </c>
      <c r="D155" s="73">
        <v>2010</v>
      </c>
      <c r="E155">
        <v>10</v>
      </c>
      <c r="F155">
        <v>4.25</v>
      </c>
      <c r="G155">
        <v>5</v>
      </c>
      <c r="H155">
        <v>15</v>
      </c>
      <c r="K155" t="str">
        <f>IF(ISNA(VLOOKUP(A155,ResultDB!$A:$A,1,FALSE)),"","x")</f>
        <v>x</v>
      </c>
    </row>
    <row r="156" spans="1:11" x14ac:dyDescent="0.3">
      <c r="A156" t="s">
        <v>1055</v>
      </c>
      <c r="B156" t="s">
        <v>870</v>
      </c>
      <c r="C156" t="s">
        <v>766</v>
      </c>
      <c r="D156" s="73">
        <v>2009</v>
      </c>
      <c r="E156">
        <v>8</v>
      </c>
      <c r="F156">
        <v>1.25</v>
      </c>
      <c r="G156">
        <v>33</v>
      </c>
      <c r="H156">
        <v>37</v>
      </c>
      <c r="K156" t="str">
        <f>IF(ISNA(VLOOKUP(A156,ResultDB!$A:$A,1,FALSE)),"","x")</f>
        <v>x</v>
      </c>
    </row>
    <row r="157" spans="1:11" x14ac:dyDescent="0.3">
      <c r="A157" t="s">
        <v>1056</v>
      </c>
      <c r="B157" t="s">
        <v>870</v>
      </c>
      <c r="C157" t="s">
        <v>765</v>
      </c>
      <c r="D157" s="73">
        <v>2005</v>
      </c>
      <c r="E157">
        <v>41</v>
      </c>
      <c r="F157">
        <v>1</v>
      </c>
      <c r="G157">
        <v>46</v>
      </c>
      <c r="H157">
        <v>48</v>
      </c>
      <c r="K157" t="str">
        <f>IF(ISNA(VLOOKUP(A157,ResultDB!$A:$A,1,FALSE)),"","x")</f>
        <v>x</v>
      </c>
    </row>
    <row r="158" spans="1:11" x14ac:dyDescent="0.3">
      <c r="A158" t="s">
        <v>1057</v>
      </c>
      <c r="B158" t="s">
        <v>870</v>
      </c>
      <c r="C158" t="s">
        <v>762</v>
      </c>
      <c r="D158" s="73">
        <v>2000</v>
      </c>
      <c r="E158">
        <v>44</v>
      </c>
      <c r="F158">
        <v>4</v>
      </c>
      <c r="G158">
        <v>51</v>
      </c>
      <c r="H158">
        <v>59</v>
      </c>
      <c r="K158" t="str">
        <f>IF(ISNA(VLOOKUP(A158,ResultDB!$A:$A,1,FALSE)),"","x")</f>
        <v>x</v>
      </c>
    </row>
    <row r="159" spans="1:11" x14ac:dyDescent="0.3">
      <c r="A159" t="s">
        <v>1058</v>
      </c>
      <c r="B159" t="s">
        <v>870</v>
      </c>
      <c r="C159" t="s">
        <v>762</v>
      </c>
      <c r="D159" s="73">
        <v>2009</v>
      </c>
      <c r="E159">
        <v>33</v>
      </c>
      <c r="F159">
        <v>2.75</v>
      </c>
      <c r="G159">
        <v>56</v>
      </c>
      <c r="H159">
        <v>67</v>
      </c>
      <c r="K159" t="str">
        <f>IF(ISNA(VLOOKUP(A159,ResultDB!$A:$A,1,FALSE)),"","x")</f>
        <v>x</v>
      </c>
    </row>
    <row r="160" spans="1:11" x14ac:dyDescent="0.3">
      <c r="A160" t="s">
        <v>1059</v>
      </c>
      <c r="B160" t="s">
        <v>870</v>
      </c>
      <c r="C160" t="s">
        <v>762</v>
      </c>
      <c r="D160" s="73">
        <v>2010</v>
      </c>
      <c r="E160">
        <v>30</v>
      </c>
      <c r="F160">
        <v>1.5</v>
      </c>
      <c r="G160">
        <v>56</v>
      </c>
      <c r="H160">
        <v>68</v>
      </c>
      <c r="K160" t="str">
        <f>IF(ISNA(VLOOKUP(A160,ResultDB!$A:$A,1,FALSE)),"","x")</f>
        <v>x</v>
      </c>
    </row>
    <row r="161" spans="1:11" x14ac:dyDescent="0.3">
      <c r="A161" t="s">
        <v>1060</v>
      </c>
      <c r="B161" t="s">
        <v>870</v>
      </c>
      <c r="C161" t="s">
        <v>764</v>
      </c>
      <c r="D161" s="73">
        <v>2003</v>
      </c>
      <c r="E161">
        <v>45</v>
      </c>
      <c r="F161">
        <v>2</v>
      </c>
      <c r="G161">
        <v>72</v>
      </c>
      <c r="H161">
        <v>74</v>
      </c>
      <c r="K161" t="str">
        <f>IF(ISNA(VLOOKUP(A161,ResultDB!$A:$A,1,FALSE)),"","x")</f>
        <v>x</v>
      </c>
    </row>
    <row r="162" spans="1:11" x14ac:dyDescent="0.3">
      <c r="A162" t="s">
        <v>1061</v>
      </c>
      <c r="B162" t="s">
        <v>870</v>
      </c>
      <c r="C162" t="s">
        <v>764</v>
      </c>
      <c r="D162" s="73">
        <v>2005</v>
      </c>
      <c r="E162">
        <v>38</v>
      </c>
      <c r="F162">
        <v>1</v>
      </c>
      <c r="G162">
        <v>72</v>
      </c>
      <c r="H162">
        <v>74</v>
      </c>
      <c r="K162" t="str">
        <f>IF(ISNA(VLOOKUP(A162,ResultDB!$A:$A,1,FALSE)),"","x")</f>
        <v>x</v>
      </c>
    </row>
    <row r="163" spans="1:11" x14ac:dyDescent="0.3">
      <c r="A163" t="s">
        <v>1062</v>
      </c>
      <c r="B163" t="s">
        <v>870</v>
      </c>
      <c r="C163" t="s">
        <v>770</v>
      </c>
      <c r="D163" s="73">
        <v>2005</v>
      </c>
      <c r="E163">
        <v>42</v>
      </c>
      <c r="F163">
        <v>3</v>
      </c>
      <c r="G163">
        <v>78</v>
      </c>
      <c r="H163">
        <v>94</v>
      </c>
      <c r="K163" t="str">
        <f>IF(ISNA(VLOOKUP(A163,ResultDB!$A:$A,1,FALSE)),"","x")</f>
        <v>x</v>
      </c>
    </row>
    <row r="164" spans="1:11" x14ac:dyDescent="0.3">
      <c r="A164" t="s">
        <v>1063</v>
      </c>
      <c r="B164" t="s">
        <v>870</v>
      </c>
      <c r="C164" t="s">
        <v>770</v>
      </c>
      <c r="D164" s="73">
        <v>2007</v>
      </c>
      <c r="E164">
        <v>35</v>
      </c>
      <c r="F164">
        <v>4.5</v>
      </c>
      <c r="G164">
        <v>79</v>
      </c>
      <c r="H164">
        <v>95</v>
      </c>
      <c r="K164" t="str">
        <f>IF(ISNA(VLOOKUP(A164,ResultDB!$A:$A,1,FALSE)),"","x")</f>
        <v>x</v>
      </c>
    </row>
    <row r="165" spans="1:11" x14ac:dyDescent="0.3">
      <c r="A165" t="s">
        <v>1064</v>
      </c>
      <c r="B165" t="s">
        <v>870</v>
      </c>
      <c r="C165" t="s">
        <v>770</v>
      </c>
      <c r="D165" s="73">
        <v>2009</v>
      </c>
      <c r="E165">
        <v>31</v>
      </c>
      <c r="F165">
        <v>2.75</v>
      </c>
      <c r="G165">
        <v>81</v>
      </c>
      <c r="H165">
        <v>98</v>
      </c>
      <c r="K165" t="str">
        <f>IF(ISNA(VLOOKUP(A165,ResultDB!$A:$A,1,FALSE)),"","x")</f>
        <v>x</v>
      </c>
    </row>
    <row r="166" spans="1:11" x14ac:dyDescent="0.3">
      <c r="A166" t="s">
        <v>1065</v>
      </c>
      <c r="B166" t="s">
        <v>870</v>
      </c>
      <c r="C166" t="s">
        <v>770</v>
      </c>
      <c r="D166" s="73">
        <v>2010</v>
      </c>
      <c r="E166">
        <v>27</v>
      </c>
      <c r="F166">
        <v>5</v>
      </c>
      <c r="G166">
        <v>82</v>
      </c>
      <c r="H166">
        <v>100</v>
      </c>
      <c r="K166" t="str">
        <f>IF(ISNA(VLOOKUP(A166,ResultDB!$A:$A,1,FALSE)),"","x")</f>
        <v>x</v>
      </c>
    </row>
    <row r="167" spans="1:11" x14ac:dyDescent="0.3">
      <c r="A167" t="s">
        <v>1066</v>
      </c>
      <c r="B167" t="s">
        <v>870</v>
      </c>
      <c r="C167" t="s">
        <v>770</v>
      </c>
      <c r="D167" s="73">
        <v>2010</v>
      </c>
      <c r="E167">
        <v>28</v>
      </c>
      <c r="F167">
        <v>4.25</v>
      </c>
      <c r="G167">
        <v>84</v>
      </c>
      <c r="H167">
        <v>102</v>
      </c>
      <c r="K167" t="str">
        <f>IF(ISNA(VLOOKUP(A167,ResultDB!$A:$A,1,FALSE)),"","x")</f>
        <v>x</v>
      </c>
    </row>
    <row r="168" spans="1:11" x14ac:dyDescent="0.3">
      <c r="A168" t="s">
        <v>1067</v>
      </c>
      <c r="B168" t="s">
        <v>870</v>
      </c>
      <c r="C168" t="s">
        <v>778</v>
      </c>
      <c r="D168" s="73">
        <v>2003</v>
      </c>
      <c r="E168">
        <v>47</v>
      </c>
      <c r="F168">
        <v>1.5</v>
      </c>
      <c r="G168">
        <v>116</v>
      </c>
      <c r="H168">
        <v>117</v>
      </c>
      <c r="K168" t="str">
        <f>IF(ISNA(VLOOKUP(A168,ResultDB!$A:$A,1,FALSE)),"","x")</f>
        <v>x</v>
      </c>
    </row>
    <row r="169" spans="1:11" x14ac:dyDescent="0.3">
      <c r="A169" t="s">
        <v>1068</v>
      </c>
      <c r="B169" t="s">
        <v>870</v>
      </c>
      <c r="C169" t="s">
        <v>778</v>
      </c>
      <c r="D169" s="73">
        <v>2005</v>
      </c>
      <c r="E169">
        <v>39</v>
      </c>
      <c r="F169">
        <v>1</v>
      </c>
      <c r="G169">
        <v>116</v>
      </c>
      <c r="H169">
        <v>117</v>
      </c>
      <c r="K169" t="str">
        <f>IF(ISNA(VLOOKUP(A169,ResultDB!$A:$A,1,FALSE)),"","x")</f>
        <v>x</v>
      </c>
    </row>
    <row r="170" spans="1:11" x14ac:dyDescent="0.3">
      <c r="A170" t="s">
        <v>1073</v>
      </c>
      <c r="B170" t="s">
        <v>869</v>
      </c>
      <c r="C170" t="s">
        <v>828</v>
      </c>
      <c r="D170" s="73">
        <v>2000</v>
      </c>
      <c r="E170">
        <v>17</v>
      </c>
      <c r="F170">
        <v>2</v>
      </c>
      <c r="G170">
        <v>1</v>
      </c>
      <c r="H170">
        <v>11</v>
      </c>
      <c r="K170" t="str">
        <f>IF(ISNA(VLOOKUP(A170,ResultDB!$A:$A,1,FALSE)),"","x")</f>
        <v>x</v>
      </c>
    </row>
    <row r="171" spans="1:11" x14ac:dyDescent="0.3">
      <c r="A171" t="s">
        <v>1074</v>
      </c>
      <c r="B171" t="s">
        <v>869</v>
      </c>
      <c r="C171" t="s">
        <v>828</v>
      </c>
      <c r="D171" s="73">
        <v>2003</v>
      </c>
      <c r="E171">
        <v>25</v>
      </c>
      <c r="F171">
        <v>1.5</v>
      </c>
      <c r="G171">
        <v>2</v>
      </c>
      <c r="H171">
        <v>13</v>
      </c>
      <c r="K171" t="str">
        <f>IF(ISNA(VLOOKUP(A171,ResultDB!$A:$A,1,FALSE)),"","x")</f>
        <v>x</v>
      </c>
    </row>
    <row r="172" spans="1:11" x14ac:dyDescent="0.3">
      <c r="A172" t="s">
        <v>1075</v>
      </c>
      <c r="B172" t="s">
        <v>869</v>
      </c>
      <c r="C172" t="s">
        <v>828</v>
      </c>
      <c r="D172" s="73">
        <v>2003</v>
      </c>
      <c r="E172">
        <v>26</v>
      </c>
      <c r="F172">
        <v>2</v>
      </c>
      <c r="G172">
        <v>3</v>
      </c>
      <c r="H172">
        <v>14</v>
      </c>
      <c r="K172" t="str">
        <f>IF(ISNA(VLOOKUP(A172,ResultDB!$A:$A,1,FALSE)),"","x")</f>
        <v>x</v>
      </c>
    </row>
    <row r="173" spans="1:11" x14ac:dyDescent="0.3">
      <c r="A173" t="s">
        <v>1076</v>
      </c>
      <c r="B173" t="s">
        <v>869</v>
      </c>
      <c r="C173" t="s">
        <v>828</v>
      </c>
      <c r="D173" s="73">
        <v>2003</v>
      </c>
      <c r="E173">
        <v>27</v>
      </c>
      <c r="F173">
        <v>4.5</v>
      </c>
      <c r="G173">
        <v>3</v>
      </c>
      <c r="H173">
        <v>14</v>
      </c>
      <c r="K173" t="str">
        <f>IF(ISNA(VLOOKUP(A173,ResultDB!$A:$A,1,FALSE)),"","x")</f>
        <v>x</v>
      </c>
    </row>
    <row r="174" spans="1:11" x14ac:dyDescent="0.3">
      <c r="A174" t="s">
        <v>1077</v>
      </c>
      <c r="B174" t="s">
        <v>869</v>
      </c>
      <c r="C174" t="s">
        <v>828</v>
      </c>
      <c r="D174" s="73">
        <v>2005</v>
      </c>
      <c r="E174">
        <v>9</v>
      </c>
      <c r="F174">
        <v>1</v>
      </c>
      <c r="G174">
        <v>5</v>
      </c>
      <c r="H174">
        <v>17</v>
      </c>
      <c r="K174" t="str">
        <f>IF(ISNA(VLOOKUP(A174,ResultDB!$A:$A,1,FALSE)),"","x")</f>
        <v>x</v>
      </c>
    </row>
    <row r="175" spans="1:11" x14ac:dyDescent="0.3">
      <c r="A175" t="s">
        <v>1078</v>
      </c>
      <c r="B175" t="s">
        <v>869</v>
      </c>
      <c r="C175" t="s">
        <v>828</v>
      </c>
      <c r="D175" s="73">
        <v>2005</v>
      </c>
      <c r="E175">
        <v>14</v>
      </c>
      <c r="F175">
        <v>1</v>
      </c>
      <c r="G175">
        <v>5</v>
      </c>
      <c r="H175">
        <v>17</v>
      </c>
      <c r="K175" t="str">
        <f>IF(ISNA(VLOOKUP(A175,ResultDB!$A:$A,1,FALSE)),"","x")</f>
        <v>x</v>
      </c>
    </row>
    <row r="176" spans="1:11" x14ac:dyDescent="0.3">
      <c r="A176" t="s">
        <v>1079</v>
      </c>
      <c r="B176" t="s">
        <v>869</v>
      </c>
      <c r="C176" t="s">
        <v>828</v>
      </c>
      <c r="D176" s="73">
        <v>2007</v>
      </c>
      <c r="E176">
        <v>10</v>
      </c>
      <c r="F176">
        <v>2</v>
      </c>
      <c r="G176">
        <v>5</v>
      </c>
      <c r="H176">
        <v>18</v>
      </c>
      <c r="K176" t="str">
        <f>IF(ISNA(VLOOKUP(A176,ResultDB!$A:$A,1,FALSE)),"","x")</f>
        <v>x</v>
      </c>
    </row>
    <row r="177" spans="1:11" x14ac:dyDescent="0.3">
      <c r="A177" t="s">
        <v>1080</v>
      </c>
      <c r="B177" t="s">
        <v>869</v>
      </c>
      <c r="C177" t="s">
        <v>828</v>
      </c>
      <c r="D177" s="73">
        <v>2009</v>
      </c>
      <c r="E177">
        <v>6</v>
      </c>
      <c r="F177">
        <v>1.25</v>
      </c>
      <c r="G177">
        <v>6</v>
      </c>
      <c r="H177">
        <v>19</v>
      </c>
      <c r="K177" t="str">
        <f>IF(ISNA(VLOOKUP(A177,ResultDB!$A:$A,1,FALSE)),"","x")</f>
        <v>x</v>
      </c>
    </row>
    <row r="178" spans="1:11" x14ac:dyDescent="0.3">
      <c r="A178" t="s">
        <v>1081</v>
      </c>
      <c r="B178" t="s">
        <v>869</v>
      </c>
      <c r="C178" t="s">
        <v>828</v>
      </c>
      <c r="D178" s="73">
        <v>2009</v>
      </c>
      <c r="E178">
        <v>9</v>
      </c>
      <c r="F178">
        <v>2.25</v>
      </c>
      <c r="G178">
        <v>6</v>
      </c>
      <c r="H178">
        <v>20</v>
      </c>
      <c r="K178" t="str">
        <f>IF(ISNA(VLOOKUP(A178,ResultDB!$A:$A,1,FALSE)),"","x")</f>
        <v>x</v>
      </c>
    </row>
    <row r="179" spans="1:11" x14ac:dyDescent="0.3">
      <c r="A179" t="s">
        <v>1082</v>
      </c>
      <c r="B179" t="s">
        <v>869</v>
      </c>
      <c r="C179" t="s">
        <v>828</v>
      </c>
      <c r="D179" s="73">
        <v>2009</v>
      </c>
      <c r="E179">
        <v>10</v>
      </c>
      <c r="F179">
        <v>2</v>
      </c>
      <c r="G179">
        <v>7</v>
      </c>
      <c r="H179">
        <v>20</v>
      </c>
      <c r="K179" t="str">
        <f>IF(ISNA(VLOOKUP(A179,ResultDB!$A:$A,1,FALSE)),"","x")</f>
        <v>x</v>
      </c>
    </row>
    <row r="180" spans="1:11" x14ac:dyDescent="0.3">
      <c r="A180" t="s">
        <v>1083</v>
      </c>
      <c r="B180" t="s">
        <v>869</v>
      </c>
      <c r="C180" t="s">
        <v>828</v>
      </c>
      <c r="D180" s="73">
        <v>2010</v>
      </c>
      <c r="E180">
        <v>7</v>
      </c>
      <c r="F180">
        <v>1.5</v>
      </c>
      <c r="G180">
        <v>7</v>
      </c>
      <c r="H180">
        <v>21</v>
      </c>
      <c r="K180" t="str">
        <f>IF(ISNA(VLOOKUP(A180,ResultDB!$A:$A,1,FALSE)),"","x")</f>
        <v>x</v>
      </c>
    </row>
    <row r="181" spans="1:11" x14ac:dyDescent="0.3">
      <c r="A181" t="s">
        <v>1084</v>
      </c>
      <c r="B181" t="s">
        <v>869</v>
      </c>
      <c r="C181" t="s">
        <v>826</v>
      </c>
      <c r="D181" s="73">
        <v>2000</v>
      </c>
      <c r="E181">
        <v>14</v>
      </c>
      <c r="F181">
        <v>4</v>
      </c>
      <c r="G181">
        <v>28</v>
      </c>
      <c r="H181">
        <v>40</v>
      </c>
      <c r="K181" t="str">
        <f>IF(ISNA(VLOOKUP(A181,ResultDB!$A:$A,1,FALSE)),"","x")</f>
        <v>x</v>
      </c>
    </row>
    <row r="182" spans="1:11" x14ac:dyDescent="0.3">
      <c r="A182" t="s">
        <v>1085</v>
      </c>
      <c r="B182" t="s">
        <v>869</v>
      </c>
      <c r="C182" t="s">
        <v>826</v>
      </c>
      <c r="D182" s="73">
        <v>2003</v>
      </c>
      <c r="E182">
        <v>6</v>
      </c>
      <c r="F182">
        <v>3</v>
      </c>
      <c r="G182">
        <v>28</v>
      </c>
      <c r="H182">
        <v>41</v>
      </c>
      <c r="K182" t="str">
        <f>IF(ISNA(VLOOKUP(A182,ResultDB!$A:$A,1,FALSE)),"","x")</f>
        <v>x</v>
      </c>
    </row>
    <row r="183" spans="1:11" x14ac:dyDescent="0.3">
      <c r="A183" t="s">
        <v>1086</v>
      </c>
      <c r="B183" t="s">
        <v>869</v>
      </c>
      <c r="C183" t="s">
        <v>826</v>
      </c>
      <c r="D183" s="73">
        <v>2003</v>
      </c>
      <c r="E183">
        <v>9</v>
      </c>
      <c r="F183">
        <v>2.5</v>
      </c>
      <c r="G183">
        <v>29</v>
      </c>
      <c r="H183">
        <v>42</v>
      </c>
      <c r="K183" t="str">
        <f>IF(ISNA(VLOOKUP(A183,ResultDB!$A:$A,1,FALSE)),"","x")</f>
        <v>x</v>
      </c>
    </row>
    <row r="184" spans="1:11" x14ac:dyDescent="0.3">
      <c r="A184" t="s">
        <v>1087</v>
      </c>
      <c r="B184" t="s">
        <v>869</v>
      </c>
      <c r="C184" t="s">
        <v>826</v>
      </c>
      <c r="D184" s="73">
        <v>2003</v>
      </c>
      <c r="E184">
        <v>34</v>
      </c>
      <c r="F184">
        <v>3</v>
      </c>
      <c r="G184">
        <v>29</v>
      </c>
      <c r="H184">
        <v>43</v>
      </c>
      <c r="K184" t="str">
        <f>IF(ISNA(VLOOKUP(A184,ResultDB!$A:$A,1,FALSE)),"","x")</f>
        <v>x</v>
      </c>
    </row>
    <row r="185" spans="1:11" x14ac:dyDescent="0.3">
      <c r="A185" t="s">
        <v>1088</v>
      </c>
      <c r="B185" t="s">
        <v>869</v>
      </c>
      <c r="C185" t="s">
        <v>826</v>
      </c>
      <c r="D185" s="73">
        <v>2003</v>
      </c>
      <c r="E185">
        <v>35</v>
      </c>
      <c r="F185">
        <v>2</v>
      </c>
      <c r="G185">
        <v>30</v>
      </c>
      <c r="H185">
        <v>44</v>
      </c>
      <c r="K185" t="str">
        <f>IF(ISNA(VLOOKUP(A185,ResultDB!$A:$A,1,FALSE)),"","x")</f>
        <v>x</v>
      </c>
    </row>
    <row r="186" spans="1:11" x14ac:dyDescent="0.3">
      <c r="A186" t="s">
        <v>1089</v>
      </c>
      <c r="B186" t="s">
        <v>869</v>
      </c>
      <c r="C186" t="s">
        <v>826</v>
      </c>
      <c r="D186" s="73">
        <v>2005</v>
      </c>
      <c r="E186">
        <v>25</v>
      </c>
      <c r="F186">
        <v>2</v>
      </c>
      <c r="G186">
        <v>30</v>
      </c>
      <c r="H186">
        <v>45</v>
      </c>
      <c r="K186" t="str">
        <f>IF(ISNA(VLOOKUP(A186,ResultDB!$A:$A,1,FALSE)),"","x")</f>
        <v>x</v>
      </c>
    </row>
    <row r="187" spans="1:11" x14ac:dyDescent="0.3">
      <c r="A187" t="s">
        <v>1090</v>
      </c>
      <c r="B187" t="s">
        <v>869</v>
      </c>
      <c r="C187" t="s">
        <v>826</v>
      </c>
      <c r="D187" s="73">
        <v>2005</v>
      </c>
      <c r="E187">
        <v>34</v>
      </c>
      <c r="F187">
        <v>2.5</v>
      </c>
      <c r="G187">
        <v>31</v>
      </c>
      <c r="H187">
        <v>46</v>
      </c>
      <c r="K187" t="str">
        <f>IF(ISNA(VLOOKUP(A187,ResultDB!$A:$A,1,FALSE)),"","x")</f>
        <v>x</v>
      </c>
    </row>
    <row r="188" spans="1:11" x14ac:dyDescent="0.3">
      <c r="A188" t="s">
        <v>1091</v>
      </c>
      <c r="B188" t="s">
        <v>869</v>
      </c>
      <c r="C188" t="s">
        <v>826</v>
      </c>
      <c r="D188" s="73">
        <v>2007</v>
      </c>
      <c r="E188">
        <v>18</v>
      </c>
      <c r="F188">
        <v>1.5</v>
      </c>
      <c r="G188">
        <v>32</v>
      </c>
      <c r="H188">
        <v>48</v>
      </c>
      <c r="K188" t="str">
        <f>IF(ISNA(VLOOKUP(A188,ResultDB!$A:$A,1,FALSE)),"","x")</f>
        <v>x</v>
      </c>
    </row>
    <row r="189" spans="1:11" x14ac:dyDescent="0.3">
      <c r="A189" t="s">
        <v>1092</v>
      </c>
      <c r="B189" t="s">
        <v>869</v>
      </c>
      <c r="C189" t="s">
        <v>826</v>
      </c>
      <c r="D189" s="73">
        <v>2007</v>
      </c>
      <c r="E189">
        <v>19</v>
      </c>
      <c r="F189">
        <v>2</v>
      </c>
      <c r="G189">
        <v>32</v>
      </c>
      <c r="H189">
        <v>49</v>
      </c>
      <c r="K189" t="str">
        <f>IF(ISNA(VLOOKUP(A189,ResultDB!$A:$A,1,FALSE)),"","x")</f>
        <v>x</v>
      </c>
    </row>
    <row r="190" spans="1:11" x14ac:dyDescent="0.3">
      <c r="A190" t="s">
        <v>1093</v>
      </c>
      <c r="B190" t="s">
        <v>869</v>
      </c>
      <c r="C190" t="s">
        <v>826</v>
      </c>
      <c r="D190" s="73">
        <v>2009</v>
      </c>
      <c r="E190">
        <v>18</v>
      </c>
      <c r="F190">
        <v>2</v>
      </c>
      <c r="G190">
        <v>34</v>
      </c>
      <c r="H190">
        <v>51</v>
      </c>
      <c r="K190" t="str">
        <f>IF(ISNA(VLOOKUP(A190,ResultDB!$A:$A,1,FALSE)),"","x")</f>
        <v>x</v>
      </c>
    </row>
    <row r="191" spans="1:11" x14ac:dyDescent="0.3">
      <c r="A191" t="s">
        <v>1094</v>
      </c>
      <c r="B191" t="s">
        <v>869</v>
      </c>
      <c r="C191" t="s">
        <v>826</v>
      </c>
      <c r="D191" s="73">
        <v>2010</v>
      </c>
      <c r="E191">
        <v>11</v>
      </c>
      <c r="F191">
        <v>2</v>
      </c>
      <c r="G191">
        <v>35</v>
      </c>
      <c r="H191">
        <v>52</v>
      </c>
      <c r="K191" t="str">
        <f>IF(ISNA(VLOOKUP(A191,ResultDB!$A:$A,1,FALSE)),"","x")</f>
        <v>x</v>
      </c>
    </row>
    <row r="192" spans="1:11" x14ac:dyDescent="0.3">
      <c r="A192" t="s">
        <v>1095</v>
      </c>
      <c r="B192" t="s">
        <v>869</v>
      </c>
      <c r="C192" t="s">
        <v>826</v>
      </c>
      <c r="D192" s="73">
        <v>2010</v>
      </c>
      <c r="E192">
        <v>22</v>
      </c>
      <c r="F192">
        <v>2</v>
      </c>
      <c r="G192">
        <v>35</v>
      </c>
      <c r="H192">
        <v>53</v>
      </c>
      <c r="K192" t="str">
        <f>IF(ISNA(VLOOKUP(A192,ResultDB!$A:$A,1,FALSE)),"","x")</f>
        <v>x</v>
      </c>
    </row>
    <row r="193" spans="1:11" x14ac:dyDescent="0.3">
      <c r="A193" t="s">
        <v>1096</v>
      </c>
      <c r="B193" t="s">
        <v>869</v>
      </c>
      <c r="C193" t="s">
        <v>767</v>
      </c>
      <c r="D193" s="73">
        <v>2000</v>
      </c>
      <c r="E193">
        <v>39</v>
      </c>
      <c r="F193">
        <v>3</v>
      </c>
      <c r="G193">
        <v>61</v>
      </c>
      <c r="H193">
        <v>68</v>
      </c>
      <c r="K193" t="str">
        <f>IF(ISNA(VLOOKUP(A193,ResultDB!$A:$A,1,FALSE)),"","x")</f>
        <v>x</v>
      </c>
    </row>
    <row r="194" spans="1:11" x14ac:dyDescent="0.3">
      <c r="A194" t="s">
        <v>1097</v>
      </c>
      <c r="B194" t="s">
        <v>869</v>
      </c>
      <c r="C194" t="s">
        <v>767</v>
      </c>
      <c r="D194" s="73">
        <v>2007</v>
      </c>
      <c r="E194">
        <v>28</v>
      </c>
      <c r="F194">
        <v>3</v>
      </c>
      <c r="G194">
        <v>63</v>
      </c>
      <c r="H194">
        <v>72</v>
      </c>
      <c r="K194" t="str">
        <f>IF(ISNA(VLOOKUP(A194,ResultDB!$A:$A,1,FALSE)),"","x")</f>
        <v>x</v>
      </c>
    </row>
    <row r="195" spans="1:11" x14ac:dyDescent="0.3">
      <c r="A195" t="s">
        <v>1098</v>
      </c>
      <c r="B195" t="s">
        <v>869</v>
      </c>
      <c r="C195" t="s">
        <v>767</v>
      </c>
      <c r="D195" s="73">
        <v>2009</v>
      </c>
      <c r="E195">
        <v>26</v>
      </c>
      <c r="F195">
        <v>1.25</v>
      </c>
      <c r="G195">
        <v>64</v>
      </c>
      <c r="H195">
        <v>73</v>
      </c>
      <c r="K195" t="str">
        <f>IF(ISNA(VLOOKUP(A195,ResultDB!$A:$A,1,FALSE)),"","x")</f>
        <v>x</v>
      </c>
    </row>
    <row r="196" spans="1:11" x14ac:dyDescent="0.3">
      <c r="A196" t="s">
        <v>1099</v>
      </c>
      <c r="B196" t="s">
        <v>869</v>
      </c>
      <c r="C196" t="s">
        <v>767</v>
      </c>
      <c r="D196" s="73">
        <v>2009</v>
      </c>
      <c r="E196">
        <v>27</v>
      </c>
      <c r="F196">
        <v>1.25</v>
      </c>
      <c r="G196">
        <v>64</v>
      </c>
      <c r="H196">
        <v>73</v>
      </c>
      <c r="K196" t="str">
        <f>IF(ISNA(VLOOKUP(A196,ResultDB!$A:$A,1,FALSE)),"","x")</f>
        <v>x</v>
      </c>
    </row>
    <row r="197" spans="1:11" x14ac:dyDescent="0.3">
      <c r="A197" t="s">
        <v>1100</v>
      </c>
      <c r="B197" t="s">
        <v>869</v>
      </c>
      <c r="C197" t="s">
        <v>767</v>
      </c>
      <c r="D197" s="73">
        <v>2010</v>
      </c>
      <c r="E197">
        <v>21</v>
      </c>
      <c r="F197">
        <v>1.25</v>
      </c>
      <c r="G197">
        <v>65</v>
      </c>
      <c r="H197">
        <v>74</v>
      </c>
      <c r="K197" t="str">
        <f>IF(ISNA(VLOOKUP(A197,ResultDB!$A:$A,1,FALSE)),"","x")</f>
        <v>x</v>
      </c>
    </row>
    <row r="198" spans="1:11" x14ac:dyDescent="0.3">
      <c r="A198" t="s">
        <v>1101</v>
      </c>
      <c r="B198" t="s">
        <v>869</v>
      </c>
      <c r="C198" t="s">
        <v>775</v>
      </c>
      <c r="D198" s="73">
        <v>2000</v>
      </c>
      <c r="E198">
        <v>40</v>
      </c>
      <c r="F198">
        <v>2</v>
      </c>
      <c r="G198">
        <v>80</v>
      </c>
      <c r="H198">
        <v>83</v>
      </c>
      <c r="K198" t="str">
        <f>IF(ISNA(VLOOKUP(A198,ResultDB!$A:$A,1,FALSE)),"","x")</f>
        <v>x</v>
      </c>
    </row>
    <row r="199" spans="1:11" x14ac:dyDescent="0.3">
      <c r="A199" t="s">
        <v>1102</v>
      </c>
      <c r="B199" t="s">
        <v>869</v>
      </c>
      <c r="C199" t="s">
        <v>775</v>
      </c>
      <c r="D199" s="73">
        <v>2007</v>
      </c>
      <c r="E199">
        <v>27</v>
      </c>
      <c r="F199">
        <v>2.5</v>
      </c>
      <c r="G199">
        <v>81</v>
      </c>
      <c r="H199">
        <v>85</v>
      </c>
      <c r="K199" t="str">
        <f>IF(ISNA(VLOOKUP(A199,ResultDB!$A:$A,1,FALSE)),"","x")</f>
        <v>x</v>
      </c>
    </row>
    <row r="200" spans="1:11" x14ac:dyDescent="0.3">
      <c r="A200" t="s">
        <v>1103</v>
      </c>
      <c r="B200" t="s">
        <v>869</v>
      </c>
      <c r="C200" t="s">
        <v>776</v>
      </c>
      <c r="D200" s="73">
        <v>2007</v>
      </c>
      <c r="E200">
        <v>29</v>
      </c>
      <c r="F200">
        <v>3</v>
      </c>
      <c r="G200">
        <v>89</v>
      </c>
      <c r="H200">
        <v>93</v>
      </c>
      <c r="K200" t="str">
        <f>IF(ISNA(VLOOKUP(A200,ResultDB!$A:$A,1,FALSE)),"","x")</f>
        <v>x</v>
      </c>
    </row>
    <row r="201" spans="1:11" x14ac:dyDescent="0.3">
      <c r="A201" t="s">
        <v>1104</v>
      </c>
      <c r="B201" t="s">
        <v>869</v>
      </c>
      <c r="C201" t="s">
        <v>776</v>
      </c>
      <c r="D201" s="73">
        <v>2009</v>
      </c>
      <c r="E201">
        <v>25</v>
      </c>
      <c r="F201">
        <v>2</v>
      </c>
      <c r="G201">
        <v>89</v>
      </c>
      <c r="H201">
        <v>94</v>
      </c>
      <c r="K201" t="str">
        <f>IF(ISNA(VLOOKUP(A201,ResultDB!$A:$A,1,FALSE)),"","x")</f>
        <v>x</v>
      </c>
    </row>
    <row r="202" spans="1:11" x14ac:dyDescent="0.3">
      <c r="A202" t="s">
        <v>1105</v>
      </c>
      <c r="B202" t="s">
        <v>869</v>
      </c>
      <c r="C202" t="s">
        <v>776</v>
      </c>
      <c r="D202" s="73">
        <v>2010</v>
      </c>
      <c r="E202">
        <v>24</v>
      </c>
      <c r="F202">
        <v>5</v>
      </c>
      <c r="G202">
        <v>90</v>
      </c>
      <c r="H202">
        <v>94</v>
      </c>
      <c r="K202" t="str">
        <f>IF(ISNA(VLOOKUP(A202,ResultDB!$A:$A,1,FALSE)),"","x")</f>
        <v>x</v>
      </c>
    </row>
    <row r="203" spans="1:11" x14ac:dyDescent="0.3">
      <c r="A203" t="s">
        <v>1116</v>
      </c>
      <c r="B203" t="s">
        <v>863</v>
      </c>
      <c r="C203" t="s">
        <v>817</v>
      </c>
      <c r="D203" s="73">
        <v>2003</v>
      </c>
      <c r="E203">
        <v>3</v>
      </c>
      <c r="F203">
        <v>1.5</v>
      </c>
      <c r="G203">
        <v>1</v>
      </c>
      <c r="H203">
        <v>7</v>
      </c>
      <c r="K203" t="str">
        <f>IF(ISNA(VLOOKUP(A203,ResultDB!$A:$A,1,FALSE)),"","x")</f>
        <v>x</v>
      </c>
    </row>
    <row r="204" spans="1:11" x14ac:dyDescent="0.3">
      <c r="A204" t="s">
        <v>1117</v>
      </c>
      <c r="B204" t="s">
        <v>863</v>
      </c>
      <c r="C204" t="s">
        <v>817</v>
      </c>
      <c r="D204" s="73">
        <v>2003</v>
      </c>
      <c r="E204">
        <v>4</v>
      </c>
      <c r="F204">
        <v>1</v>
      </c>
      <c r="G204">
        <v>1</v>
      </c>
      <c r="H204">
        <v>8</v>
      </c>
      <c r="K204" t="str">
        <f>IF(ISNA(VLOOKUP(A204,ResultDB!$A:$A,1,FALSE)),"","x")</f>
        <v>x</v>
      </c>
    </row>
    <row r="205" spans="1:11" x14ac:dyDescent="0.3">
      <c r="A205" t="s">
        <v>1118</v>
      </c>
      <c r="B205" t="s">
        <v>863</v>
      </c>
      <c r="C205" t="s">
        <v>817</v>
      </c>
      <c r="D205" s="73">
        <v>2005</v>
      </c>
      <c r="E205">
        <v>4</v>
      </c>
      <c r="F205">
        <v>1.75</v>
      </c>
      <c r="G205">
        <v>2</v>
      </c>
      <c r="H205">
        <v>9</v>
      </c>
      <c r="K205" t="str">
        <f>IF(ISNA(VLOOKUP(A205,ResultDB!$A:$A,1,FALSE)),"","x")</f>
        <v>x</v>
      </c>
    </row>
    <row r="206" spans="1:11" x14ac:dyDescent="0.3">
      <c r="A206" t="s">
        <v>1119</v>
      </c>
      <c r="B206" t="s">
        <v>863</v>
      </c>
      <c r="C206" t="s">
        <v>817</v>
      </c>
      <c r="D206" s="73">
        <v>2007</v>
      </c>
      <c r="E206">
        <v>1</v>
      </c>
      <c r="F206">
        <v>1.5</v>
      </c>
      <c r="G206">
        <v>3</v>
      </c>
      <c r="H206">
        <v>10</v>
      </c>
      <c r="K206" t="str">
        <f>IF(ISNA(VLOOKUP(A206,ResultDB!$A:$A,1,FALSE)),"","x")</f>
        <v>x</v>
      </c>
    </row>
    <row r="207" spans="1:11" x14ac:dyDescent="0.3">
      <c r="A207" t="s">
        <v>1120</v>
      </c>
      <c r="B207" t="s">
        <v>863</v>
      </c>
      <c r="C207" t="s">
        <v>817</v>
      </c>
      <c r="D207" s="73">
        <v>2009</v>
      </c>
      <c r="E207">
        <v>1</v>
      </c>
      <c r="F207">
        <v>1.75</v>
      </c>
      <c r="G207">
        <v>3</v>
      </c>
      <c r="H207">
        <v>11</v>
      </c>
      <c r="K207" t="str">
        <f>IF(ISNA(VLOOKUP(A207,ResultDB!$A:$A,1,FALSE)),"","x")</f>
        <v>x</v>
      </c>
    </row>
    <row r="208" spans="1:11" x14ac:dyDescent="0.3">
      <c r="A208" t="s">
        <v>1121</v>
      </c>
      <c r="B208" t="s">
        <v>863</v>
      </c>
      <c r="C208" t="s">
        <v>817</v>
      </c>
      <c r="D208" s="73">
        <v>2010</v>
      </c>
      <c r="E208">
        <v>2</v>
      </c>
      <c r="F208">
        <v>1.25</v>
      </c>
      <c r="G208">
        <v>3</v>
      </c>
      <c r="H208">
        <v>11</v>
      </c>
      <c r="K208" t="str">
        <f>IF(ISNA(VLOOKUP(A208,ResultDB!$A:$A,1,FALSE)),"","x")</f>
        <v>x</v>
      </c>
    </row>
    <row r="209" spans="1:11" x14ac:dyDescent="0.3">
      <c r="A209" t="s">
        <v>1122</v>
      </c>
      <c r="B209" t="s">
        <v>863</v>
      </c>
      <c r="C209" t="s">
        <v>817</v>
      </c>
      <c r="D209" s="73">
        <v>2010</v>
      </c>
      <c r="E209">
        <v>3</v>
      </c>
      <c r="F209">
        <v>1.75</v>
      </c>
      <c r="G209">
        <v>4</v>
      </c>
      <c r="H209">
        <v>12</v>
      </c>
      <c r="K209" t="str">
        <f>IF(ISNA(VLOOKUP(A209,ResultDB!$A:$A,1,FALSE)),"","x")</f>
        <v>x</v>
      </c>
    </row>
    <row r="210" spans="1:11" x14ac:dyDescent="0.3">
      <c r="A210" t="s">
        <v>1123</v>
      </c>
      <c r="B210" t="s">
        <v>863</v>
      </c>
      <c r="C210" t="s">
        <v>819</v>
      </c>
      <c r="D210" s="73">
        <v>2000</v>
      </c>
      <c r="E210">
        <v>8</v>
      </c>
      <c r="F210">
        <v>2</v>
      </c>
      <c r="G210">
        <v>18</v>
      </c>
      <c r="H210">
        <v>25</v>
      </c>
      <c r="K210" t="str">
        <f>IF(ISNA(VLOOKUP(A210,ResultDB!$A:$A,1,FALSE)),"","x")</f>
        <v>x</v>
      </c>
    </row>
    <row r="211" spans="1:11" x14ac:dyDescent="0.3">
      <c r="A211" t="s">
        <v>1124</v>
      </c>
      <c r="B211" t="s">
        <v>863</v>
      </c>
      <c r="C211" t="s">
        <v>819</v>
      </c>
      <c r="D211" s="73">
        <v>2003</v>
      </c>
      <c r="E211">
        <v>5</v>
      </c>
      <c r="F211">
        <v>4</v>
      </c>
      <c r="G211">
        <v>19</v>
      </c>
      <c r="H211">
        <v>27</v>
      </c>
      <c r="K211" t="str">
        <f>IF(ISNA(VLOOKUP(A211,ResultDB!$A:$A,1,FALSE)),"","x")</f>
        <v>x</v>
      </c>
    </row>
    <row r="212" spans="1:11" x14ac:dyDescent="0.3">
      <c r="A212" t="s">
        <v>1125</v>
      </c>
      <c r="B212" t="s">
        <v>863</v>
      </c>
      <c r="C212" t="s">
        <v>819</v>
      </c>
      <c r="D212" s="73">
        <v>2003</v>
      </c>
      <c r="E212">
        <v>7</v>
      </c>
      <c r="F212">
        <v>1.5</v>
      </c>
      <c r="G212">
        <v>19</v>
      </c>
      <c r="H212">
        <v>28</v>
      </c>
      <c r="K212" t="str">
        <f>IF(ISNA(VLOOKUP(A212,ResultDB!$A:$A,1,FALSE)),"","x")</f>
        <v>x</v>
      </c>
    </row>
    <row r="213" spans="1:11" x14ac:dyDescent="0.3">
      <c r="A213" t="s">
        <v>1126</v>
      </c>
      <c r="B213" t="s">
        <v>863</v>
      </c>
      <c r="C213" t="s">
        <v>819</v>
      </c>
      <c r="D213" s="73">
        <v>2005</v>
      </c>
      <c r="E213">
        <v>5</v>
      </c>
      <c r="F213">
        <v>3</v>
      </c>
      <c r="G213">
        <v>20</v>
      </c>
      <c r="H213">
        <v>29</v>
      </c>
      <c r="K213" t="str">
        <f>IF(ISNA(VLOOKUP(A213,ResultDB!$A:$A,1,FALSE)),"","x")</f>
        <v>x</v>
      </c>
    </row>
    <row r="214" spans="1:11" x14ac:dyDescent="0.3">
      <c r="A214" t="s">
        <v>1127</v>
      </c>
      <c r="B214" t="s">
        <v>863</v>
      </c>
      <c r="C214" t="s">
        <v>819</v>
      </c>
      <c r="D214" s="73">
        <v>2005</v>
      </c>
      <c r="E214">
        <v>6</v>
      </c>
      <c r="F214">
        <v>1</v>
      </c>
      <c r="G214">
        <v>21</v>
      </c>
      <c r="H214">
        <v>30</v>
      </c>
      <c r="K214" t="str">
        <f>IF(ISNA(VLOOKUP(A214,ResultDB!$A:$A,1,FALSE)),"","x")</f>
        <v>x</v>
      </c>
    </row>
    <row r="215" spans="1:11" x14ac:dyDescent="0.3">
      <c r="A215" t="s">
        <v>1128</v>
      </c>
      <c r="B215" t="s">
        <v>863</v>
      </c>
      <c r="C215" t="s">
        <v>819</v>
      </c>
      <c r="D215" s="73">
        <v>2007</v>
      </c>
      <c r="E215">
        <v>2</v>
      </c>
      <c r="F215">
        <v>2.5</v>
      </c>
      <c r="G215">
        <v>21</v>
      </c>
      <c r="H215">
        <v>31</v>
      </c>
      <c r="K215" t="str">
        <f>IF(ISNA(VLOOKUP(A215,ResultDB!$A:$A,1,FALSE)),"","x")</f>
        <v>x</v>
      </c>
    </row>
    <row r="216" spans="1:11" x14ac:dyDescent="0.3">
      <c r="A216" t="s">
        <v>1129</v>
      </c>
      <c r="B216" t="s">
        <v>863</v>
      </c>
      <c r="C216" t="s">
        <v>819</v>
      </c>
      <c r="D216" s="73">
        <v>2007</v>
      </c>
      <c r="E216">
        <v>3</v>
      </c>
      <c r="F216">
        <v>1</v>
      </c>
      <c r="G216">
        <v>22</v>
      </c>
      <c r="H216">
        <v>32</v>
      </c>
      <c r="K216" t="str">
        <f>IF(ISNA(VLOOKUP(A216,ResultDB!$A:$A,1,FALSE)),"","x")</f>
        <v>x</v>
      </c>
    </row>
    <row r="217" spans="1:11" x14ac:dyDescent="0.3">
      <c r="A217" t="s">
        <v>1130</v>
      </c>
      <c r="B217" t="s">
        <v>863</v>
      </c>
      <c r="C217" t="s">
        <v>819</v>
      </c>
      <c r="D217" s="73">
        <v>2009</v>
      </c>
      <c r="E217">
        <v>2</v>
      </c>
      <c r="F217">
        <v>2.25</v>
      </c>
      <c r="G217">
        <v>23</v>
      </c>
      <c r="H217">
        <v>33</v>
      </c>
      <c r="K217" t="str">
        <f>IF(ISNA(VLOOKUP(A217,ResultDB!$A:$A,1,FALSE)),"","x")</f>
        <v>x</v>
      </c>
    </row>
    <row r="218" spans="1:11" x14ac:dyDescent="0.3">
      <c r="A218" t="s">
        <v>1131</v>
      </c>
      <c r="B218" t="s">
        <v>863</v>
      </c>
      <c r="C218" t="s">
        <v>819</v>
      </c>
      <c r="D218" s="73">
        <v>2009</v>
      </c>
      <c r="E218">
        <v>3</v>
      </c>
      <c r="F218">
        <v>1.75</v>
      </c>
      <c r="G218">
        <v>23</v>
      </c>
      <c r="H218">
        <v>34</v>
      </c>
      <c r="K218" t="str">
        <f>IF(ISNA(VLOOKUP(A218,ResultDB!$A:$A,1,FALSE)),"","x")</f>
        <v>x</v>
      </c>
    </row>
    <row r="219" spans="1:11" x14ac:dyDescent="0.3">
      <c r="A219" t="s">
        <v>1132</v>
      </c>
      <c r="B219" t="s">
        <v>863</v>
      </c>
      <c r="C219" t="s">
        <v>813</v>
      </c>
      <c r="D219" s="73">
        <v>2003</v>
      </c>
      <c r="E219">
        <v>12</v>
      </c>
      <c r="F219">
        <v>1.5</v>
      </c>
      <c r="G219">
        <v>38</v>
      </c>
      <c r="H219">
        <v>41</v>
      </c>
      <c r="K219" t="str">
        <f>IF(ISNA(VLOOKUP(A219,ResultDB!$A:$A,1,FALSE)),"","x")</f>
        <v>x</v>
      </c>
    </row>
    <row r="220" spans="1:11" x14ac:dyDescent="0.3">
      <c r="A220" t="s">
        <v>1133</v>
      </c>
      <c r="B220" t="s">
        <v>863</v>
      </c>
      <c r="C220" t="s">
        <v>820</v>
      </c>
      <c r="D220" s="73">
        <v>2003</v>
      </c>
      <c r="E220">
        <v>10</v>
      </c>
      <c r="F220">
        <v>1</v>
      </c>
      <c r="G220">
        <v>46</v>
      </c>
      <c r="H220">
        <v>53</v>
      </c>
      <c r="K220" t="str">
        <f>IF(ISNA(VLOOKUP(A220,ResultDB!$A:$A,1,FALSE)),"","x")</f>
        <v>x</v>
      </c>
    </row>
    <row r="221" spans="1:11" x14ac:dyDescent="0.3">
      <c r="A221" t="s">
        <v>1134</v>
      </c>
      <c r="B221" t="s">
        <v>863</v>
      </c>
      <c r="C221" t="s">
        <v>820</v>
      </c>
      <c r="D221" s="73">
        <v>2003</v>
      </c>
      <c r="E221">
        <v>11</v>
      </c>
      <c r="F221">
        <v>2</v>
      </c>
      <c r="G221">
        <v>46</v>
      </c>
      <c r="H221">
        <v>53</v>
      </c>
      <c r="K221" t="str">
        <f>IF(ISNA(VLOOKUP(A221,ResultDB!$A:$A,1,FALSE)),"","x")</f>
        <v>x</v>
      </c>
    </row>
    <row r="222" spans="1:11" x14ac:dyDescent="0.3">
      <c r="A222" t="s">
        <v>1135</v>
      </c>
      <c r="B222" t="s">
        <v>863</v>
      </c>
      <c r="C222" t="s">
        <v>820</v>
      </c>
      <c r="D222" s="73">
        <v>2005</v>
      </c>
      <c r="E222">
        <v>8</v>
      </c>
      <c r="F222">
        <v>2</v>
      </c>
      <c r="G222">
        <v>47</v>
      </c>
      <c r="H222">
        <v>56</v>
      </c>
      <c r="K222" t="str">
        <f>IF(ISNA(VLOOKUP(A222,ResultDB!$A:$A,1,FALSE)),"","x")</f>
        <v>x</v>
      </c>
    </row>
    <row r="223" spans="1:11" x14ac:dyDescent="0.3">
      <c r="A223" t="s">
        <v>1136</v>
      </c>
      <c r="B223" t="s">
        <v>863</v>
      </c>
      <c r="C223" t="s">
        <v>820</v>
      </c>
      <c r="D223" s="73">
        <v>2005</v>
      </c>
      <c r="E223">
        <v>12</v>
      </c>
      <c r="F223">
        <v>1</v>
      </c>
      <c r="G223">
        <v>48</v>
      </c>
      <c r="H223">
        <v>56</v>
      </c>
      <c r="K223" t="str">
        <f>IF(ISNA(VLOOKUP(A223,ResultDB!$A:$A,1,FALSE)),"","x")</f>
        <v>x</v>
      </c>
    </row>
    <row r="224" spans="1:11" x14ac:dyDescent="0.3">
      <c r="A224" t="s">
        <v>1137</v>
      </c>
      <c r="B224" t="s">
        <v>863</v>
      </c>
      <c r="C224" t="s">
        <v>820</v>
      </c>
      <c r="D224" s="73">
        <v>2010</v>
      </c>
      <c r="E224">
        <v>4</v>
      </c>
      <c r="F224">
        <v>1.25</v>
      </c>
      <c r="G224">
        <v>50</v>
      </c>
      <c r="H224">
        <v>60</v>
      </c>
      <c r="K224" t="str">
        <f>IF(ISNA(VLOOKUP(A224,ResultDB!$A:$A,1,FALSE)),"","x")</f>
        <v>x</v>
      </c>
    </row>
    <row r="225" spans="1:11" x14ac:dyDescent="0.3">
      <c r="A225" t="s">
        <v>1138</v>
      </c>
      <c r="B225" t="s">
        <v>863</v>
      </c>
      <c r="C225" t="s">
        <v>814</v>
      </c>
      <c r="D225" s="73">
        <v>2000</v>
      </c>
      <c r="E225">
        <v>13</v>
      </c>
      <c r="F225">
        <v>2</v>
      </c>
      <c r="G225">
        <v>68</v>
      </c>
      <c r="H225">
        <v>72</v>
      </c>
      <c r="K225" t="str">
        <f>IF(ISNA(VLOOKUP(A225,ResultDB!$A:$A,1,FALSE)),"","x")</f>
        <v>x</v>
      </c>
    </row>
    <row r="226" spans="1:11" x14ac:dyDescent="0.3">
      <c r="A226" t="s">
        <v>1139</v>
      </c>
      <c r="B226" t="s">
        <v>863</v>
      </c>
      <c r="C226" t="s">
        <v>814</v>
      </c>
      <c r="D226" s="73">
        <v>2003</v>
      </c>
      <c r="E226">
        <v>13</v>
      </c>
      <c r="F226">
        <v>1.5</v>
      </c>
      <c r="G226">
        <v>69</v>
      </c>
      <c r="H226">
        <v>73</v>
      </c>
      <c r="K226" t="str">
        <f>IF(ISNA(VLOOKUP(A226,ResultDB!$A:$A,1,FALSE)),"","x")</f>
        <v>x</v>
      </c>
    </row>
    <row r="227" spans="1:11" x14ac:dyDescent="0.3">
      <c r="A227" t="s">
        <v>1140</v>
      </c>
      <c r="B227" t="s">
        <v>863</v>
      </c>
      <c r="C227" t="s">
        <v>814</v>
      </c>
      <c r="D227" s="73">
        <v>2009</v>
      </c>
      <c r="E227">
        <v>4</v>
      </c>
      <c r="F227">
        <v>1</v>
      </c>
      <c r="G227">
        <v>70</v>
      </c>
      <c r="H227">
        <v>76</v>
      </c>
      <c r="K227" t="str">
        <f>IF(ISNA(VLOOKUP(A227,ResultDB!$A:$A,1,FALSE)),"","x")</f>
        <v>x</v>
      </c>
    </row>
    <row r="228" spans="1:11" x14ac:dyDescent="0.3">
      <c r="A228" t="s">
        <v>1141</v>
      </c>
      <c r="B228" t="s">
        <v>863</v>
      </c>
      <c r="C228" t="s">
        <v>821</v>
      </c>
      <c r="D228" s="73">
        <v>2003</v>
      </c>
      <c r="E228">
        <v>14</v>
      </c>
      <c r="F228">
        <v>1.5</v>
      </c>
      <c r="G228">
        <v>79</v>
      </c>
      <c r="H228">
        <v>83</v>
      </c>
      <c r="K228" t="str">
        <f>IF(ISNA(VLOOKUP(A228,ResultDB!$A:$A,1,FALSE)),"","x")</f>
        <v>x</v>
      </c>
    </row>
    <row r="229" spans="1:11" x14ac:dyDescent="0.3">
      <c r="A229" t="s">
        <v>1142</v>
      </c>
      <c r="B229" t="s">
        <v>863</v>
      </c>
      <c r="C229" t="s">
        <v>821</v>
      </c>
      <c r="D229" s="73">
        <v>2003</v>
      </c>
      <c r="E229">
        <v>15</v>
      </c>
      <c r="F229">
        <v>1.5</v>
      </c>
      <c r="G229">
        <v>79</v>
      </c>
      <c r="H229">
        <v>83</v>
      </c>
      <c r="K229" t="str">
        <f>IF(ISNA(VLOOKUP(A229,ResultDB!$A:$A,1,FALSE)),"","x")</f>
        <v>x</v>
      </c>
    </row>
    <row r="230" spans="1:11" x14ac:dyDescent="0.3">
      <c r="A230" t="s">
        <v>1143</v>
      </c>
      <c r="B230" t="s">
        <v>863</v>
      </c>
      <c r="C230" t="s">
        <v>821</v>
      </c>
      <c r="D230" s="73">
        <v>2007</v>
      </c>
      <c r="E230">
        <v>5</v>
      </c>
      <c r="F230">
        <v>2</v>
      </c>
      <c r="G230">
        <v>79</v>
      </c>
      <c r="H230">
        <v>84</v>
      </c>
      <c r="K230" t="str">
        <f>IF(ISNA(VLOOKUP(A230,ResultDB!$A:$A,1,FALSE)),"","x")</f>
        <v>x</v>
      </c>
    </row>
    <row r="231" spans="1:11" x14ac:dyDescent="0.3">
      <c r="A231" t="s">
        <v>1144</v>
      </c>
      <c r="B231" t="s">
        <v>863</v>
      </c>
      <c r="C231" t="s">
        <v>821</v>
      </c>
      <c r="D231" s="73">
        <v>2010</v>
      </c>
      <c r="E231">
        <v>1</v>
      </c>
      <c r="F231">
        <v>1.5</v>
      </c>
      <c r="G231">
        <v>80</v>
      </c>
      <c r="H231">
        <v>86</v>
      </c>
      <c r="K231" t="str">
        <f>IF(ISNA(VLOOKUP(A231,ResultDB!$A:$A,1,FALSE)),"","x")</f>
        <v>x</v>
      </c>
    </row>
    <row r="232" spans="1:11" x14ac:dyDescent="0.3">
      <c r="A232" t="s">
        <v>1145</v>
      </c>
      <c r="B232" t="s">
        <v>863</v>
      </c>
      <c r="C232" t="s">
        <v>823</v>
      </c>
      <c r="D232" s="73">
        <v>2007</v>
      </c>
      <c r="E232">
        <v>7</v>
      </c>
      <c r="F232">
        <v>2.25</v>
      </c>
      <c r="G232">
        <v>89</v>
      </c>
      <c r="H232">
        <v>91</v>
      </c>
      <c r="K232" t="str">
        <f>IF(ISNA(VLOOKUP(A232,ResultDB!$A:$A,1,FALSE)),"","x")</f>
        <v>x</v>
      </c>
    </row>
    <row r="233" spans="1:11" x14ac:dyDescent="0.3">
      <c r="A233" t="s">
        <v>1146</v>
      </c>
      <c r="B233" t="s">
        <v>863</v>
      </c>
      <c r="C233" t="s">
        <v>815</v>
      </c>
      <c r="D233" s="73">
        <v>2000</v>
      </c>
      <c r="E233">
        <v>12</v>
      </c>
      <c r="F233">
        <v>3.5</v>
      </c>
      <c r="G233">
        <v>93</v>
      </c>
      <c r="H233">
        <v>95</v>
      </c>
      <c r="K233" t="str">
        <f>IF(ISNA(VLOOKUP(A233,ResultDB!$A:$A,1,FALSE)),"","x")</f>
        <v>x</v>
      </c>
    </row>
    <row r="234" spans="1:11" x14ac:dyDescent="0.3">
      <c r="A234" t="s">
        <v>1147</v>
      </c>
      <c r="B234" t="s">
        <v>863</v>
      </c>
      <c r="C234" t="s">
        <v>815</v>
      </c>
      <c r="D234" s="73">
        <v>2003</v>
      </c>
      <c r="E234">
        <v>16</v>
      </c>
      <c r="F234">
        <v>1.5</v>
      </c>
      <c r="G234">
        <v>93</v>
      </c>
      <c r="H234">
        <v>96</v>
      </c>
      <c r="K234" t="str">
        <f>IF(ISNA(VLOOKUP(A234,ResultDB!$A:$A,1,FALSE)),"","x")</f>
        <v>x</v>
      </c>
    </row>
    <row r="235" spans="1:11" x14ac:dyDescent="0.3">
      <c r="A235" t="s">
        <v>1148</v>
      </c>
      <c r="B235" t="s">
        <v>863</v>
      </c>
      <c r="C235" t="s">
        <v>815</v>
      </c>
      <c r="D235" s="73">
        <v>2005</v>
      </c>
      <c r="E235">
        <v>10</v>
      </c>
      <c r="F235">
        <v>2</v>
      </c>
      <c r="G235">
        <v>94</v>
      </c>
      <c r="H235">
        <v>97</v>
      </c>
      <c r="K235" t="str">
        <f>IF(ISNA(VLOOKUP(A235,ResultDB!$A:$A,1,FALSE)),"","x")</f>
        <v>x</v>
      </c>
    </row>
    <row r="236" spans="1:11" x14ac:dyDescent="0.3">
      <c r="A236" t="s">
        <v>1149</v>
      </c>
      <c r="B236" t="s">
        <v>863</v>
      </c>
      <c r="C236" t="s">
        <v>815</v>
      </c>
      <c r="D236" s="73">
        <v>2010</v>
      </c>
      <c r="E236">
        <v>5</v>
      </c>
      <c r="F236">
        <v>2.5</v>
      </c>
      <c r="G236">
        <v>94</v>
      </c>
      <c r="H236">
        <v>97</v>
      </c>
      <c r="K236" t="str">
        <f>IF(ISNA(VLOOKUP(A236,ResultDB!$A:$A,1,FALSE)),"","x")</f>
        <v>x</v>
      </c>
    </row>
    <row r="237" spans="1:11" x14ac:dyDescent="0.3">
      <c r="A237" t="s">
        <v>1166</v>
      </c>
      <c r="B237" t="s">
        <v>871</v>
      </c>
      <c r="C237" t="s">
        <v>774</v>
      </c>
      <c r="D237" s="73">
        <v>2001</v>
      </c>
      <c r="E237">
        <v>16</v>
      </c>
      <c r="F237">
        <v>1</v>
      </c>
      <c r="G237">
        <v>1</v>
      </c>
      <c r="H237">
        <v>8</v>
      </c>
      <c r="K237" t="str">
        <f>IF(ISNA(VLOOKUP(A237,ResultDB!$A:$A,1,FALSE)),"","x")</f>
        <v>x</v>
      </c>
    </row>
    <row r="238" spans="1:11" x14ac:dyDescent="0.3">
      <c r="A238" t="s">
        <v>1167</v>
      </c>
      <c r="B238" t="s">
        <v>871</v>
      </c>
      <c r="C238" t="s">
        <v>774</v>
      </c>
      <c r="D238" s="73">
        <v>2002</v>
      </c>
      <c r="E238">
        <v>5</v>
      </c>
      <c r="F238">
        <v>1</v>
      </c>
      <c r="G238">
        <v>1</v>
      </c>
      <c r="H238">
        <v>8</v>
      </c>
      <c r="K238" t="str">
        <f>IF(ISNA(VLOOKUP(A238,ResultDB!$A:$A,1,FALSE)),"","x")</f>
        <v>x</v>
      </c>
    </row>
    <row r="239" spans="1:11" x14ac:dyDescent="0.3">
      <c r="A239" t="s">
        <v>1168</v>
      </c>
      <c r="B239" t="s">
        <v>871</v>
      </c>
      <c r="C239" t="s">
        <v>774</v>
      </c>
      <c r="D239" s="73">
        <v>2003</v>
      </c>
      <c r="E239">
        <v>16</v>
      </c>
      <c r="F239">
        <v>1</v>
      </c>
      <c r="G239">
        <v>1</v>
      </c>
      <c r="H239">
        <v>9</v>
      </c>
      <c r="K239" t="str">
        <f>IF(ISNA(VLOOKUP(A239,ResultDB!$A:$A,1,FALSE)),"","x")</f>
        <v>x</v>
      </c>
    </row>
    <row r="240" spans="1:11" x14ac:dyDescent="0.3">
      <c r="A240" t="s">
        <v>1169</v>
      </c>
      <c r="B240" t="s">
        <v>871</v>
      </c>
      <c r="C240" t="s">
        <v>774</v>
      </c>
      <c r="D240" s="73">
        <v>2003</v>
      </c>
      <c r="E240">
        <v>40</v>
      </c>
      <c r="F240">
        <v>3</v>
      </c>
      <c r="G240">
        <v>2</v>
      </c>
      <c r="H240">
        <v>9</v>
      </c>
      <c r="K240" t="str">
        <f>IF(ISNA(VLOOKUP(A240,ResultDB!$A:$A,1,FALSE)),"","x")</f>
        <v>x</v>
      </c>
    </row>
    <row r="241" spans="1:11" x14ac:dyDescent="0.3">
      <c r="A241" t="s">
        <v>1170</v>
      </c>
      <c r="B241" t="s">
        <v>871</v>
      </c>
      <c r="C241" t="s">
        <v>774</v>
      </c>
      <c r="D241" s="73">
        <v>2004</v>
      </c>
      <c r="E241">
        <v>10</v>
      </c>
      <c r="F241">
        <v>1</v>
      </c>
      <c r="G241">
        <v>2</v>
      </c>
      <c r="H241">
        <v>9</v>
      </c>
      <c r="K241" t="str">
        <f>IF(ISNA(VLOOKUP(A241,ResultDB!$A:$A,1,FALSE)),"","x")</f>
        <v>x</v>
      </c>
    </row>
    <row r="242" spans="1:11" x14ac:dyDescent="0.3">
      <c r="A242" t="s">
        <v>1171</v>
      </c>
      <c r="B242" t="s">
        <v>871</v>
      </c>
      <c r="C242" t="s">
        <v>774</v>
      </c>
      <c r="D242" s="73">
        <v>2004</v>
      </c>
      <c r="E242">
        <v>30</v>
      </c>
      <c r="F242">
        <v>3</v>
      </c>
      <c r="G242">
        <v>2</v>
      </c>
      <c r="H242">
        <v>10</v>
      </c>
      <c r="K242" t="str">
        <f>IF(ISNA(VLOOKUP(A242,ResultDB!$A:$A,1,FALSE)),"","x")</f>
        <v>x</v>
      </c>
    </row>
    <row r="243" spans="1:11" x14ac:dyDescent="0.3">
      <c r="A243" t="s">
        <v>1172</v>
      </c>
      <c r="B243" t="s">
        <v>871</v>
      </c>
      <c r="C243" t="s">
        <v>774</v>
      </c>
      <c r="D243" s="73">
        <v>2005</v>
      </c>
      <c r="E243">
        <v>22</v>
      </c>
      <c r="F243">
        <v>2</v>
      </c>
      <c r="G243">
        <v>3</v>
      </c>
      <c r="H243">
        <v>11</v>
      </c>
      <c r="K243" t="str">
        <f>IF(ISNA(VLOOKUP(A243,ResultDB!$A:$A,1,FALSE)),"","x")</f>
        <v>x</v>
      </c>
    </row>
    <row r="244" spans="1:11" x14ac:dyDescent="0.3">
      <c r="A244" t="s">
        <v>1173</v>
      </c>
      <c r="B244" t="s">
        <v>871</v>
      </c>
      <c r="C244" t="s">
        <v>774</v>
      </c>
      <c r="D244" s="73">
        <v>2006</v>
      </c>
      <c r="E244">
        <v>22</v>
      </c>
      <c r="F244">
        <v>3</v>
      </c>
      <c r="G244">
        <v>3</v>
      </c>
      <c r="H244">
        <v>11</v>
      </c>
      <c r="K244" t="str">
        <f>IF(ISNA(VLOOKUP(A244,ResultDB!$A:$A,1,FALSE)),"","x")</f>
        <v>x</v>
      </c>
    </row>
    <row r="245" spans="1:11" x14ac:dyDescent="0.3">
      <c r="A245" t="s">
        <v>1174</v>
      </c>
      <c r="B245" t="s">
        <v>871</v>
      </c>
      <c r="C245" t="s">
        <v>774</v>
      </c>
      <c r="D245" s="73">
        <v>2007</v>
      </c>
      <c r="E245">
        <v>21</v>
      </c>
      <c r="F245">
        <v>3</v>
      </c>
      <c r="G245">
        <v>4</v>
      </c>
      <c r="H245">
        <v>12</v>
      </c>
      <c r="K245" t="str">
        <f>IF(ISNA(VLOOKUP(A245,ResultDB!$A:$A,1,FALSE)),"","x")</f>
        <v>x</v>
      </c>
    </row>
    <row r="246" spans="1:11" x14ac:dyDescent="0.3">
      <c r="A246" t="s">
        <v>1175</v>
      </c>
      <c r="B246" t="s">
        <v>871</v>
      </c>
      <c r="C246" t="s">
        <v>774</v>
      </c>
      <c r="D246" s="73">
        <v>2008</v>
      </c>
      <c r="E246">
        <v>19</v>
      </c>
      <c r="F246">
        <v>2</v>
      </c>
      <c r="G246">
        <v>4</v>
      </c>
      <c r="H246">
        <v>13</v>
      </c>
      <c r="K246" t="str">
        <f>IF(ISNA(VLOOKUP(A246,ResultDB!$A:$A,1,FALSE)),"","x")</f>
        <v>x</v>
      </c>
    </row>
    <row r="247" spans="1:11" x14ac:dyDescent="0.3">
      <c r="A247" t="s">
        <v>1176</v>
      </c>
      <c r="B247" t="s">
        <v>871</v>
      </c>
      <c r="C247" t="s">
        <v>774</v>
      </c>
      <c r="D247" s="73">
        <v>2012</v>
      </c>
      <c r="E247">
        <v>16</v>
      </c>
      <c r="F247">
        <v>3.5</v>
      </c>
      <c r="G247">
        <v>5</v>
      </c>
      <c r="H247">
        <v>13</v>
      </c>
      <c r="K247" t="str">
        <f>IF(ISNA(VLOOKUP(A247,ResultDB!$A:$A,1,FALSE)),"","x")</f>
        <v>x</v>
      </c>
    </row>
    <row r="248" spans="1:11" x14ac:dyDescent="0.3">
      <c r="A248" t="s">
        <v>1177</v>
      </c>
      <c r="B248" t="s">
        <v>871</v>
      </c>
      <c r="C248" t="s">
        <v>768</v>
      </c>
      <c r="D248" s="73">
        <v>2000</v>
      </c>
      <c r="E248">
        <v>27</v>
      </c>
      <c r="F248">
        <v>4.5</v>
      </c>
      <c r="G248">
        <v>17</v>
      </c>
      <c r="H248">
        <v>33</v>
      </c>
      <c r="K248" t="str">
        <f>IF(ISNA(VLOOKUP(A248,ResultDB!$A:$A,1,FALSE)),"","x")</f>
        <v>x</v>
      </c>
    </row>
    <row r="249" spans="1:11" x14ac:dyDescent="0.3">
      <c r="A249" t="s">
        <v>1178</v>
      </c>
      <c r="B249" t="s">
        <v>871</v>
      </c>
      <c r="C249" t="s">
        <v>768</v>
      </c>
      <c r="D249" s="73">
        <v>2002</v>
      </c>
      <c r="E249">
        <v>22</v>
      </c>
      <c r="F249">
        <v>3</v>
      </c>
      <c r="G249">
        <v>18</v>
      </c>
      <c r="H249">
        <v>34</v>
      </c>
      <c r="K249" t="str">
        <f>IF(ISNA(VLOOKUP(A249,ResultDB!$A:$A,1,FALSE)),"","x")</f>
        <v>x</v>
      </c>
    </row>
    <row r="250" spans="1:11" x14ac:dyDescent="0.3">
      <c r="A250" t="s">
        <v>1179</v>
      </c>
      <c r="B250" t="s">
        <v>871</v>
      </c>
      <c r="C250" t="s">
        <v>768</v>
      </c>
      <c r="D250" s="73">
        <v>2004</v>
      </c>
      <c r="E250">
        <v>31</v>
      </c>
      <c r="F250">
        <v>3</v>
      </c>
      <c r="G250">
        <v>19</v>
      </c>
      <c r="H250">
        <v>35</v>
      </c>
      <c r="K250" t="str">
        <f>IF(ISNA(VLOOKUP(A250,ResultDB!$A:$A,1,FALSE)),"","x")</f>
        <v>x</v>
      </c>
    </row>
    <row r="251" spans="1:11" x14ac:dyDescent="0.3">
      <c r="A251" t="s">
        <v>1180</v>
      </c>
      <c r="B251" t="s">
        <v>871</v>
      </c>
      <c r="C251" t="s">
        <v>768</v>
      </c>
      <c r="D251" s="73">
        <v>2004</v>
      </c>
      <c r="E251">
        <v>35</v>
      </c>
      <c r="F251">
        <v>2</v>
      </c>
      <c r="G251">
        <v>19</v>
      </c>
      <c r="H251">
        <v>37</v>
      </c>
      <c r="K251" t="str">
        <f>IF(ISNA(VLOOKUP(A251,ResultDB!$A:$A,1,FALSE)),"","x")</f>
        <v>x</v>
      </c>
    </row>
    <row r="252" spans="1:11" x14ac:dyDescent="0.3">
      <c r="A252" t="s">
        <v>1181</v>
      </c>
      <c r="B252" t="s">
        <v>871</v>
      </c>
      <c r="C252" t="s">
        <v>768</v>
      </c>
      <c r="D252" s="73">
        <v>2005</v>
      </c>
      <c r="E252">
        <v>16</v>
      </c>
      <c r="F252">
        <v>2</v>
      </c>
      <c r="G252">
        <v>20</v>
      </c>
      <c r="H252">
        <v>37</v>
      </c>
      <c r="K252" t="str">
        <f>IF(ISNA(VLOOKUP(A252,ResultDB!$A:$A,1,FALSE)),"","x")</f>
        <v>x</v>
      </c>
    </row>
    <row r="253" spans="1:11" x14ac:dyDescent="0.3">
      <c r="A253" t="s">
        <v>1182</v>
      </c>
      <c r="B253" t="s">
        <v>871</v>
      </c>
      <c r="C253" t="s">
        <v>768</v>
      </c>
      <c r="D253" s="73">
        <v>2005</v>
      </c>
      <c r="E253">
        <v>18</v>
      </c>
      <c r="F253">
        <v>1</v>
      </c>
      <c r="G253">
        <v>20</v>
      </c>
      <c r="H253">
        <v>37</v>
      </c>
      <c r="K253" t="str">
        <f>IF(ISNA(VLOOKUP(A253,ResultDB!$A:$A,1,FALSE)),"","x")</f>
        <v>x</v>
      </c>
    </row>
    <row r="254" spans="1:11" x14ac:dyDescent="0.3">
      <c r="A254" t="s">
        <v>1183</v>
      </c>
      <c r="B254" t="s">
        <v>871</v>
      </c>
      <c r="C254" t="s">
        <v>768</v>
      </c>
      <c r="D254" s="73">
        <v>2006</v>
      </c>
      <c r="E254">
        <v>16</v>
      </c>
      <c r="F254">
        <v>3</v>
      </c>
      <c r="G254">
        <v>20</v>
      </c>
      <c r="H254">
        <v>38</v>
      </c>
      <c r="K254" t="str">
        <f>IF(ISNA(VLOOKUP(A254,ResultDB!$A:$A,1,FALSE)),"","x")</f>
        <v>x</v>
      </c>
    </row>
    <row r="255" spans="1:11" x14ac:dyDescent="0.3">
      <c r="A255" t="s">
        <v>1184</v>
      </c>
      <c r="B255" t="s">
        <v>871</v>
      </c>
      <c r="C255" t="s">
        <v>768</v>
      </c>
      <c r="D255" s="73">
        <v>2006</v>
      </c>
      <c r="E255">
        <v>21</v>
      </c>
      <c r="F255">
        <v>2</v>
      </c>
      <c r="G255">
        <v>21</v>
      </c>
      <c r="H255">
        <v>39</v>
      </c>
      <c r="K255" t="str">
        <f>IF(ISNA(VLOOKUP(A255,ResultDB!$A:$A,1,FALSE)),"","x")</f>
        <v>x</v>
      </c>
    </row>
    <row r="256" spans="1:11" x14ac:dyDescent="0.3">
      <c r="A256" t="s">
        <v>1185</v>
      </c>
      <c r="B256" t="s">
        <v>871</v>
      </c>
      <c r="C256" t="s">
        <v>768</v>
      </c>
      <c r="D256" s="73">
        <v>2007</v>
      </c>
      <c r="E256">
        <v>15</v>
      </c>
      <c r="F256">
        <v>4</v>
      </c>
      <c r="G256">
        <v>22</v>
      </c>
      <c r="H256">
        <v>40</v>
      </c>
      <c r="K256" t="str">
        <f>IF(ISNA(VLOOKUP(A256,ResultDB!$A:$A,1,FALSE)),"","x")</f>
        <v>x</v>
      </c>
    </row>
    <row r="257" spans="1:11" x14ac:dyDescent="0.3">
      <c r="A257" t="s">
        <v>1186</v>
      </c>
      <c r="B257" t="s">
        <v>871</v>
      </c>
      <c r="C257" t="s">
        <v>768</v>
      </c>
      <c r="D257" s="73">
        <v>2008</v>
      </c>
      <c r="E257">
        <v>8</v>
      </c>
      <c r="F257">
        <v>4.25</v>
      </c>
      <c r="G257">
        <v>23</v>
      </c>
      <c r="H257">
        <v>41</v>
      </c>
      <c r="K257" t="str">
        <f>IF(ISNA(VLOOKUP(A257,ResultDB!$A:$A,1,FALSE)),"","x")</f>
        <v>x</v>
      </c>
    </row>
    <row r="258" spans="1:11" x14ac:dyDescent="0.3">
      <c r="A258" t="s">
        <v>1187</v>
      </c>
      <c r="B258" t="s">
        <v>871</v>
      </c>
      <c r="C258" t="s">
        <v>768</v>
      </c>
      <c r="D258" s="73">
        <v>2008</v>
      </c>
      <c r="E258">
        <v>9</v>
      </c>
      <c r="F258">
        <v>2.5</v>
      </c>
      <c r="G258">
        <v>23</v>
      </c>
      <c r="H258">
        <v>43</v>
      </c>
      <c r="K258" t="str">
        <f>IF(ISNA(VLOOKUP(A258,ResultDB!$A:$A,1,FALSE)),"","x")</f>
        <v>x</v>
      </c>
    </row>
    <row r="259" spans="1:11" x14ac:dyDescent="0.3">
      <c r="A259" t="s">
        <v>1188</v>
      </c>
      <c r="B259" t="s">
        <v>871</v>
      </c>
      <c r="C259" t="s">
        <v>768</v>
      </c>
      <c r="D259" s="73">
        <v>2009</v>
      </c>
      <c r="E259">
        <v>7</v>
      </c>
      <c r="F259">
        <v>5</v>
      </c>
      <c r="G259">
        <v>24</v>
      </c>
      <c r="H259">
        <v>43</v>
      </c>
      <c r="K259" t="str">
        <f>IF(ISNA(VLOOKUP(A259,ResultDB!$A:$A,1,FALSE)),"","x")</f>
        <v>x</v>
      </c>
    </row>
    <row r="260" spans="1:11" x14ac:dyDescent="0.3">
      <c r="A260" t="s">
        <v>1189</v>
      </c>
      <c r="B260" t="s">
        <v>871</v>
      </c>
      <c r="C260" t="s">
        <v>768</v>
      </c>
      <c r="D260" s="73">
        <v>2009</v>
      </c>
      <c r="E260">
        <v>15</v>
      </c>
      <c r="F260">
        <v>2.75</v>
      </c>
      <c r="G260">
        <v>25</v>
      </c>
      <c r="H260">
        <v>45</v>
      </c>
      <c r="K260" t="str">
        <f>IF(ISNA(VLOOKUP(A260,ResultDB!$A:$A,1,FALSE)),"","x")</f>
        <v>x</v>
      </c>
    </row>
    <row r="261" spans="1:11" x14ac:dyDescent="0.3">
      <c r="A261" t="s">
        <v>1190</v>
      </c>
      <c r="B261" t="s">
        <v>871</v>
      </c>
      <c r="C261" t="s">
        <v>768</v>
      </c>
      <c r="D261" s="73">
        <v>2010</v>
      </c>
      <c r="E261">
        <v>7</v>
      </c>
      <c r="F261">
        <v>2</v>
      </c>
      <c r="G261">
        <v>25</v>
      </c>
      <c r="H261">
        <v>45</v>
      </c>
      <c r="K261" t="str">
        <f>IF(ISNA(VLOOKUP(A261,ResultDB!$A:$A,1,FALSE)),"","x")</f>
        <v>x</v>
      </c>
    </row>
    <row r="262" spans="1:11" x14ac:dyDescent="0.3">
      <c r="A262" t="s">
        <v>1191</v>
      </c>
      <c r="B262" t="s">
        <v>871</v>
      </c>
      <c r="C262" t="s">
        <v>768</v>
      </c>
      <c r="D262" s="73">
        <v>2010</v>
      </c>
      <c r="E262">
        <v>11</v>
      </c>
      <c r="F262">
        <v>2.5</v>
      </c>
      <c r="G262">
        <v>26</v>
      </c>
      <c r="H262">
        <v>46</v>
      </c>
      <c r="K262" t="str">
        <f>IF(ISNA(VLOOKUP(A262,ResultDB!$A:$A,1,FALSE)),"","x")</f>
        <v>x</v>
      </c>
    </row>
    <row r="263" spans="1:11" x14ac:dyDescent="0.3">
      <c r="A263" t="s">
        <v>1192</v>
      </c>
      <c r="B263" t="s">
        <v>871</v>
      </c>
      <c r="C263" t="s">
        <v>768</v>
      </c>
      <c r="D263" s="73">
        <v>2010</v>
      </c>
      <c r="E263">
        <v>13</v>
      </c>
      <c r="F263">
        <v>4</v>
      </c>
      <c r="G263">
        <v>26</v>
      </c>
      <c r="H263">
        <v>47</v>
      </c>
      <c r="K263" t="str">
        <f>IF(ISNA(VLOOKUP(A263,ResultDB!$A:$A,1,FALSE)),"","x")</f>
        <v>x</v>
      </c>
    </row>
    <row r="264" spans="1:11" x14ac:dyDescent="0.3">
      <c r="A264" t="s">
        <v>1193</v>
      </c>
      <c r="B264" t="s">
        <v>871</v>
      </c>
      <c r="C264" t="s">
        <v>768</v>
      </c>
      <c r="D264" s="73">
        <v>2011</v>
      </c>
      <c r="E264">
        <v>18</v>
      </c>
      <c r="F264">
        <v>4</v>
      </c>
      <c r="G264">
        <v>27</v>
      </c>
      <c r="H264">
        <v>49</v>
      </c>
      <c r="K264" t="str">
        <f>IF(ISNA(VLOOKUP(A264,ResultDB!$A:$A,1,FALSE)),"","x")</f>
        <v>x</v>
      </c>
    </row>
    <row r="265" spans="1:11" x14ac:dyDescent="0.3">
      <c r="A265" t="s">
        <v>1194</v>
      </c>
      <c r="B265" t="s">
        <v>871</v>
      </c>
      <c r="C265" t="s">
        <v>768</v>
      </c>
      <c r="D265" s="73">
        <v>2011</v>
      </c>
      <c r="E265">
        <v>19</v>
      </c>
      <c r="F265">
        <v>2.5</v>
      </c>
      <c r="G265">
        <v>28</v>
      </c>
      <c r="H265">
        <v>51</v>
      </c>
      <c r="K265" t="str">
        <f>IF(ISNA(VLOOKUP(A265,ResultDB!$A:$A,1,FALSE)),"","x")</f>
        <v>x</v>
      </c>
    </row>
    <row r="266" spans="1:11" x14ac:dyDescent="0.3">
      <c r="A266" t="s">
        <v>1195</v>
      </c>
      <c r="B266" t="s">
        <v>871</v>
      </c>
      <c r="C266" t="s">
        <v>768</v>
      </c>
      <c r="D266" s="73">
        <v>2012</v>
      </c>
      <c r="E266">
        <v>17</v>
      </c>
      <c r="F266">
        <v>4.5</v>
      </c>
      <c r="G266">
        <v>29</v>
      </c>
      <c r="H266">
        <v>53</v>
      </c>
      <c r="K266" t="str">
        <f>IF(ISNA(VLOOKUP(A266,ResultDB!$A:$A,1,FALSE)),"","x")</f>
        <v>x</v>
      </c>
    </row>
    <row r="267" spans="1:11" x14ac:dyDescent="0.3">
      <c r="A267" t="s">
        <v>1196</v>
      </c>
      <c r="B267" t="s">
        <v>871</v>
      </c>
      <c r="C267" t="s">
        <v>769</v>
      </c>
      <c r="D267" s="73">
        <v>2000</v>
      </c>
      <c r="E267">
        <v>24</v>
      </c>
      <c r="F267">
        <v>2</v>
      </c>
      <c r="G267">
        <v>61</v>
      </c>
      <c r="H267">
        <v>71</v>
      </c>
      <c r="K267" t="str">
        <f>IF(ISNA(VLOOKUP(A267,ResultDB!$A:$A,1,FALSE)),"","x")</f>
        <v>x</v>
      </c>
    </row>
    <row r="268" spans="1:11" x14ac:dyDescent="0.3">
      <c r="A268" t="s">
        <v>1197</v>
      </c>
      <c r="B268" t="s">
        <v>871</v>
      </c>
      <c r="C268" t="s">
        <v>769</v>
      </c>
      <c r="D268" s="73">
        <v>2001</v>
      </c>
      <c r="E268">
        <v>17</v>
      </c>
      <c r="F268">
        <v>1</v>
      </c>
      <c r="G268">
        <v>61</v>
      </c>
      <c r="H268">
        <v>72</v>
      </c>
      <c r="K268" t="str">
        <f>IF(ISNA(VLOOKUP(A268,ResultDB!$A:$A,1,FALSE)),"","x")</f>
        <v>x</v>
      </c>
    </row>
    <row r="269" spans="1:11" x14ac:dyDescent="0.3">
      <c r="A269" t="s">
        <v>1198</v>
      </c>
      <c r="B269" t="s">
        <v>871</v>
      </c>
      <c r="C269" t="s">
        <v>769</v>
      </c>
      <c r="D269" s="73">
        <v>2001</v>
      </c>
      <c r="E269">
        <v>44</v>
      </c>
      <c r="F269">
        <v>3</v>
      </c>
      <c r="G269">
        <v>62</v>
      </c>
      <c r="H269">
        <v>72</v>
      </c>
      <c r="K269" t="str">
        <f>IF(ISNA(VLOOKUP(A269,ResultDB!$A:$A,1,FALSE)),"","x")</f>
        <v>x</v>
      </c>
    </row>
    <row r="270" spans="1:11" x14ac:dyDescent="0.3">
      <c r="A270" t="s">
        <v>1199</v>
      </c>
      <c r="B270" t="s">
        <v>871</v>
      </c>
      <c r="C270" t="s">
        <v>769</v>
      </c>
      <c r="D270" s="73">
        <v>2002</v>
      </c>
      <c r="E270">
        <v>27</v>
      </c>
      <c r="F270">
        <v>2</v>
      </c>
      <c r="G270">
        <v>62</v>
      </c>
      <c r="H270">
        <v>73</v>
      </c>
      <c r="K270" t="str">
        <f>IF(ISNA(VLOOKUP(A270,ResultDB!$A:$A,1,FALSE)),"","x")</f>
        <v>x</v>
      </c>
    </row>
    <row r="271" spans="1:11" x14ac:dyDescent="0.3">
      <c r="A271" t="s">
        <v>1200</v>
      </c>
      <c r="B271" t="s">
        <v>871</v>
      </c>
      <c r="C271" t="s">
        <v>769</v>
      </c>
      <c r="D271" s="73">
        <v>2003</v>
      </c>
      <c r="E271">
        <v>41</v>
      </c>
      <c r="F271">
        <v>4</v>
      </c>
      <c r="G271">
        <v>63</v>
      </c>
      <c r="H271">
        <v>74</v>
      </c>
      <c r="K271" t="str">
        <f>IF(ISNA(VLOOKUP(A271,ResultDB!$A:$A,1,FALSE)),"","x")</f>
        <v>x</v>
      </c>
    </row>
    <row r="272" spans="1:11" x14ac:dyDescent="0.3">
      <c r="A272" t="s">
        <v>1201</v>
      </c>
      <c r="B272" t="s">
        <v>871</v>
      </c>
      <c r="C272" t="s">
        <v>769</v>
      </c>
      <c r="D272" s="73">
        <v>2004</v>
      </c>
      <c r="E272">
        <v>12</v>
      </c>
      <c r="F272">
        <v>1</v>
      </c>
      <c r="G272">
        <v>63</v>
      </c>
      <c r="H272">
        <v>75</v>
      </c>
      <c r="K272" t="str">
        <f>IF(ISNA(VLOOKUP(A272,ResultDB!$A:$A,1,FALSE)),"","x")</f>
        <v>x</v>
      </c>
    </row>
    <row r="273" spans="1:11" x14ac:dyDescent="0.3">
      <c r="A273" t="s">
        <v>1202</v>
      </c>
      <c r="B273" t="s">
        <v>871</v>
      </c>
      <c r="C273" t="s">
        <v>769</v>
      </c>
      <c r="D273" s="73">
        <v>2005</v>
      </c>
      <c r="E273">
        <v>20</v>
      </c>
      <c r="F273">
        <v>3</v>
      </c>
      <c r="G273">
        <v>64</v>
      </c>
      <c r="H273">
        <v>75</v>
      </c>
      <c r="K273" t="str">
        <f>IF(ISNA(VLOOKUP(A273,ResultDB!$A:$A,1,FALSE)),"","x")</f>
        <v>x</v>
      </c>
    </row>
    <row r="274" spans="1:11" x14ac:dyDescent="0.3">
      <c r="A274" t="s">
        <v>1203</v>
      </c>
      <c r="B274" t="s">
        <v>871</v>
      </c>
      <c r="C274" t="s">
        <v>769</v>
      </c>
      <c r="D274" s="73">
        <v>2006</v>
      </c>
      <c r="E274">
        <v>18</v>
      </c>
      <c r="F274">
        <v>3.5</v>
      </c>
      <c r="G274">
        <v>64</v>
      </c>
      <c r="H274">
        <v>76</v>
      </c>
      <c r="K274" t="str">
        <f>IF(ISNA(VLOOKUP(A274,ResultDB!$A:$A,1,FALSE)),"","x")</f>
        <v>x</v>
      </c>
    </row>
    <row r="275" spans="1:11" x14ac:dyDescent="0.3">
      <c r="A275" t="s">
        <v>1204</v>
      </c>
      <c r="B275" t="s">
        <v>871</v>
      </c>
      <c r="C275" t="s">
        <v>769</v>
      </c>
      <c r="D275" s="73">
        <v>2007</v>
      </c>
      <c r="E275">
        <v>13</v>
      </c>
      <c r="F275">
        <v>1.5</v>
      </c>
      <c r="G275">
        <v>65</v>
      </c>
      <c r="H275">
        <v>77</v>
      </c>
      <c r="K275" t="str">
        <f>IF(ISNA(VLOOKUP(A275,ResultDB!$A:$A,1,FALSE)),"","x")</f>
        <v>x</v>
      </c>
    </row>
    <row r="276" spans="1:11" x14ac:dyDescent="0.3">
      <c r="A276" t="s">
        <v>1205</v>
      </c>
      <c r="B276" t="s">
        <v>871</v>
      </c>
      <c r="C276" t="s">
        <v>769</v>
      </c>
      <c r="D276" s="73">
        <v>2007</v>
      </c>
      <c r="E276">
        <v>17</v>
      </c>
      <c r="F276">
        <v>1.5</v>
      </c>
      <c r="G276">
        <v>65</v>
      </c>
      <c r="H276">
        <v>77</v>
      </c>
      <c r="K276" t="str">
        <f>IF(ISNA(VLOOKUP(A276,ResultDB!$A:$A,1,FALSE)),"","x")</f>
        <v>x</v>
      </c>
    </row>
    <row r="277" spans="1:11" x14ac:dyDescent="0.3">
      <c r="A277" t="s">
        <v>1206</v>
      </c>
      <c r="B277" t="s">
        <v>871</v>
      </c>
      <c r="C277" t="s">
        <v>769</v>
      </c>
      <c r="D277" s="73">
        <v>2008</v>
      </c>
      <c r="E277">
        <v>17</v>
      </c>
      <c r="F277">
        <v>2.5</v>
      </c>
      <c r="G277">
        <v>66</v>
      </c>
      <c r="H277">
        <v>78</v>
      </c>
      <c r="K277" t="str">
        <f>IF(ISNA(VLOOKUP(A277,ResultDB!$A:$A,1,FALSE)),"","x")</f>
        <v>x</v>
      </c>
    </row>
    <row r="278" spans="1:11" x14ac:dyDescent="0.3">
      <c r="A278" t="s">
        <v>1207</v>
      </c>
      <c r="B278" t="s">
        <v>871</v>
      </c>
      <c r="C278" t="s">
        <v>769</v>
      </c>
      <c r="D278" s="73">
        <v>2008</v>
      </c>
      <c r="E278">
        <v>18</v>
      </c>
      <c r="F278">
        <v>1</v>
      </c>
      <c r="G278">
        <v>66</v>
      </c>
      <c r="H278">
        <v>78</v>
      </c>
      <c r="K278" t="str">
        <f>IF(ISNA(VLOOKUP(A278,ResultDB!$A:$A,1,FALSE)),"","x")</f>
        <v>x</v>
      </c>
    </row>
    <row r="279" spans="1:11" x14ac:dyDescent="0.3">
      <c r="A279" t="s">
        <v>1208</v>
      </c>
      <c r="B279" t="s">
        <v>871</v>
      </c>
      <c r="C279" t="s">
        <v>769</v>
      </c>
      <c r="D279" s="73">
        <v>2009</v>
      </c>
      <c r="E279">
        <v>8</v>
      </c>
      <c r="F279">
        <v>3.5</v>
      </c>
      <c r="G279">
        <v>67</v>
      </c>
      <c r="H279">
        <v>79</v>
      </c>
      <c r="K279" t="str">
        <f>IF(ISNA(VLOOKUP(A279,ResultDB!$A:$A,1,FALSE)),"","x")</f>
        <v>x</v>
      </c>
    </row>
    <row r="280" spans="1:11" x14ac:dyDescent="0.3">
      <c r="A280" t="s">
        <v>1209</v>
      </c>
      <c r="B280" t="s">
        <v>871</v>
      </c>
      <c r="C280" t="s">
        <v>769</v>
      </c>
      <c r="D280" s="73">
        <v>2009</v>
      </c>
      <c r="E280">
        <v>9</v>
      </c>
      <c r="F280">
        <v>3</v>
      </c>
      <c r="G280">
        <v>67</v>
      </c>
      <c r="H280">
        <v>80</v>
      </c>
      <c r="K280" t="str">
        <f>IF(ISNA(VLOOKUP(A280,ResultDB!$A:$A,1,FALSE)),"","x")</f>
        <v>x</v>
      </c>
    </row>
    <row r="281" spans="1:11" x14ac:dyDescent="0.3">
      <c r="A281" t="s">
        <v>1210</v>
      </c>
      <c r="B281" t="s">
        <v>871</v>
      </c>
      <c r="C281" t="s">
        <v>769</v>
      </c>
      <c r="D281" s="73">
        <v>2010</v>
      </c>
      <c r="E281">
        <v>9</v>
      </c>
      <c r="F281">
        <v>2.5</v>
      </c>
      <c r="G281">
        <v>68</v>
      </c>
      <c r="H281">
        <v>81</v>
      </c>
      <c r="K281" t="str">
        <f>IF(ISNA(VLOOKUP(A281,ResultDB!$A:$A,1,FALSE)),"","x")</f>
        <v>x</v>
      </c>
    </row>
    <row r="282" spans="1:11" x14ac:dyDescent="0.3">
      <c r="A282" t="s">
        <v>1211</v>
      </c>
      <c r="B282" t="s">
        <v>871</v>
      </c>
      <c r="C282" t="s">
        <v>769</v>
      </c>
      <c r="D282" s="73">
        <v>2011</v>
      </c>
      <c r="E282">
        <v>15</v>
      </c>
      <c r="F282">
        <v>2.75</v>
      </c>
      <c r="G282">
        <v>68</v>
      </c>
      <c r="H282">
        <v>81</v>
      </c>
      <c r="K282" t="str">
        <f>IF(ISNA(VLOOKUP(A282,ResultDB!$A:$A,1,FALSE)),"","x")</f>
        <v>x</v>
      </c>
    </row>
    <row r="283" spans="1:11" x14ac:dyDescent="0.3">
      <c r="A283" t="s">
        <v>1212</v>
      </c>
      <c r="B283" t="s">
        <v>871</v>
      </c>
      <c r="C283" t="s">
        <v>769</v>
      </c>
      <c r="D283" s="73">
        <v>2012</v>
      </c>
      <c r="E283">
        <v>12</v>
      </c>
      <c r="F283">
        <v>1.5</v>
      </c>
      <c r="G283">
        <v>69</v>
      </c>
      <c r="H283">
        <v>82</v>
      </c>
      <c r="K283" t="str">
        <f>IF(ISNA(VLOOKUP(A283,ResultDB!$A:$A,1,FALSE)),"","x")</f>
        <v>x</v>
      </c>
    </row>
    <row r="284" spans="1:11" x14ac:dyDescent="0.3">
      <c r="A284" t="s">
        <v>1213</v>
      </c>
      <c r="B284" t="s">
        <v>871</v>
      </c>
      <c r="C284" t="s">
        <v>777</v>
      </c>
      <c r="D284" s="73">
        <v>2000</v>
      </c>
      <c r="E284">
        <v>10</v>
      </c>
      <c r="F284">
        <v>1</v>
      </c>
      <c r="G284">
        <v>87</v>
      </c>
      <c r="H284">
        <v>96</v>
      </c>
      <c r="K284" t="str">
        <f>IF(ISNA(VLOOKUP(A284,ResultDB!$A:$A,1,FALSE)),"","x")</f>
        <v>x</v>
      </c>
    </row>
    <row r="285" spans="1:11" x14ac:dyDescent="0.3">
      <c r="A285" t="s">
        <v>1214</v>
      </c>
      <c r="B285" t="s">
        <v>871</v>
      </c>
      <c r="C285" t="s">
        <v>777</v>
      </c>
      <c r="D285" s="73">
        <v>2000</v>
      </c>
      <c r="E285">
        <v>11</v>
      </c>
      <c r="F285">
        <v>1</v>
      </c>
      <c r="G285">
        <v>87</v>
      </c>
      <c r="H285">
        <v>96</v>
      </c>
      <c r="K285" t="str">
        <f>IF(ISNA(VLOOKUP(A285,ResultDB!$A:$A,1,FALSE)),"","x")</f>
        <v>x</v>
      </c>
    </row>
    <row r="286" spans="1:11" x14ac:dyDescent="0.3">
      <c r="A286" t="s">
        <v>1215</v>
      </c>
      <c r="B286" t="s">
        <v>871</v>
      </c>
      <c r="C286" t="s">
        <v>777</v>
      </c>
      <c r="D286" s="73">
        <v>2001</v>
      </c>
      <c r="E286">
        <v>15</v>
      </c>
      <c r="F286">
        <v>1</v>
      </c>
      <c r="G286">
        <v>88</v>
      </c>
      <c r="H286">
        <v>97</v>
      </c>
      <c r="K286" t="str">
        <f>IF(ISNA(VLOOKUP(A286,ResultDB!$A:$A,1,FALSE)),"","x")</f>
        <v>x</v>
      </c>
    </row>
    <row r="287" spans="1:11" x14ac:dyDescent="0.3">
      <c r="A287" t="s">
        <v>1216</v>
      </c>
      <c r="B287" t="s">
        <v>871</v>
      </c>
      <c r="C287" t="s">
        <v>777</v>
      </c>
      <c r="D287" s="73">
        <v>2002</v>
      </c>
      <c r="E287">
        <v>4</v>
      </c>
      <c r="F287">
        <v>1</v>
      </c>
      <c r="G287">
        <v>88</v>
      </c>
      <c r="H287">
        <v>97</v>
      </c>
      <c r="K287" t="str">
        <f>IF(ISNA(VLOOKUP(A287,ResultDB!$A:$A,1,FALSE)),"","x")</f>
        <v>x</v>
      </c>
    </row>
    <row r="288" spans="1:11" x14ac:dyDescent="0.3">
      <c r="A288" t="s">
        <v>1217</v>
      </c>
      <c r="B288" t="s">
        <v>871</v>
      </c>
      <c r="C288" t="s">
        <v>777</v>
      </c>
      <c r="D288" s="73">
        <v>2002</v>
      </c>
      <c r="E288">
        <v>25</v>
      </c>
      <c r="F288">
        <v>3.5</v>
      </c>
      <c r="G288">
        <v>89</v>
      </c>
      <c r="H288">
        <v>98</v>
      </c>
      <c r="K288" t="str">
        <f>IF(ISNA(VLOOKUP(A288,ResultDB!$A:$A,1,FALSE)),"","x")</f>
        <v>x</v>
      </c>
    </row>
    <row r="289" spans="1:11" x14ac:dyDescent="0.3">
      <c r="A289" t="s">
        <v>1218</v>
      </c>
      <c r="B289" t="s">
        <v>871</v>
      </c>
      <c r="C289" t="s">
        <v>777</v>
      </c>
      <c r="D289" s="73">
        <v>2003</v>
      </c>
      <c r="E289">
        <v>19</v>
      </c>
      <c r="F289">
        <v>1</v>
      </c>
      <c r="G289">
        <v>90</v>
      </c>
      <c r="H289">
        <v>99</v>
      </c>
      <c r="K289" t="str">
        <f>IF(ISNA(VLOOKUP(A289,ResultDB!$A:$A,1,FALSE)),"","x")</f>
        <v>x</v>
      </c>
    </row>
    <row r="290" spans="1:11" x14ac:dyDescent="0.3">
      <c r="A290" t="s">
        <v>1219</v>
      </c>
      <c r="B290" t="s">
        <v>871</v>
      </c>
      <c r="C290" t="s">
        <v>777</v>
      </c>
      <c r="D290" s="73">
        <v>2004</v>
      </c>
      <c r="E290">
        <v>8</v>
      </c>
      <c r="F290">
        <v>1</v>
      </c>
      <c r="G290">
        <v>90</v>
      </c>
      <c r="H290">
        <v>99</v>
      </c>
      <c r="K290" t="str">
        <f>IF(ISNA(VLOOKUP(A290,ResultDB!$A:$A,1,FALSE)),"","x")</f>
        <v>x</v>
      </c>
    </row>
    <row r="291" spans="1:11" x14ac:dyDescent="0.3">
      <c r="A291" t="s">
        <v>1220</v>
      </c>
      <c r="B291" t="s">
        <v>871</v>
      </c>
      <c r="C291" t="s">
        <v>777</v>
      </c>
      <c r="D291" s="73">
        <v>2004</v>
      </c>
      <c r="E291">
        <v>11</v>
      </c>
      <c r="F291">
        <v>1</v>
      </c>
      <c r="G291">
        <v>91</v>
      </c>
      <c r="H291">
        <v>100</v>
      </c>
      <c r="K291" t="str">
        <f>IF(ISNA(VLOOKUP(A291,ResultDB!$A:$A,1,FALSE)),"","x")</f>
        <v>x</v>
      </c>
    </row>
    <row r="292" spans="1:11" x14ac:dyDescent="0.3">
      <c r="A292" t="s">
        <v>1221</v>
      </c>
      <c r="B292" t="s">
        <v>871</v>
      </c>
      <c r="C292" t="s">
        <v>777</v>
      </c>
      <c r="D292" s="73">
        <v>2005</v>
      </c>
      <c r="E292">
        <v>12</v>
      </c>
      <c r="F292">
        <v>2</v>
      </c>
      <c r="G292">
        <v>91</v>
      </c>
      <c r="H292">
        <v>100</v>
      </c>
      <c r="K292" t="str">
        <f>IF(ISNA(VLOOKUP(A292,ResultDB!$A:$A,1,FALSE)),"","x")</f>
        <v>x</v>
      </c>
    </row>
    <row r="293" spans="1:11" x14ac:dyDescent="0.3">
      <c r="A293" t="s">
        <v>1222</v>
      </c>
      <c r="B293" t="s">
        <v>871</v>
      </c>
      <c r="C293" t="s">
        <v>777</v>
      </c>
      <c r="D293" s="73">
        <v>2007</v>
      </c>
      <c r="E293">
        <v>14</v>
      </c>
      <c r="F293">
        <v>3</v>
      </c>
      <c r="G293">
        <v>92</v>
      </c>
      <c r="H293">
        <v>101</v>
      </c>
      <c r="K293" t="str">
        <f>IF(ISNA(VLOOKUP(A293,ResultDB!$A:$A,1,FALSE)),"","x")</f>
        <v>x</v>
      </c>
    </row>
    <row r="294" spans="1:11" x14ac:dyDescent="0.3">
      <c r="A294" t="s">
        <v>1223</v>
      </c>
      <c r="B294" t="s">
        <v>871</v>
      </c>
      <c r="C294" t="s">
        <v>777</v>
      </c>
      <c r="D294" s="73">
        <v>2008</v>
      </c>
      <c r="E294">
        <v>13</v>
      </c>
      <c r="F294">
        <v>2</v>
      </c>
      <c r="G294">
        <v>93</v>
      </c>
      <c r="H294">
        <v>102</v>
      </c>
      <c r="K294" t="str">
        <f>IF(ISNA(VLOOKUP(A294,ResultDB!$A:$A,1,FALSE)),"","x")</f>
        <v>x</v>
      </c>
    </row>
    <row r="295" spans="1:11" x14ac:dyDescent="0.3">
      <c r="A295" t="s">
        <v>1224</v>
      </c>
      <c r="B295" t="s">
        <v>871</v>
      </c>
      <c r="C295" t="s">
        <v>777</v>
      </c>
      <c r="D295" s="73">
        <v>2009</v>
      </c>
      <c r="E295">
        <v>16</v>
      </c>
      <c r="F295">
        <v>2</v>
      </c>
      <c r="G295">
        <v>93</v>
      </c>
      <c r="H295">
        <v>103</v>
      </c>
      <c r="K295" t="str">
        <f>IF(ISNA(VLOOKUP(A295,ResultDB!$A:$A,1,FALSE)),"","x")</f>
        <v>x</v>
      </c>
    </row>
    <row r="296" spans="1:11" x14ac:dyDescent="0.3">
      <c r="A296" t="s">
        <v>1225</v>
      </c>
      <c r="B296" t="s">
        <v>871</v>
      </c>
      <c r="C296" t="s">
        <v>777</v>
      </c>
      <c r="D296" s="73">
        <v>2011</v>
      </c>
      <c r="E296">
        <v>16</v>
      </c>
      <c r="F296">
        <v>2</v>
      </c>
      <c r="G296">
        <v>93</v>
      </c>
      <c r="H296">
        <v>103</v>
      </c>
      <c r="K296" t="str">
        <f>IF(ISNA(VLOOKUP(A296,ResultDB!$A:$A,1,FALSE)),"","x")</f>
        <v>x</v>
      </c>
    </row>
    <row r="297" spans="1:11" x14ac:dyDescent="0.3">
      <c r="A297" t="s">
        <v>1226</v>
      </c>
      <c r="B297" t="s">
        <v>871</v>
      </c>
      <c r="C297" t="s">
        <v>780</v>
      </c>
      <c r="D297" s="73">
        <v>2000</v>
      </c>
      <c r="E297">
        <v>12</v>
      </c>
      <c r="F297">
        <v>1</v>
      </c>
      <c r="G297">
        <v>109</v>
      </c>
      <c r="H297">
        <v>130</v>
      </c>
      <c r="K297" t="str">
        <f>IF(ISNA(VLOOKUP(A297,ResultDB!$A:$A,1,FALSE)),"","x")</f>
        <v>x</v>
      </c>
    </row>
    <row r="298" spans="1:11" x14ac:dyDescent="0.3">
      <c r="A298" t="s">
        <v>1227</v>
      </c>
      <c r="B298" t="s">
        <v>871</v>
      </c>
      <c r="C298" t="s">
        <v>780</v>
      </c>
      <c r="D298" s="73">
        <v>2000</v>
      </c>
      <c r="E298">
        <v>26</v>
      </c>
      <c r="F298">
        <v>3</v>
      </c>
      <c r="G298">
        <v>109</v>
      </c>
      <c r="H298">
        <v>130</v>
      </c>
      <c r="K298" t="str">
        <f>IF(ISNA(VLOOKUP(A298,ResultDB!$A:$A,1,FALSE)),"","x")</f>
        <v>x</v>
      </c>
    </row>
    <row r="299" spans="1:11" x14ac:dyDescent="0.3">
      <c r="A299" t="s">
        <v>1228</v>
      </c>
      <c r="B299" t="s">
        <v>871</v>
      </c>
      <c r="C299" t="s">
        <v>780</v>
      </c>
      <c r="D299" s="73">
        <v>2001</v>
      </c>
      <c r="E299">
        <v>39</v>
      </c>
      <c r="F299">
        <v>3</v>
      </c>
      <c r="G299">
        <v>110</v>
      </c>
      <c r="H299">
        <v>131</v>
      </c>
      <c r="K299" t="str">
        <f>IF(ISNA(VLOOKUP(A299,ResultDB!$A:$A,1,FALSE)),"","x")</f>
        <v>x</v>
      </c>
    </row>
    <row r="300" spans="1:11" x14ac:dyDescent="0.3">
      <c r="A300" t="s">
        <v>1229</v>
      </c>
      <c r="B300" t="s">
        <v>871</v>
      </c>
      <c r="C300" t="s">
        <v>780</v>
      </c>
      <c r="D300" s="73">
        <v>2001</v>
      </c>
      <c r="E300">
        <v>40</v>
      </c>
      <c r="F300">
        <v>3</v>
      </c>
      <c r="G300">
        <v>110</v>
      </c>
      <c r="H300">
        <v>132</v>
      </c>
      <c r="K300" t="str">
        <f>IF(ISNA(VLOOKUP(A300,ResultDB!$A:$A,1,FALSE)),"","x")</f>
        <v>x</v>
      </c>
    </row>
    <row r="301" spans="1:11" x14ac:dyDescent="0.3">
      <c r="A301" t="s">
        <v>1230</v>
      </c>
      <c r="B301" t="s">
        <v>871</v>
      </c>
      <c r="C301" t="s">
        <v>780</v>
      </c>
      <c r="D301" s="73">
        <v>2001</v>
      </c>
      <c r="E301">
        <v>43</v>
      </c>
      <c r="F301">
        <v>4</v>
      </c>
      <c r="G301">
        <v>111</v>
      </c>
      <c r="H301">
        <v>132</v>
      </c>
      <c r="K301" t="str">
        <f>IF(ISNA(VLOOKUP(A301,ResultDB!$A:$A,1,FALSE)),"","x")</f>
        <v>x</v>
      </c>
    </row>
    <row r="302" spans="1:11" x14ac:dyDescent="0.3">
      <c r="A302" t="s">
        <v>1231</v>
      </c>
      <c r="B302" t="s">
        <v>871</v>
      </c>
      <c r="C302" t="s">
        <v>780</v>
      </c>
      <c r="D302" s="73">
        <v>2002</v>
      </c>
      <c r="E302">
        <v>21</v>
      </c>
      <c r="F302">
        <v>2</v>
      </c>
      <c r="G302">
        <v>112</v>
      </c>
      <c r="H302">
        <v>134</v>
      </c>
      <c r="K302" t="str">
        <f>IF(ISNA(VLOOKUP(A302,ResultDB!$A:$A,1,FALSE)),"","x")</f>
        <v>x</v>
      </c>
    </row>
    <row r="303" spans="1:11" x14ac:dyDescent="0.3">
      <c r="A303" t="s">
        <v>1232</v>
      </c>
      <c r="B303" t="s">
        <v>871</v>
      </c>
      <c r="C303" t="s">
        <v>780</v>
      </c>
      <c r="D303" s="73">
        <v>2002</v>
      </c>
      <c r="E303">
        <v>24</v>
      </c>
      <c r="F303">
        <v>3</v>
      </c>
      <c r="G303">
        <v>112</v>
      </c>
      <c r="H303">
        <v>134</v>
      </c>
      <c r="K303" t="str">
        <f>IF(ISNA(VLOOKUP(A303,ResultDB!$A:$A,1,FALSE)),"","x")</f>
        <v>x</v>
      </c>
    </row>
    <row r="304" spans="1:11" x14ac:dyDescent="0.3">
      <c r="A304" t="s">
        <v>1233</v>
      </c>
      <c r="B304" t="s">
        <v>871</v>
      </c>
      <c r="C304" t="s">
        <v>780</v>
      </c>
      <c r="D304" s="73">
        <v>2003</v>
      </c>
      <c r="E304">
        <v>42</v>
      </c>
      <c r="F304">
        <v>5</v>
      </c>
      <c r="G304">
        <v>113</v>
      </c>
      <c r="H304">
        <v>136</v>
      </c>
      <c r="K304" t="str">
        <f>IF(ISNA(VLOOKUP(A304,ResultDB!$A:$A,1,FALSE)),"","x")</f>
        <v>x</v>
      </c>
    </row>
    <row r="305" spans="1:11" x14ac:dyDescent="0.3">
      <c r="A305" t="s">
        <v>1234</v>
      </c>
      <c r="B305" t="s">
        <v>871</v>
      </c>
      <c r="C305" t="s">
        <v>780</v>
      </c>
      <c r="D305" s="73">
        <v>2003</v>
      </c>
      <c r="E305">
        <v>44</v>
      </c>
      <c r="F305">
        <v>3</v>
      </c>
      <c r="G305">
        <v>113</v>
      </c>
      <c r="H305">
        <v>137</v>
      </c>
      <c r="K305" t="str">
        <f>IF(ISNA(VLOOKUP(A305,ResultDB!$A:$A,1,FALSE)),"","x")</f>
        <v>x</v>
      </c>
    </row>
    <row r="306" spans="1:11" x14ac:dyDescent="0.3">
      <c r="A306" t="s">
        <v>1235</v>
      </c>
      <c r="B306" t="s">
        <v>871</v>
      </c>
      <c r="C306" t="s">
        <v>780</v>
      </c>
      <c r="D306" s="73">
        <v>2003</v>
      </c>
      <c r="E306">
        <v>45</v>
      </c>
      <c r="F306">
        <v>2</v>
      </c>
      <c r="G306">
        <v>114</v>
      </c>
      <c r="H306">
        <v>138</v>
      </c>
      <c r="K306" t="str">
        <f>IF(ISNA(VLOOKUP(A306,ResultDB!$A:$A,1,FALSE)),"","x")</f>
        <v>x</v>
      </c>
    </row>
    <row r="307" spans="1:11" x14ac:dyDescent="0.3">
      <c r="A307" t="s">
        <v>1236</v>
      </c>
      <c r="B307" t="s">
        <v>871</v>
      </c>
      <c r="C307" t="s">
        <v>780</v>
      </c>
      <c r="D307" s="73">
        <v>2004</v>
      </c>
      <c r="E307">
        <v>13</v>
      </c>
      <c r="F307">
        <v>1</v>
      </c>
      <c r="G307">
        <v>114</v>
      </c>
      <c r="H307">
        <v>138</v>
      </c>
      <c r="K307" t="str">
        <f>IF(ISNA(VLOOKUP(A307,ResultDB!$A:$A,1,FALSE)),"","x")</f>
        <v>x</v>
      </c>
    </row>
    <row r="308" spans="1:11" x14ac:dyDescent="0.3">
      <c r="A308" t="s">
        <v>1237</v>
      </c>
      <c r="B308" t="s">
        <v>871</v>
      </c>
      <c r="C308" t="s">
        <v>780</v>
      </c>
      <c r="D308" s="73">
        <v>2004</v>
      </c>
      <c r="E308">
        <v>36</v>
      </c>
      <c r="F308">
        <v>2</v>
      </c>
      <c r="G308">
        <v>115</v>
      </c>
      <c r="H308">
        <v>139</v>
      </c>
      <c r="K308" t="str">
        <f>IF(ISNA(VLOOKUP(A308,ResultDB!$A:$A,1,FALSE)),"","x")</f>
        <v>x</v>
      </c>
    </row>
    <row r="309" spans="1:11" x14ac:dyDescent="0.3">
      <c r="A309" t="s">
        <v>1238</v>
      </c>
      <c r="B309" t="s">
        <v>871</v>
      </c>
      <c r="C309" t="s">
        <v>780</v>
      </c>
      <c r="D309" s="73">
        <v>2005</v>
      </c>
      <c r="E309">
        <v>13</v>
      </c>
      <c r="F309">
        <v>2.5</v>
      </c>
      <c r="G309">
        <v>115</v>
      </c>
      <c r="H309">
        <v>140</v>
      </c>
      <c r="K309" t="str">
        <f>IF(ISNA(VLOOKUP(A309,ResultDB!$A:$A,1,FALSE)),"","x")</f>
        <v>x</v>
      </c>
    </row>
    <row r="310" spans="1:11" x14ac:dyDescent="0.3">
      <c r="A310" t="s">
        <v>1239</v>
      </c>
      <c r="B310" t="s">
        <v>871</v>
      </c>
      <c r="C310" t="s">
        <v>780</v>
      </c>
      <c r="D310" s="73">
        <v>2005</v>
      </c>
      <c r="E310">
        <v>14</v>
      </c>
      <c r="F310">
        <v>2</v>
      </c>
      <c r="G310">
        <v>116</v>
      </c>
      <c r="H310">
        <v>141</v>
      </c>
      <c r="K310" t="str">
        <f>IF(ISNA(VLOOKUP(A310,ResultDB!$A:$A,1,FALSE)),"","x")</f>
        <v>x</v>
      </c>
    </row>
    <row r="311" spans="1:11" x14ac:dyDescent="0.3">
      <c r="A311" t="s">
        <v>1240</v>
      </c>
      <c r="B311" t="s">
        <v>871</v>
      </c>
      <c r="C311" t="s">
        <v>780</v>
      </c>
      <c r="D311" s="73">
        <v>2006</v>
      </c>
      <c r="E311">
        <v>17</v>
      </c>
      <c r="F311">
        <v>4.5</v>
      </c>
      <c r="G311">
        <v>116</v>
      </c>
      <c r="H311">
        <v>141</v>
      </c>
      <c r="K311" t="str">
        <f>IF(ISNA(VLOOKUP(A311,ResultDB!$A:$A,1,FALSE)),"","x")</f>
        <v>x</v>
      </c>
    </row>
    <row r="312" spans="1:11" x14ac:dyDescent="0.3">
      <c r="A312" t="s">
        <v>1241</v>
      </c>
      <c r="B312" t="s">
        <v>871</v>
      </c>
      <c r="C312" t="s">
        <v>780</v>
      </c>
      <c r="D312" s="73">
        <v>2007</v>
      </c>
      <c r="E312">
        <v>18</v>
      </c>
      <c r="F312">
        <v>2.5</v>
      </c>
      <c r="G312">
        <v>117</v>
      </c>
      <c r="H312">
        <v>142</v>
      </c>
      <c r="K312" t="str">
        <f>IF(ISNA(VLOOKUP(A312,ResultDB!$A:$A,1,FALSE)),"","x")</f>
        <v>x</v>
      </c>
    </row>
    <row r="313" spans="1:11" x14ac:dyDescent="0.3">
      <c r="A313" t="s">
        <v>1242</v>
      </c>
      <c r="B313" t="s">
        <v>871</v>
      </c>
      <c r="C313" t="s">
        <v>780</v>
      </c>
      <c r="D313" s="73">
        <v>2007</v>
      </c>
      <c r="E313">
        <v>19</v>
      </c>
      <c r="F313">
        <v>3</v>
      </c>
      <c r="G313">
        <v>117</v>
      </c>
      <c r="H313">
        <v>143</v>
      </c>
      <c r="K313" t="str">
        <f>IF(ISNA(VLOOKUP(A313,ResultDB!$A:$A,1,FALSE)),"","x")</f>
        <v>x</v>
      </c>
    </row>
    <row r="314" spans="1:11" x14ac:dyDescent="0.3">
      <c r="A314" t="s">
        <v>1243</v>
      </c>
      <c r="B314" t="s">
        <v>871</v>
      </c>
      <c r="C314" t="s">
        <v>780</v>
      </c>
      <c r="D314" s="73">
        <v>2008</v>
      </c>
      <c r="E314">
        <v>12</v>
      </c>
      <c r="F314">
        <v>2.5</v>
      </c>
      <c r="G314">
        <v>118</v>
      </c>
      <c r="H314">
        <v>144</v>
      </c>
      <c r="K314" t="str">
        <f>IF(ISNA(VLOOKUP(A314,ResultDB!$A:$A,1,FALSE)),"","x")</f>
        <v>x</v>
      </c>
    </row>
    <row r="315" spans="1:11" x14ac:dyDescent="0.3">
      <c r="A315" t="s">
        <v>1244</v>
      </c>
      <c r="B315" t="s">
        <v>871</v>
      </c>
      <c r="C315" t="s">
        <v>780</v>
      </c>
      <c r="D315" s="73">
        <v>2008</v>
      </c>
      <c r="E315">
        <v>14</v>
      </c>
      <c r="F315">
        <v>4</v>
      </c>
      <c r="G315">
        <v>119</v>
      </c>
      <c r="H315">
        <v>145</v>
      </c>
      <c r="K315" t="str">
        <f>IF(ISNA(VLOOKUP(A315,ResultDB!$A:$A,1,FALSE)),"","x")</f>
        <v>x</v>
      </c>
    </row>
    <row r="316" spans="1:11" x14ac:dyDescent="0.3">
      <c r="A316" t="s">
        <v>1245</v>
      </c>
      <c r="B316" t="s">
        <v>871</v>
      </c>
      <c r="C316" t="s">
        <v>780</v>
      </c>
      <c r="D316" s="73">
        <v>2008</v>
      </c>
      <c r="E316">
        <v>15</v>
      </c>
      <c r="F316">
        <v>4.5</v>
      </c>
      <c r="G316">
        <v>119</v>
      </c>
      <c r="H316">
        <v>146</v>
      </c>
      <c r="K316" t="str">
        <f>IF(ISNA(VLOOKUP(A316,ResultDB!$A:$A,1,FALSE)),"","x")</f>
        <v>x</v>
      </c>
    </row>
    <row r="317" spans="1:11" x14ac:dyDescent="0.3">
      <c r="A317" t="s">
        <v>1246</v>
      </c>
      <c r="B317" t="s">
        <v>871</v>
      </c>
      <c r="C317" t="s">
        <v>780</v>
      </c>
      <c r="D317" s="73">
        <v>2009</v>
      </c>
      <c r="E317">
        <v>14</v>
      </c>
      <c r="F317">
        <v>3.5</v>
      </c>
      <c r="G317">
        <v>120</v>
      </c>
      <c r="H317">
        <v>147</v>
      </c>
      <c r="K317" t="str">
        <f>IF(ISNA(VLOOKUP(A317,ResultDB!$A:$A,1,FALSE)),"","x")</f>
        <v>x</v>
      </c>
    </row>
    <row r="318" spans="1:11" x14ac:dyDescent="0.3">
      <c r="A318" t="s">
        <v>1247</v>
      </c>
      <c r="B318" t="s">
        <v>871</v>
      </c>
      <c r="C318" t="s">
        <v>780</v>
      </c>
      <c r="D318" s="73">
        <v>2010</v>
      </c>
      <c r="E318">
        <v>10</v>
      </c>
      <c r="F318">
        <v>2</v>
      </c>
      <c r="G318">
        <v>121</v>
      </c>
      <c r="H318">
        <v>147</v>
      </c>
      <c r="K318" t="str">
        <f>IF(ISNA(VLOOKUP(A318,ResultDB!$A:$A,1,FALSE)),"","x")</f>
        <v>x</v>
      </c>
    </row>
    <row r="319" spans="1:11" x14ac:dyDescent="0.3">
      <c r="A319" t="s">
        <v>1248</v>
      </c>
      <c r="B319" t="s">
        <v>871</v>
      </c>
      <c r="C319" t="s">
        <v>780</v>
      </c>
      <c r="D319" s="73">
        <v>2010</v>
      </c>
      <c r="E319">
        <v>12</v>
      </c>
      <c r="F319">
        <v>3</v>
      </c>
      <c r="G319">
        <v>121</v>
      </c>
      <c r="H319">
        <v>148</v>
      </c>
      <c r="K319" t="str">
        <f>IF(ISNA(VLOOKUP(A319,ResultDB!$A:$A,1,FALSE)),"","x")</f>
        <v>x</v>
      </c>
    </row>
    <row r="320" spans="1:11" x14ac:dyDescent="0.3">
      <c r="A320" t="s">
        <v>1249</v>
      </c>
      <c r="B320" t="s">
        <v>871</v>
      </c>
      <c r="C320" t="s">
        <v>780</v>
      </c>
      <c r="D320" s="73">
        <v>2010</v>
      </c>
      <c r="E320">
        <v>15</v>
      </c>
      <c r="F320">
        <v>3.5</v>
      </c>
      <c r="G320">
        <v>122</v>
      </c>
      <c r="H320">
        <v>149</v>
      </c>
      <c r="K320" t="str">
        <f>IF(ISNA(VLOOKUP(A320,ResultDB!$A:$A,1,FALSE)),"","x")</f>
        <v>x</v>
      </c>
    </row>
    <row r="321" spans="1:11" x14ac:dyDescent="0.3">
      <c r="A321" t="s">
        <v>1250</v>
      </c>
      <c r="B321" t="s">
        <v>871</v>
      </c>
      <c r="C321" t="s">
        <v>780</v>
      </c>
      <c r="D321" s="73">
        <v>2011</v>
      </c>
      <c r="E321">
        <v>20</v>
      </c>
      <c r="F321">
        <v>2.75</v>
      </c>
      <c r="G321">
        <v>123</v>
      </c>
      <c r="H321">
        <v>150</v>
      </c>
      <c r="K321" t="str">
        <f>IF(ISNA(VLOOKUP(A321,ResultDB!$A:$A,1,FALSE)),"","x")</f>
        <v>x</v>
      </c>
    </row>
    <row r="322" spans="1:11" x14ac:dyDescent="0.3">
      <c r="A322" t="s">
        <v>1251</v>
      </c>
      <c r="B322" t="s">
        <v>871</v>
      </c>
      <c r="C322" t="s">
        <v>780</v>
      </c>
      <c r="D322" s="73">
        <v>2011</v>
      </c>
      <c r="E322">
        <v>21</v>
      </c>
      <c r="F322">
        <v>3.5</v>
      </c>
      <c r="G322">
        <v>124</v>
      </c>
      <c r="H322">
        <v>151</v>
      </c>
      <c r="K322" t="str">
        <f>IF(ISNA(VLOOKUP(A322,ResultDB!$A:$A,1,FALSE)),"","x")</f>
        <v>x</v>
      </c>
    </row>
    <row r="323" spans="1:11" x14ac:dyDescent="0.3">
      <c r="A323" t="s">
        <v>1252</v>
      </c>
      <c r="B323" t="s">
        <v>871</v>
      </c>
      <c r="C323" t="s">
        <v>780</v>
      </c>
      <c r="D323" s="73">
        <v>2012</v>
      </c>
      <c r="E323">
        <v>18</v>
      </c>
      <c r="F323">
        <v>4.5</v>
      </c>
      <c r="G323">
        <v>125</v>
      </c>
      <c r="H323">
        <v>153</v>
      </c>
      <c r="K323" t="str">
        <f>IF(ISNA(VLOOKUP(A323,ResultDB!$A:$A,1,FALSE)),"","x")</f>
        <v>x</v>
      </c>
    </row>
    <row r="324" spans="1:11" x14ac:dyDescent="0.3">
      <c r="A324" t="s">
        <v>1253</v>
      </c>
      <c r="B324" t="s">
        <v>871</v>
      </c>
      <c r="C324" t="s">
        <v>773</v>
      </c>
      <c r="D324" s="73">
        <v>2004</v>
      </c>
      <c r="E324">
        <v>34</v>
      </c>
      <c r="F324">
        <v>2</v>
      </c>
      <c r="G324">
        <v>164</v>
      </c>
      <c r="H324">
        <v>174</v>
      </c>
      <c r="K324" t="str">
        <f>IF(ISNA(VLOOKUP(A324,ResultDB!$A:$A,1,FALSE)),"","x")</f>
        <v>x</v>
      </c>
    </row>
    <row r="325" spans="1:11" x14ac:dyDescent="0.3">
      <c r="A325" t="s">
        <v>1254</v>
      </c>
      <c r="B325" t="s">
        <v>871</v>
      </c>
      <c r="C325" t="s">
        <v>773</v>
      </c>
      <c r="D325" s="73">
        <v>2005</v>
      </c>
      <c r="E325">
        <v>19</v>
      </c>
      <c r="F325">
        <v>3</v>
      </c>
      <c r="G325">
        <v>164</v>
      </c>
      <c r="H325">
        <v>174</v>
      </c>
      <c r="K325" t="str">
        <f>IF(ISNA(VLOOKUP(A325,ResultDB!$A:$A,1,FALSE)),"","x")</f>
        <v>x</v>
      </c>
    </row>
    <row r="326" spans="1:11" x14ac:dyDescent="0.3">
      <c r="A326" t="s">
        <v>1255</v>
      </c>
      <c r="B326" t="s">
        <v>871</v>
      </c>
      <c r="C326" t="s">
        <v>773</v>
      </c>
      <c r="D326" s="73">
        <v>2006</v>
      </c>
      <c r="E326">
        <v>19</v>
      </c>
      <c r="F326">
        <v>3</v>
      </c>
      <c r="G326">
        <v>165</v>
      </c>
      <c r="H326">
        <v>176</v>
      </c>
      <c r="K326" t="str">
        <f>IF(ISNA(VLOOKUP(A326,ResultDB!$A:$A,1,FALSE)),"","x")</f>
        <v>x</v>
      </c>
    </row>
    <row r="327" spans="1:11" x14ac:dyDescent="0.3">
      <c r="A327" t="s">
        <v>1256</v>
      </c>
      <c r="B327" t="s">
        <v>871</v>
      </c>
      <c r="C327" t="s">
        <v>773</v>
      </c>
      <c r="D327" s="73">
        <v>2006</v>
      </c>
      <c r="E327">
        <v>20</v>
      </c>
      <c r="F327">
        <v>2</v>
      </c>
      <c r="G327">
        <v>165</v>
      </c>
      <c r="H327">
        <v>177</v>
      </c>
      <c r="K327" t="str">
        <f>IF(ISNA(VLOOKUP(A327,ResultDB!$A:$A,1,FALSE)),"","x")</f>
        <v>x</v>
      </c>
    </row>
    <row r="328" spans="1:11" x14ac:dyDescent="0.3">
      <c r="A328" t="s">
        <v>1257</v>
      </c>
      <c r="B328" t="s">
        <v>871</v>
      </c>
      <c r="C328" t="s">
        <v>773</v>
      </c>
      <c r="D328" s="73">
        <v>2007</v>
      </c>
      <c r="E328">
        <v>20</v>
      </c>
      <c r="F328">
        <v>2</v>
      </c>
      <c r="G328">
        <v>166</v>
      </c>
      <c r="H328">
        <v>178</v>
      </c>
      <c r="K328" t="str">
        <f>IF(ISNA(VLOOKUP(A328,ResultDB!$A:$A,1,FALSE)),"","x")</f>
        <v>x</v>
      </c>
    </row>
    <row r="329" spans="1:11" x14ac:dyDescent="0.3">
      <c r="A329" t="s">
        <v>1258</v>
      </c>
      <c r="B329" t="s">
        <v>871</v>
      </c>
      <c r="C329" t="s">
        <v>773</v>
      </c>
      <c r="D329" s="73">
        <v>2007</v>
      </c>
      <c r="E329">
        <v>23</v>
      </c>
      <c r="F329">
        <v>4</v>
      </c>
      <c r="G329">
        <v>166</v>
      </c>
      <c r="H329">
        <v>179</v>
      </c>
      <c r="K329" t="str">
        <f>IF(ISNA(VLOOKUP(A329,ResultDB!$A:$A,1,FALSE)),"","x")</f>
        <v>x</v>
      </c>
    </row>
    <row r="330" spans="1:11" x14ac:dyDescent="0.3">
      <c r="A330" t="s">
        <v>1259</v>
      </c>
      <c r="B330" t="s">
        <v>871</v>
      </c>
      <c r="C330" t="s">
        <v>773</v>
      </c>
      <c r="D330" s="73">
        <v>2008</v>
      </c>
      <c r="E330">
        <v>11</v>
      </c>
      <c r="F330">
        <v>4.5</v>
      </c>
      <c r="G330">
        <v>167</v>
      </c>
      <c r="H330">
        <v>180</v>
      </c>
      <c r="K330" t="str">
        <f>IF(ISNA(VLOOKUP(A330,ResultDB!$A:$A,1,FALSE)),"","x")</f>
        <v>x</v>
      </c>
    </row>
    <row r="331" spans="1:11" x14ac:dyDescent="0.3">
      <c r="A331" t="s">
        <v>1260</v>
      </c>
      <c r="B331" t="s">
        <v>871</v>
      </c>
      <c r="C331" t="s">
        <v>773</v>
      </c>
      <c r="D331" s="73">
        <v>2009</v>
      </c>
      <c r="E331">
        <v>11</v>
      </c>
      <c r="F331">
        <v>2</v>
      </c>
      <c r="G331">
        <v>168</v>
      </c>
      <c r="H331">
        <v>180</v>
      </c>
      <c r="K331" t="str">
        <f>IF(ISNA(VLOOKUP(A331,ResultDB!$A:$A,1,FALSE)),"","x")</f>
        <v>x</v>
      </c>
    </row>
    <row r="332" spans="1:11" x14ac:dyDescent="0.3">
      <c r="A332" t="s">
        <v>1261</v>
      </c>
      <c r="B332" t="s">
        <v>871</v>
      </c>
      <c r="C332" t="s">
        <v>773</v>
      </c>
      <c r="D332" s="73">
        <v>2009</v>
      </c>
      <c r="E332">
        <v>12</v>
      </c>
      <c r="F332">
        <v>3.5</v>
      </c>
      <c r="G332">
        <v>168</v>
      </c>
      <c r="H332">
        <v>180</v>
      </c>
      <c r="K332" t="str">
        <f>IF(ISNA(VLOOKUP(A332,ResultDB!$A:$A,1,FALSE)),"","x")</f>
        <v>x</v>
      </c>
    </row>
    <row r="333" spans="1:11" x14ac:dyDescent="0.3">
      <c r="A333" t="s">
        <v>1262</v>
      </c>
      <c r="B333" t="s">
        <v>871</v>
      </c>
      <c r="C333" t="s">
        <v>773</v>
      </c>
      <c r="D333" s="73">
        <v>2010</v>
      </c>
      <c r="E333">
        <v>14</v>
      </c>
      <c r="F333">
        <v>5</v>
      </c>
      <c r="G333">
        <v>169</v>
      </c>
      <c r="H333">
        <v>181</v>
      </c>
      <c r="K333" t="str">
        <f>IF(ISNA(VLOOKUP(A333,ResultDB!$A:$A,1,FALSE)),"","x")</f>
        <v>x</v>
      </c>
    </row>
    <row r="334" spans="1:11" x14ac:dyDescent="0.3">
      <c r="A334" t="s">
        <v>1263</v>
      </c>
      <c r="B334" t="s">
        <v>871</v>
      </c>
      <c r="C334" t="s">
        <v>773</v>
      </c>
      <c r="D334" s="73">
        <v>2011</v>
      </c>
      <c r="E334">
        <v>17</v>
      </c>
      <c r="F334">
        <v>3</v>
      </c>
      <c r="G334">
        <v>169</v>
      </c>
      <c r="H334">
        <v>183</v>
      </c>
      <c r="K334" t="str">
        <f>IF(ISNA(VLOOKUP(A334,ResultDB!$A:$A,1,FALSE)),"","x")</f>
        <v>x</v>
      </c>
    </row>
    <row r="335" spans="1:11" x14ac:dyDescent="0.3">
      <c r="A335" t="s">
        <v>1264</v>
      </c>
      <c r="B335" t="s">
        <v>871</v>
      </c>
      <c r="C335" t="s">
        <v>773</v>
      </c>
      <c r="D335" s="73">
        <v>2012</v>
      </c>
      <c r="E335">
        <v>13</v>
      </c>
      <c r="F335">
        <v>4</v>
      </c>
      <c r="G335">
        <v>170</v>
      </c>
      <c r="H335">
        <v>184</v>
      </c>
      <c r="K335" t="str">
        <f>IF(ISNA(VLOOKUP(A335,ResultDB!$A:$A,1,FALSE)),"","x")</f>
        <v>x</v>
      </c>
    </row>
    <row r="336" spans="1:11" x14ac:dyDescent="0.3">
      <c r="A336" t="s">
        <v>1265</v>
      </c>
      <c r="B336" t="s">
        <v>871</v>
      </c>
      <c r="C336" t="s">
        <v>772</v>
      </c>
      <c r="D336" s="73">
        <v>2008</v>
      </c>
      <c r="E336">
        <v>16</v>
      </c>
      <c r="F336">
        <v>3</v>
      </c>
      <c r="G336">
        <v>192</v>
      </c>
      <c r="H336">
        <v>197</v>
      </c>
      <c r="K336" t="str">
        <f>IF(ISNA(VLOOKUP(A336,ResultDB!$A:$A,1,FALSE)),"","x")</f>
        <v>x</v>
      </c>
    </row>
    <row r="337" spans="1:11" x14ac:dyDescent="0.3">
      <c r="A337" t="s">
        <v>1266</v>
      </c>
      <c r="B337" t="s">
        <v>871</v>
      </c>
      <c r="C337" t="s">
        <v>772</v>
      </c>
      <c r="D337" s="73">
        <v>2009</v>
      </c>
      <c r="E337">
        <v>10</v>
      </c>
      <c r="F337">
        <v>4.5</v>
      </c>
      <c r="G337">
        <v>193</v>
      </c>
      <c r="H337">
        <v>198</v>
      </c>
      <c r="K337" t="str">
        <f>IF(ISNA(VLOOKUP(A337,ResultDB!$A:$A,1,FALSE)),"","x")</f>
        <v>x</v>
      </c>
    </row>
    <row r="338" spans="1:11" x14ac:dyDescent="0.3">
      <c r="A338" t="s">
        <v>1267</v>
      </c>
      <c r="B338" t="s">
        <v>871</v>
      </c>
      <c r="C338" t="s">
        <v>772</v>
      </c>
      <c r="D338" s="73">
        <v>2010</v>
      </c>
      <c r="E338">
        <v>8</v>
      </c>
      <c r="F338">
        <v>2</v>
      </c>
      <c r="G338">
        <v>193</v>
      </c>
      <c r="H338">
        <v>199</v>
      </c>
      <c r="K338" t="str">
        <f>IF(ISNA(VLOOKUP(A338,ResultDB!$A:$A,1,FALSE)),"","x")</f>
        <v>x</v>
      </c>
    </row>
    <row r="339" spans="1:11" x14ac:dyDescent="0.3">
      <c r="A339" t="s">
        <v>1268</v>
      </c>
      <c r="B339" t="s">
        <v>871</v>
      </c>
      <c r="C339" t="s">
        <v>772</v>
      </c>
      <c r="D339" s="73">
        <v>2012</v>
      </c>
      <c r="E339">
        <v>15</v>
      </c>
      <c r="F339">
        <v>3.75</v>
      </c>
      <c r="G339">
        <v>194</v>
      </c>
      <c r="H339">
        <v>200</v>
      </c>
      <c r="K339" t="str">
        <f>IF(ISNA(VLOOKUP(A339,ResultDB!$A:$A,1,FALSE)),"","x")</f>
        <v>x</v>
      </c>
    </row>
    <row r="340" spans="1:11" x14ac:dyDescent="0.3">
      <c r="A340" t="s">
        <v>1268</v>
      </c>
      <c r="B340" t="s">
        <v>871</v>
      </c>
      <c r="C340" t="s">
        <v>772</v>
      </c>
      <c r="D340" s="73">
        <v>2012</v>
      </c>
      <c r="E340">
        <v>15</v>
      </c>
      <c r="F340">
        <v>3.75</v>
      </c>
      <c r="G340">
        <v>194</v>
      </c>
      <c r="H340">
        <v>200</v>
      </c>
      <c r="K340" t="str">
        <f>IF(ISNA(VLOOKUP(A340,ResultDB!$A:$A,1,FALSE)),"","x")</f>
        <v>x</v>
      </c>
    </row>
    <row r="341" spans="1:11" x14ac:dyDescent="0.3">
      <c r="A341" t="s">
        <v>1285</v>
      </c>
      <c r="B341" t="s">
        <v>863</v>
      </c>
      <c r="C341" t="s">
        <v>817</v>
      </c>
      <c r="D341" s="73">
        <v>2004</v>
      </c>
      <c r="E341">
        <v>3</v>
      </c>
      <c r="F341">
        <v>3</v>
      </c>
      <c r="G341">
        <v>2</v>
      </c>
      <c r="H341">
        <v>8</v>
      </c>
      <c r="K341" t="str">
        <f>IF(ISNA(VLOOKUP(A341,ResultDB!$A:$A,1,FALSE)),"","x")</f>
        <v>x</v>
      </c>
    </row>
    <row r="342" spans="1:11" x14ac:dyDescent="0.3">
      <c r="A342" t="s">
        <v>1286</v>
      </c>
      <c r="B342" t="s">
        <v>863</v>
      </c>
      <c r="C342" t="s">
        <v>817</v>
      </c>
      <c r="D342" s="73">
        <v>2006</v>
      </c>
      <c r="E342">
        <v>4</v>
      </c>
      <c r="F342">
        <v>2</v>
      </c>
      <c r="G342">
        <v>2</v>
      </c>
      <c r="H342">
        <v>9</v>
      </c>
      <c r="K342" t="str">
        <f>IF(ISNA(VLOOKUP(A342,ResultDB!$A:$A,1,FALSE)),"","x")</f>
        <v>x</v>
      </c>
    </row>
    <row r="343" spans="1:11" x14ac:dyDescent="0.3">
      <c r="A343" t="s">
        <v>1287</v>
      </c>
      <c r="B343" t="s">
        <v>863</v>
      </c>
      <c r="C343" t="s">
        <v>817</v>
      </c>
      <c r="D343" s="73">
        <v>2011</v>
      </c>
      <c r="E343">
        <v>1</v>
      </c>
      <c r="F343">
        <v>2.25</v>
      </c>
      <c r="G343">
        <v>4</v>
      </c>
      <c r="H343">
        <v>12</v>
      </c>
      <c r="K343" t="str">
        <f>IF(ISNA(VLOOKUP(A343,ResultDB!$A:$A,1,FALSE)),"","x")</f>
        <v>x</v>
      </c>
    </row>
    <row r="344" spans="1:11" x14ac:dyDescent="0.3">
      <c r="A344" t="s">
        <v>1288</v>
      </c>
      <c r="B344" t="s">
        <v>863</v>
      </c>
      <c r="C344" t="s">
        <v>817</v>
      </c>
      <c r="D344" s="73">
        <v>2012</v>
      </c>
      <c r="E344">
        <v>1</v>
      </c>
      <c r="F344">
        <v>3</v>
      </c>
      <c r="G344">
        <v>5</v>
      </c>
      <c r="H344">
        <v>13</v>
      </c>
      <c r="K344" t="str">
        <f>IF(ISNA(VLOOKUP(A344,ResultDB!$A:$A,1,FALSE)),"","x")</f>
        <v>x</v>
      </c>
    </row>
    <row r="345" spans="1:11" x14ac:dyDescent="0.3">
      <c r="A345" t="s">
        <v>1289</v>
      </c>
      <c r="B345" t="s">
        <v>863</v>
      </c>
      <c r="C345" t="s">
        <v>819</v>
      </c>
      <c r="D345" s="73">
        <v>2001</v>
      </c>
      <c r="E345">
        <v>10</v>
      </c>
      <c r="F345">
        <v>2</v>
      </c>
      <c r="G345">
        <v>18</v>
      </c>
      <c r="H345">
        <v>25</v>
      </c>
      <c r="K345" t="str">
        <f>IF(ISNA(VLOOKUP(A345,ResultDB!$A:$A,1,FALSE)),"","x")</f>
        <v>x</v>
      </c>
    </row>
    <row r="346" spans="1:11" x14ac:dyDescent="0.3">
      <c r="A346" t="s">
        <v>1290</v>
      </c>
      <c r="B346" t="s">
        <v>863</v>
      </c>
      <c r="C346" t="s">
        <v>819</v>
      </c>
      <c r="D346" s="73">
        <v>2002</v>
      </c>
      <c r="E346">
        <v>7</v>
      </c>
      <c r="F346">
        <v>1.5</v>
      </c>
      <c r="G346">
        <v>18</v>
      </c>
      <c r="H346">
        <v>26</v>
      </c>
      <c r="K346" t="str">
        <f>IF(ISNA(VLOOKUP(A346,ResultDB!$A:$A,1,FALSE)),"","x")</f>
        <v>x</v>
      </c>
    </row>
    <row r="347" spans="1:11" x14ac:dyDescent="0.3">
      <c r="A347" t="s">
        <v>1291</v>
      </c>
      <c r="B347" t="s">
        <v>863</v>
      </c>
      <c r="C347" t="s">
        <v>819</v>
      </c>
      <c r="D347" s="73">
        <v>2002</v>
      </c>
      <c r="E347">
        <v>13</v>
      </c>
      <c r="F347">
        <v>1</v>
      </c>
      <c r="G347">
        <v>19</v>
      </c>
      <c r="H347">
        <v>27</v>
      </c>
      <c r="K347" t="str">
        <f>IF(ISNA(VLOOKUP(A347,ResultDB!$A:$A,1,FALSE)),"","x")</f>
        <v>x</v>
      </c>
    </row>
    <row r="348" spans="1:11" x14ac:dyDescent="0.3">
      <c r="A348" t="s">
        <v>1292</v>
      </c>
      <c r="B348" t="s">
        <v>863</v>
      </c>
      <c r="C348" t="s">
        <v>819</v>
      </c>
      <c r="D348" s="73">
        <v>2004</v>
      </c>
      <c r="E348">
        <v>4</v>
      </c>
      <c r="F348">
        <v>3.5</v>
      </c>
      <c r="G348">
        <v>20</v>
      </c>
      <c r="H348">
        <v>28</v>
      </c>
      <c r="K348" t="str">
        <f>IF(ISNA(VLOOKUP(A348,ResultDB!$A:$A,1,FALSE)),"","x")</f>
        <v>x</v>
      </c>
    </row>
    <row r="349" spans="1:11" x14ac:dyDescent="0.3">
      <c r="A349" t="s">
        <v>1293</v>
      </c>
      <c r="B349" t="s">
        <v>863</v>
      </c>
      <c r="C349" t="s">
        <v>819</v>
      </c>
      <c r="D349" s="73">
        <v>2006</v>
      </c>
      <c r="E349">
        <v>5</v>
      </c>
      <c r="F349">
        <v>1.5</v>
      </c>
      <c r="G349">
        <v>21</v>
      </c>
      <c r="H349">
        <v>31</v>
      </c>
      <c r="K349" t="str">
        <f>IF(ISNA(VLOOKUP(A349,ResultDB!$A:$A,1,FALSE)),"","x")</f>
        <v>x</v>
      </c>
    </row>
    <row r="350" spans="1:11" x14ac:dyDescent="0.3">
      <c r="A350" t="s">
        <v>1294</v>
      </c>
      <c r="B350" t="s">
        <v>863</v>
      </c>
      <c r="C350" t="s">
        <v>819</v>
      </c>
      <c r="D350" s="73">
        <v>2008</v>
      </c>
      <c r="E350">
        <v>1</v>
      </c>
      <c r="F350">
        <v>3</v>
      </c>
      <c r="G350">
        <v>22</v>
      </c>
      <c r="H350">
        <v>32</v>
      </c>
      <c r="K350" t="str">
        <f>IF(ISNA(VLOOKUP(A350,ResultDB!$A:$A,1,FALSE)),"","x")</f>
        <v>x</v>
      </c>
    </row>
    <row r="351" spans="1:11" x14ac:dyDescent="0.3">
      <c r="A351" t="s">
        <v>1295</v>
      </c>
      <c r="B351" t="s">
        <v>863</v>
      </c>
      <c r="C351" t="s">
        <v>813</v>
      </c>
      <c r="D351" s="73">
        <v>2004</v>
      </c>
      <c r="E351">
        <v>8</v>
      </c>
      <c r="F351">
        <v>2.25</v>
      </c>
      <c r="G351">
        <v>38</v>
      </c>
      <c r="H351">
        <v>41</v>
      </c>
      <c r="K351" t="str">
        <f>IF(ISNA(VLOOKUP(A351,ResultDB!$A:$A,1,FALSE)),"","x")</f>
        <v>x</v>
      </c>
    </row>
    <row r="352" spans="1:11" x14ac:dyDescent="0.3">
      <c r="A352" t="s">
        <v>1296</v>
      </c>
      <c r="B352" t="s">
        <v>863</v>
      </c>
      <c r="C352" t="s">
        <v>820</v>
      </c>
      <c r="D352" s="73">
        <v>2002</v>
      </c>
      <c r="E352">
        <v>11</v>
      </c>
      <c r="F352">
        <v>1</v>
      </c>
      <c r="G352">
        <v>46</v>
      </c>
      <c r="H352">
        <v>53</v>
      </c>
      <c r="K352" t="str">
        <f>IF(ISNA(VLOOKUP(A352,ResultDB!$A:$A,1,FALSE)),"","x")</f>
        <v>x</v>
      </c>
    </row>
    <row r="353" spans="1:11" x14ac:dyDescent="0.3">
      <c r="A353" t="s">
        <v>1297</v>
      </c>
      <c r="B353" t="s">
        <v>863</v>
      </c>
      <c r="C353" t="s">
        <v>820</v>
      </c>
      <c r="D353" s="73">
        <v>2004</v>
      </c>
      <c r="E353">
        <v>5</v>
      </c>
      <c r="F353">
        <v>2</v>
      </c>
      <c r="G353">
        <v>46</v>
      </c>
      <c r="H353">
        <v>54</v>
      </c>
      <c r="K353" t="str">
        <f>IF(ISNA(VLOOKUP(A353,ResultDB!$A:$A,1,FALSE)),"","x")</f>
        <v>x</v>
      </c>
    </row>
    <row r="354" spans="1:11" x14ac:dyDescent="0.3">
      <c r="A354" t="s">
        <v>1298</v>
      </c>
      <c r="B354" t="s">
        <v>863</v>
      </c>
      <c r="C354" t="s">
        <v>820</v>
      </c>
      <c r="D354" s="73">
        <v>2004</v>
      </c>
      <c r="E354">
        <v>6</v>
      </c>
      <c r="F354">
        <v>1</v>
      </c>
      <c r="G354">
        <v>47</v>
      </c>
      <c r="H354">
        <v>55</v>
      </c>
      <c r="K354" t="str">
        <f>IF(ISNA(VLOOKUP(A354,ResultDB!$A:$A,1,FALSE)),"","x")</f>
        <v>x</v>
      </c>
    </row>
    <row r="355" spans="1:11" x14ac:dyDescent="0.3">
      <c r="A355" t="s">
        <v>1299</v>
      </c>
      <c r="B355" t="s">
        <v>863</v>
      </c>
      <c r="C355" t="s">
        <v>820</v>
      </c>
      <c r="D355" s="73">
        <v>2004</v>
      </c>
      <c r="E355">
        <v>7</v>
      </c>
      <c r="F355">
        <v>2</v>
      </c>
      <c r="G355">
        <v>47</v>
      </c>
      <c r="H355">
        <v>55</v>
      </c>
      <c r="K355" t="str">
        <f>IF(ISNA(VLOOKUP(A355,ResultDB!$A:$A,1,FALSE)),"","x")</f>
        <v>x</v>
      </c>
    </row>
    <row r="356" spans="1:11" x14ac:dyDescent="0.3">
      <c r="A356" t="s">
        <v>1300</v>
      </c>
      <c r="B356" t="s">
        <v>863</v>
      </c>
      <c r="C356" t="s">
        <v>820</v>
      </c>
      <c r="D356" s="73">
        <v>2006</v>
      </c>
      <c r="E356">
        <v>6</v>
      </c>
      <c r="F356">
        <v>2.5</v>
      </c>
      <c r="G356">
        <v>48</v>
      </c>
      <c r="H356">
        <v>57</v>
      </c>
      <c r="K356" t="str">
        <f>IF(ISNA(VLOOKUP(A356,ResultDB!$A:$A,1,FALSE)),"","x")</f>
        <v>x</v>
      </c>
    </row>
    <row r="357" spans="1:11" x14ac:dyDescent="0.3">
      <c r="A357" t="s">
        <v>1301</v>
      </c>
      <c r="B357" t="s">
        <v>863</v>
      </c>
      <c r="C357" t="s">
        <v>820</v>
      </c>
      <c r="D357" s="73">
        <v>2008</v>
      </c>
      <c r="E357">
        <v>3</v>
      </c>
      <c r="F357">
        <v>1.5</v>
      </c>
      <c r="G357">
        <v>49</v>
      </c>
      <c r="H357">
        <v>59</v>
      </c>
      <c r="K357" t="str">
        <f>IF(ISNA(VLOOKUP(A357,ResultDB!$A:$A,1,FALSE)),"","x")</f>
        <v>x</v>
      </c>
    </row>
    <row r="358" spans="1:11" x14ac:dyDescent="0.3">
      <c r="A358" t="s">
        <v>1302</v>
      </c>
      <c r="B358" t="s">
        <v>863</v>
      </c>
      <c r="C358" t="s">
        <v>820</v>
      </c>
      <c r="D358" s="73">
        <v>2011</v>
      </c>
      <c r="E358">
        <v>3</v>
      </c>
      <c r="F358">
        <v>0.75</v>
      </c>
      <c r="G358">
        <v>50</v>
      </c>
      <c r="H358">
        <v>61</v>
      </c>
      <c r="K358" t="str">
        <f>IF(ISNA(VLOOKUP(A358,ResultDB!$A:$A,1,FALSE)),"","x")</f>
        <v>x</v>
      </c>
    </row>
    <row r="359" spans="1:11" x14ac:dyDescent="0.3">
      <c r="A359" t="s">
        <v>1303</v>
      </c>
      <c r="B359" t="s">
        <v>863</v>
      </c>
      <c r="C359" t="s">
        <v>820</v>
      </c>
      <c r="D359" s="73">
        <v>2011</v>
      </c>
      <c r="E359">
        <v>4</v>
      </c>
      <c r="F359">
        <v>1.5</v>
      </c>
      <c r="G359">
        <v>51</v>
      </c>
      <c r="H359">
        <v>62</v>
      </c>
      <c r="K359" t="str">
        <f>IF(ISNA(VLOOKUP(A359,ResultDB!$A:$A,1,FALSE)),"","x")</f>
        <v>x</v>
      </c>
    </row>
    <row r="360" spans="1:11" x14ac:dyDescent="0.3">
      <c r="A360" t="s">
        <v>1304</v>
      </c>
      <c r="B360" t="s">
        <v>863</v>
      </c>
      <c r="C360" t="s">
        <v>814</v>
      </c>
      <c r="D360" s="73">
        <v>2001</v>
      </c>
      <c r="E360">
        <v>32</v>
      </c>
      <c r="F360">
        <v>3</v>
      </c>
      <c r="G360">
        <v>68</v>
      </c>
      <c r="H360">
        <v>72</v>
      </c>
      <c r="K360" t="str">
        <f>IF(ISNA(VLOOKUP(A360,ResultDB!$A:$A,1,FALSE)),"","x")</f>
        <v>x</v>
      </c>
    </row>
    <row r="361" spans="1:11" x14ac:dyDescent="0.3">
      <c r="A361" t="s">
        <v>1305</v>
      </c>
      <c r="B361" t="s">
        <v>863</v>
      </c>
      <c r="C361" t="s">
        <v>814</v>
      </c>
      <c r="D361" s="73">
        <v>2004</v>
      </c>
      <c r="E361">
        <v>9</v>
      </c>
      <c r="F361">
        <v>2.5</v>
      </c>
      <c r="G361">
        <v>69</v>
      </c>
      <c r="H361">
        <v>74</v>
      </c>
      <c r="K361" t="str">
        <f>IF(ISNA(VLOOKUP(A361,ResultDB!$A:$A,1,FALSE)),"","x")</f>
        <v>x</v>
      </c>
    </row>
    <row r="362" spans="1:11" x14ac:dyDescent="0.3">
      <c r="A362" t="s">
        <v>1306</v>
      </c>
      <c r="B362" t="s">
        <v>863</v>
      </c>
      <c r="C362" t="s">
        <v>814</v>
      </c>
      <c r="D362" s="73">
        <v>2006</v>
      </c>
      <c r="E362">
        <v>7</v>
      </c>
      <c r="F362">
        <v>1.5</v>
      </c>
      <c r="G362">
        <v>69</v>
      </c>
      <c r="H362">
        <v>74</v>
      </c>
      <c r="K362" t="str">
        <f>IF(ISNA(VLOOKUP(A362,ResultDB!$A:$A,1,FALSE)),"","x")</f>
        <v>x</v>
      </c>
    </row>
    <row r="363" spans="1:11" x14ac:dyDescent="0.3">
      <c r="A363" t="s">
        <v>1307</v>
      </c>
      <c r="B363" t="s">
        <v>863</v>
      </c>
      <c r="C363" t="s">
        <v>814</v>
      </c>
      <c r="D363" s="73">
        <v>2006</v>
      </c>
      <c r="E363">
        <v>9</v>
      </c>
      <c r="F363">
        <v>1</v>
      </c>
      <c r="G363">
        <v>70</v>
      </c>
      <c r="H363">
        <v>75</v>
      </c>
      <c r="K363" t="str">
        <f>IF(ISNA(VLOOKUP(A363,ResultDB!$A:$A,1,FALSE)),"","x")</f>
        <v>x</v>
      </c>
    </row>
    <row r="364" spans="1:11" x14ac:dyDescent="0.3">
      <c r="A364" t="s">
        <v>1308</v>
      </c>
      <c r="B364" t="s">
        <v>863</v>
      </c>
      <c r="C364" t="s">
        <v>814</v>
      </c>
      <c r="D364" s="73">
        <v>2008</v>
      </c>
      <c r="E364">
        <v>4</v>
      </c>
      <c r="F364">
        <v>1.5</v>
      </c>
      <c r="G364">
        <v>70</v>
      </c>
      <c r="H364">
        <v>75</v>
      </c>
      <c r="K364" t="str">
        <f>IF(ISNA(VLOOKUP(A364,ResultDB!$A:$A,1,FALSE)),"","x")</f>
        <v>x</v>
      </c>
    </row>
    <row r="365" spans="1:11" x14ac:dyDescent="0.3">
      <c r="A365" t="s">
        <v>1309</v>
      </c>
      <c r="B365" t="s">
        <v>863</v>
      </c>
      <c r="C365" t="s">
        <v>814</v>
      </c>
      <c r="D365" s="73">
        <v>2011</v>
      </c>
      <c r="E365">
        <v>2</v>
      </c>
      <c r="F365">
        <v>1.5</v>
      </c>
      <c r="G365">
        <v>70</v>
      </c>
      <c r="H365">
        <v>76</v>
      </c>
      <c r="K365" t="str">
        <f>IF(ISNA(VLOOKUP(A365,ResultDB!$A:$A,1,FALSE)),"","x")</f>
        <v>x</v>
      </c>
    </row>
    <row r="366" spans="1:11" x14ac:dyDescent="0.3">
      <c r="A366" t="s">
        <v>1310</v>
      </c>
      <c r="B366" t="s">
        <v>863</v>
      </c>
      <c r="C366" t="s">
        <v>821</v>
      </c>
      <c r="D366" s="73">
        <v>2004</v>
      </c>
      <c r="E366">
        <v>10</v>
      </c>
      <c r="F366">
        <v>2.5</v>
      </c>
      <c r="G366">
        <v>79</v>
      </c>
      <c r="H366">
        <v>83</v>
      </c>
      <c r="K366" t="str">
        <f>IF(ISNA(VLOOKUP(A366,ResultDB!$A:$A,1,FALSE)),"","x")</f>
        <v>x</v>
      </c>
    </row>
    <row r="367" spans="1:11" x14ac:dyDescent="0.3">
      <c r="A367" t="s">
        <v>1311</v>
      </c>
      <c r="B367" t="s">
        <v>863</v>
      </c>
      <c r="C367" t="s">
        <v>821</v>
      </c>
      <c r="D367" s="73">
        <v>2006</v>
      </c>
      <c r="E367">
        <v>8</v>
      </c>
      <c r="F367">
        <v>2</v>
      </c>
      <c r="G367">
        <v>79</v>
      </c>
      <c r="H367">
        <v>84</v>
      </c>
      <c r="K367" t="str">
        <f>IF(ISNA(VLOOKUP(A367,ResultDB!$A:$A,1,FALSE)),"","x")</f>
        <v>x</v>
      </c>
    </row>
    <row r="368" spans="1:11" x14ac:dyDescent="0.3">
      <c r="A368" t="s">
        <v>1312</v>
      </c>
      <c r="B368" t="s">
        <v>863</v>
      </c>
      <c r="C368" t="s">
        <v>821</v>
      </c>
      <c r="D368" s="73">
        <v>2008</v>
      </c>
      <c r="E368">
        <v>5</v>
      </c>
      <c r="F368">
        <v>2.25</v>
      </c>
      <c r="G368">
        <v>80</v>
      </c>
      <c r="H368">
        <v>85</v>
      </c>
      <c r="K368" t="str">
        <f>IF(ISNA(VLOOKUP(A368,ResultDB!$A:$A,1,FALSE)),"","x")</f>
        <v>x</v>
      </c>
    </row>
    <row r="369" spans="1:11" x14ac:dyDescent="0.3">
      <c r="A369" t="s">
        <v>1313</v>
      </c>
      <c r="B369" t="s">
        <v>863</v>
      </c>
      <c r="C369" t="s">
        <v>821</v>
      </c>
      <c r="D369" s="73">
        <v>2008</v>
      </c>
      <c r="E369">
        <v>7</v>
      </c>
      <c r="F369">
        <v>1.5</v>
      </c>
      <c r="G369">
        <v>80</v>
      </c>
      <c r="H369">
        <v>85</v>
      </c>
      <c r="K369" t="str">
        <f>IF(ISNA(VLOOKUP(A369,ResultDB!$A:$A,1,FALSE)),"","x")</f>
        <v>x</v>
      </c>
    </row>
    <row r="370" spans="1:11" x14ac:dyDescent="0.3">
      <c r="A370" t="s">
        <v>1314</v>
      </c>
      <c r="B370" t="s">
        <v>863</v>
      </c>
      <c r="C370" t="s">
        <v>821</v>
      </c>
      <c r="D370" s="73">
        <v>2012</v>
      </c>
      <c r="E370">
        <v>3</v>
      </c>
      <c r="F370">
        <v>3</v>
      </c>
      <c r="G370">
        <v>81</v>
      </c>
      <c r="H370">
        <v>86</v>
      </c>
      <c r="K370" t="str">
        <f>IF(ISNA(VLOOKUP(A370,ResultDB!$A:$A,1,FALSE)),"","x")</f>
        <v>x</v>
      </c>
    </row>
    <row r="371" spans="1:11" x14ac:dyDescent="0.3">
      <c r="A371" t="s">
        <v>1315</v>
      </c>
      <c r="B371" t="s">
        <v>863</v>
      </c>
      <c r="C371" t="s">
        <v>823</v>
      </c>
      <c r="D371" s="73">
        <v>2008</v>
      </c>
      <c r="E371">
        <v>6</v>
      </c>
      <c r="F371">
        <v>1.5</v>
      </c>
      <c r="G371">
        <v>89</v>
      </c>
      <c r="H371">
        <v>91</v>
      </c>
      <c r="K371" t="str">
        <f>IF(ISNA(VLOOKUP(A371,ResultDB!$A:$A,1,FALSE)),"","x")</f>
        <v>x</v>
      </c>
    </row>
    <row r="372" spans="1:11" x14ac:dyDescent="0.3">
      <c r="A372" t="s">
        <v>1316</v>
      </c>
      <c r="B372" t="s">
        <v>863</v>
      </c>
      <c r="C372" t="s">
        <v>815</v>
      </c>
      <c r="D372" s="73">
        <v>2001</v>
      </c>
      <c r="E372">
        <v>11</v>
      </c>
      <c r="F372">
        <v>0.5</v>
      </c>
      <c r="G372">
        <v>93</v>
      </c>
      <c r="H372">
        <v>96</v>
      </c>
      <c r="K372" t="str">
        <f>IF(ISNA(VLOOKUP(A372,ResultDB!$A:$A,1,FALSE)),"","x")</f>
        <v>x</v>
      </c>
    </row>
    <row r="373" spans="1:11" x14ac:dyDescent="0.3">
      <c r="A373" t="s">
        <v>1317</v>
      </c>
      <c r="B373" t="s">
        <v>863</v>
      </c>
      <c r="C373" t="s">
        <v>815</v>
      </c>
      <c r="D373" s="73">
        <v>2004</v>
      </c>
      <c r="E373">
        <v>11</v>
      </c>
      <c r="F373">
        <v>1</v>
      </c>
      <c r="G373">
        <v>94</v>
      </c>
      <c r="H373">
        <v>96</v>
      </c>
      <c r="K373" t="str">
        <f>IF(ISNA(VLOOKUP(A373,ResultDB!$A:$A,1,FALSE)),"","x")</f>
        <v>x</v>
      </c>
    </row>
    <row r="374" spans="1:11" x14ac:dyDescent="0.3">
      <c r="A374" t="s">
        <v>1318</v>
      </c>
      <c r="B374" t="s">
        <v>869</v>
      </c>
      <c r="C374" t="s">
        <v>828</v>
      </c>
      <c r="D374" s="73">
        <v>2001</v>
      </c>
      <c r="E374">
        <v>16</v>
      </c>
      <c r="F374">
        <v>2</v>
      </c>
      <c r="G374">
        <v>1</v>
      </c>
      <c r="H374">
        <v>11</v>
      </c>
      <c r="K374" t="str">
        <f>IF(ISNA(VLOOKUP(A374,ResultDB!$A:$A,1,FALSE)),"","x")</f>
        <v>x</v>
      </c>
    </row>
    <row r="375" spans="1:11" x14ac:dyDescent="0.3">
      <c r="A375" t="s">
        <v>1319</v>
      </c>
      <c r="B375" t="s">
        <v>869</v>
      </c>
      <c r="C375" t="s">
        <v>828</v>
      </c>
      <c r="D375" s="73">
        <v>2001</v>
      </c>
      <c r="E375">
        <v>27</v>
      </c>
      <c r="F375">
        <v>2</v>
      </c>
      <c r="G375">
        <v>1</v>
      </c>
      <c r="H375">
        <v>12</v>
      </c>
      <c r="K375" t="str">
        <f>IF(ISNA(VLOOKUP(A375,ResultDB!$A:$A,1,FALSE)),"","x")</f>
        <v>x</v>
      </c>
    </row>
    <row r="376" spans="1:11" x14ac:dyDescent="0.3">
      <c r="A376" t="s">
        <v>1320</v>
      </c>
      <c r="B376" t="s">
        <v>869</v>
      </c>
      <c r="C376" t="s">
        <v>828</v>
      </c>
      <c r="D376" s="73">
        <v>2002</v>
      </c>
      <c r="E376">
        <v>24</v>
      </c>
      <c r="F376">
        <v>2.5</v>
      </c>
      <c r="G376">
        <v>2</v>
      </c>
      <c r="H376">
        <v>12</v>
      </c>
      <c r="K376" t="str">
        <f>IF(ISNA(VLOOKUP(A376,ResultDB!$A:$A,1,FALSE)),"","x")</f>
        <v>x</v>
      </c>
    </row>
    <row r="377" spans="1:11" x14ac:dyDescent="0.3">
      <c r="A377" t="s">
        <v>1321</v>
      </c>
      <c r="B377" t="s">
        <v>869</v>
      </c>
      <c r="C377" t="s">
        <v>828</v>
      </c>
      <c r="D377" s="73">
        <v>2004</v>
      </c>
      <c r="E377">
        <v>15</v>
      </c>
      <c r="F377">
        <v>4</v>
      </c>
      <c r="G377">
        <v>4</v>
      </c>
      <c r="H377">
        <v>15</v>
      </c>
      <c r="K377" t="str">
        <f>IF(ISNA(VLOOKUP(A377,ResultDB!$A:$A,1,FALSE)),"","x")</f>
        <v>x</v>
      </c>
    </row>
    <row r="378" spans="1:11" x14ac:dyDescent="0.3">
      <c r="A378" t="s">
        <v>1322</v>
      </c>
      <c r="B378" t="s">
        <v>869</v>
      </c>
      <c r="C378" t="s">
        <v>828</v>
      </c>
      <c r="D378" s="73">
        <v>2004</v>
      </c>
      <c r="E378">
        <v>16</v>
      </c>
      <c r="F378">
        <v>3</v>
      </c>
      <c r="G378">
        <v>4</v>
      </c>
      <c r="H378">
        <v>16</v>
      </c>
      <c r="K378" t="str">
        <f>IF(ISNA(VLOOKUP(A378,ResultDB!$A:$A,1,FALSE)),"","x")</f>
        <v>x</v>
      </c>
    </row>
    <row r="379" spans="1:11" x14ac:dyDescent="0.3">
      <c r="A379" t="s">
        <v>1323</v>
      </c>
      <c r="B379" t="s">
        <v>869</v>
      </c>
      <c r="C379" t="s">
        <v>828</v>
      </c>
      <c r="D379" s="73">
        <v>2004</v>
      </c>
      <c r="E379">
        <v>17</v>
      </c>
      <c r="F379">
        <v>1</v>
      </c>
      <c r="G379">
        <v>4</v>
      </c>
      <c r="H379">
        <v>16</v>
      </c>
      <c r="K379" t="str">
        <f>IF(ISNA(VLOOKUP(A379,ResultDB!$A:$A,1,FALSE)),"","x")</f>
        <v>x</v>
      </c>
    </row>
    <row r="380" spans="1:11" x14ac:dyDescent="0.3">
      <c r="A380" t="s">
        <v>1324</v>
      </c>
      <c r="B380" t="s">
        <v>869</v>
      </c>
      <c r="C380" t="s">
        <v>828</v>
      </c>
      <c r="D380" s="73">
        <v>2006</v>
      </c>
      <c r="E380">
        <v>11</v>
      </c>
      <c r="F380">
        <v>1</v>
      </c>
      <c r="G380">
        <v>5</v>
      </c>
      <c r="H380">
        <v>17</v>
      </c>
      <c r="K380" t="str">
        <f>IF(ISNA(VLOOKUP(A380,ResultDB!$A:$A,1,FALSE)),"","x")</f>
        <v>x</v>
      </c>
    </row>
    <row r="381" spans="1:11" x14ac:dyDescent="0.3">
      <c r="A381" t="s">
        <v>1325</v>
      </c>
      <c r="B381" t="s">
        <v>869</v>
      </c>
      <c r="C381" t="s">
        <v>828</v>
      </c>
      <c r="D381" s="73">
        <v>2006</v>
      </c>
      <c r="E381">
        <v>12</v>
      </c>
      <c r="F381">
        <v>3</v>
      </c>
      <c r="G381">
        <v>5</v>
      </c>
      <c r="H381">
        <v>17</v>
      </c>
      <c r="K381" t="str">
        <f>IF(ISNA(VLOOKUP(A381,ResultDB!$A:$A,1,FALSE)),"","x")</f>
        <v>x</v>
      </c>
    </row>
    <row r="382" spans="1:11" x14ac:dyDescent="0.3">
      <c r="A382" t="s">
        <v>1326</v>
      </c>
      <c r="B382" t="s">
        <v>869</v>
      </c>
      <c r="C382" t="s">
        <v>828</v>
      </c>
      <c r="D382" s="73">
        <v>2008</v>
      </c>
      <c r="E382">
        <v>12</v>
      </c>
      <c r="F382">
        <v>2</v>
      </c>
      <c r="G382">
        <v>6</v>
      </c>
      <c r="H382">
        <v>19</v>
      </c>
      <c r="K382" t="str">
        <f>IF(ISNA(VLOOKUP(A382,ResultDB!$A:$A,1,FALSE)),"","x")</f>
        <v>x</v>
      </c>
    </row>
    <row r="383" spans="1:11" x14ac:dyDescent="0.3">
      <c r="A383" t="s">
        <v>1327</v>
      </c>
      <c r="B383" t="s">
        <v>869</v>
      </c>
      <c r="C383" t="s">
        <v>828</v>
      </c>
      <c r="D383" s="73">
        <v>2012</v>
      </c>
      <c r="E383">
        <v>2</v>
      </c>
      <c r="F383">
        <v>2</v>
      </c>
      <c r="G383">
        <v>8</v>
      </c>
      <c r="H383">
        <v>22</v>
      </c>
      <c r="K383" t="str">
        <f>IF(ISNA(VLOOKUP(A383,ResultDB!$A:$A,1,FALSE)),"","x")</f>
        <v>x</v>
      </c>
    </row>
    <row r="384" spans="1:11" x14ac:dyDescent="0.3">
      <c r="A384" t="s">
        <v>1328</v>
      </c>
      <c r="B384" t="s">
        <v>869</v>
      </c>
      <c r="C384" t="s">
        <v>826</v>
      </c>
      <c r="D384" s="73">
        <v>2002</v>
      </c>
      <c r="E384">
        <v>5</v>
      </c>
      <c r="F384">
        <v>3</v>
      </c>
      <c r="G384">
        <v>28</v>
      </c>
      <c r="H384">
        <v>41</v>
      </c>
      <c r="K384" t="str">
        <f>IF(ISNA(VLOOKUP(A384,ResultDB!$A:$A,1,FALSE)),"","x")</f>
        <v>x</v>
      </c>
    </row>
    <row r="385" spans="1:11" x14ac:dyDescent="0.3">
      <c r="A385" t="s">
        <v>1329</v>
      </c>
      <c r="B385" t="s">
        <v>869</v>
      </c>
      <c r="C385" t="s">
        <v>826</v>
      </c>
      <c r="D385" s="73">
        <v>2004</v>
      </c>
      <c r="E385">
        <v>32</v>
      </c>
      <c r="F385">
        <v>1</v>
      </c>
      <c r="G385">
        <v>30</v>
      </c>
      <c r="H385">
        <v>45</v>
      </c>
      <c r="K385" t="str">
        <f>IF(ISNA(VLOOKUP(A385,ResultDB!$A:$A,1,FALSE)),"","x")</f>
        <v>x</v>
      </c>
    </row>
    <row r="386" spans="1:11" x14ac:dyDescent="0.3">
      <c r="A386" t="s">
        <v>1330</v>
      </c>
      <c r="B386" t="s">
        <v>869</v>
      </c>
      <c r="C386" t="s">
        <v>826</v>
      </c>
      <c r="D386" s="73">
        <v>2006</v>
      </c>
      <c r="E386">
        <v>20</v>
      </c>
      <c r="F386">
        <v>2</v>
      </c>
      <c r="G386">
        <v>31</v>
      </c>
      <c r="H386">
        <v>46</v>
      </c>
      <c r="K386" t="str">
        <f>IF(ISNA(VLOOKUP(A386,ResultDB!$A:$A,1,FALSE)),"","x")</f>
        <v>x</v>
      </c>
    </row>
    <row r="387" spans="1:11" x14ac:dyDescent="0.3">
      <c r="A387" t="s">
        <v>1331</v>
      </c>
      <c r="B387" t="s">
        <v>869</v>
      </c>
      <c r="C387" t="s">
        <v>826</v>
      </c>
      <c r="D387" s="73">
        <v>2006</v>
      </c>
      <c r="E387">
        <v>22</v>
      </c>
      <c r="F387">
        <v>2</v>
      </c>
      <c r="G387">
        <v>31</v>
      </c>
      <c r="H387">
        <v>47</v>
      </c>
      <c r="K387" t="str">
        <f>IF(ISNA(VLOOKUP(A387,ResultDB!$A:$A,1,FALSE)),"","x")</f>
        <v>x</v>
      </c>
    </row>
    <row r="388" spans="1:11" x14ac:dyDescent="0.3">
      <c r="A388" t="s">
        <v>1332</v>
      </c>
      <c r="B388" t="s">
        <v>869</v>
      </c>
      <c r="C388" t="s">
        <v>826</v>
      </c>
      <c r="D388" s="73">
        <v>2006</v>
      </c>
      <c r="E388">
        <v>31</v>
      </c>
      <c r="F388">
        <v>2</v>
      </c>
      <c r="G388">
        <v>32</v>
      </c>
      <c r="H388">
        <v>47</v>
      </c>
      <c r="K388" t="str">
        <f>IF(ISNA(VLOOKUP(A388,ResultDB!$A:$A,1,FALSE)),"","x")</f>
        <v>x</v>
      </c>
    </row>
    <row r="389" spans="1:11" x14ac:dyDescent="0.3">
      <c r="A389" t="s">
        <v>1333</v>
      </c>
      <c r="B389" t="s">
        <v>869</v>
      </c>
      <c r="C389" t="s">
        <v>826</v>
      </c>
      <c r="D389" s="73">
        <v>2008</v>
      </c>
      <c r="E389">
        <v>20</v>
      </c>
      <c r="F389">
        <v>2.5</v>
      </c>
      <c r="G389">
        <v>33</v>
      </c>
      <c r="H389">
        <v>49</v>
      </c>
      <c r="K389" t="str">
        <f>IF(ISNA(VLOOKUP(A389,ResultDB!$A:$A,1,FALSE)),"","x")</f>
        <v>x</v>
      </c>
    </row>
    <row r="390" spans="1:11" x14ac:dyDescent="0.3">
      <c r="A390" t="s">
        <v>1334</v>
      </c>
      <c r="B390" t="s">
        <v>869</v>
      </c>
      <c r="C390" t="s">
        <v>826</v>
      </c>
      <c r="D390" s="73">
        <v>2008</v>
      </c>
      <c r="E390">
        <v>21</v>
      </c>
      <c r="F390">
        <v>1.5</v>
      </c>
      <c r="G390">
        <v>33</v>
      </c>
      <c r="H390">
        <v>50</v>
      </c>
      <c r="K390" t="str">
        <f>IF(ISNA(VLOOKUP(A390,ResultDB!$A:$A,1,FALSE)),"","x")</f>
        <v>x</v>
      </c>
    </row>
    <row r="391" spans="1:11" x14ac:dyDescent="0.3">
      <c r="A391" t="s">
        <v>1335</v>
      </c>
      <c r="B391" t="s">
        <v>869</v>
      </c>
      <c r="C391" t="s">
        <v>826</v>
      </c>
      <c r="D391" s="73">
        <v>2008</v>
      </c>
      <c r="E391">
        <v>30</v>
      </c>
      <c r="F391">
        <v>1.5</v>
      </c>
      <c r="G391">
        <v>34</v>
      </c>
      <c r="H391">
        <v>51</v>
      </c>
      <c r="K391" t="str">
        <f>IF(ISNA(VLOOKUP(A391,ResultDB!$A:$A,1,FALSE)),"","x")</f>
        <v>x</v>
      </c>
    </row>
    <row r="392" spans="1:11" x14ac:dyDescent="0.3">
      <c r="A392" t="s">
        <v>1336</v>
      </c>
      <c r="B392" t="s">
        <v>869</v>
      </c>
      <c r="C392" t="s">
        <v>826</v>
      </c>
      <c r="D392" s="73">
        <v>2011</v>
      </c>
      <c r="E392">
        <v>5</v>
      </c>
      <c r="F392">
        <v>2.25</v>
      </c>
      <c r="G392">
        <v>36</v>
      </c>
      <c r="H392">
        <v>54</v>
      </c>
      <c r="K392" t="str">
        <f>IF(ISNA(VLOOKUP(A392,ResultDB!$A:$A,1,FALSE)),"","x")</f>
        <v>x</v>
      </c>
    </row>
    <row r="393" spans="1:11" x14ac:dyDescent="0.3">
      <c r="A393" t="s">
        <v>1337</v>
      </c>
      <c r="B393" t="s">
        <v>869</v>
      </c>
      <c r="C393" t="s">
        <v>826</v>
      </c>
      <c r="D393" s="73">
        <v>2011</v>
      </c>
      <c r="E393">
        <v>7</v>
      </c>
      <c r="F393">
        <v>1.25</v>
      </c>
      <c r="G393">
        <v>36</v>
      </c>
      <c r="H393">
        <v>55</v>
      </c>
      <c r="K393" t="str">
        <f>IF(ISNA(VLOOKUP(A393,ResultDB!$A:$A,1,FALSE)),"","x")</f>
        <v>x</v>
      </c>
    </row>
    <row r="394" spans="1:11" x14ac:dyDescent="0.3">
      <c r="A394" t="s">
        <v>1338</v>
      </c>
      <c r="B394" t="s">
        <v>869</v>
      </c>
      <c r="C394" t="s">
        <v>826</v>
      </c>
      <c r="D394" s="73">
        <v>2011</v>
      </c>
      <c r="E394">
        <v>8</v>
      </c>
      <c r="F394">
        <v>0.75</v>
      </c>
      <c r="G394">
        <v>37</v>
      </c>
      <c r="H394">
        <v>56</v>
      </c>
      <c r="K394" t="str">
        <f>IF(ISNA(VLOOKUP(A394,ResultDB!$A:$A,1,FALSE)),"","x")</f>
        <v>x</v>
      </c>
    </row>
    <row r="395" spans="1:11" x14ac:dyDescent="0.3">
      <c r="A395" t="s">
        <v>1339</v>
      </c>
      <c r="B395" t="s">
        <v>869</v>
      </c>
      <c r="C395" t="s">
        <v>826</v>
      </c>
      <c r="D395" s="73">
        <v>2012</v>
      </c>
      <c r="E395">
        <v>6</v>
      </c>
      <c r="F395">
        <v>1.5</v>
      </c>
      <c r="G395">
        <v>37</v>
      </c>
      <c r="H395">
        <v>56</v>
      </c>
      <c r="K395" t="str">
        <f>IF(ISNA(VLOOKUP(A395,ResultDB!$A:$A,1,FALSE)),"","x")</f>
        <v>x</v>
      </c>
    </row>
    <row r="396" spans="1:11" x14ac:dyDescent="0.3">
      <c r="A396" t="s">
        <v>1340</v>
      </c>
      <c r="B396" t="s">
        <v>869</v>
      </c>
      <c r="C396" t="s">
        <v>767</v>
      </c>
      <c r="D396" s="73">
        <v>2001</v>
      </c>
      <c r="E396">
        <v>42</v>
      </c>
      <c r="F396">
        <v>3</v>
      </c>
      <c r="G396">
        <v>61</v>
      </c>
      <c r="H396">
        <v>68</v>
      </c>
      <c r="K396" t="str">
        <f>IF(ISNA(VLOOKUP(A396,ResultDB!$A:$A,1,FALSE)),"","x")</f>
        <v>x</v>
      </c>
    </row>
    <row r="397" spans="1:11" x14ac:dyDescent="0.3">
      <c r="A397" t="s">
        <v>1341</v>
      </c>
      <c r="B397" t="s">
        <v>869</v>
      </c>
      <c r="C397" t="s">
        <v>767</v>
      </c>
      <c r="D397" s="73">
        <v>2002</v>
      </c>
      <c r="E397">
        <v>37</v>
      </c>
      <c r="F397">
        <v>4</v>
      </c>
      <c r="G397">
        <v>62</v>
      </c>
      <c r="H397">
        <v>69</v>
      </c>
      <c r="K397" t="str">
        <f>IF(ISNA(VLOOKUP(A397,ResultDB!$A:$A,1,FALSE)),"","x")</f>
        <v>x</v>
      </c>
    </row>
    <row r="398" spans="1:11" x14ac:dyDescent="0.3">
      <c r="A398" t="s">
        <v>1342</v>
      </c>
      <c r="B398" t="s">
        <v>869</v>
      </c>
      <c r="C398" t="s">
        <v>767</v>
      </c>
      <c r="D398" s="73">
        <v>2004</v>
      </c>
      <c r="E398">
        <v>33</v>
      </c>
      <c r="F398">
        <v>2</v>
      </c>
      <c r="G398">
        <v>63</v>
      </c>
      <c r="H398">
        <v>70</v>
      </c>
      <c r="K398" t="str">
        <f>IF(ISNA(VLOOKUP(A398,ResultDB!$A:$A,1,FALSE)),"","x")</f>
        <v>x</v>
      </c>
    </row>
    <row r="399" spans="1:11" x14ac:dyDescent="0.3">
      <c r="A399" t="s">
        <v>1343</v>
      </c>
      <c r="B399" t="s">
        <v>869</v>
      </c>
      <c r="C399" t="s">
        <v>767</v>
      </c>
      <c r="D399" s="73">
        <v>2006</v>
      </c>
      <c r="E399">
        <v>32</v>
      </c>
      <c r="F399">
        <v>2</v>
      </c>
      <c r="G399">
        <v>63</v>
      </c>
      <c r="H399">
        <v>71</v>
      </c>
      <c r="K399" t="str">
        <f>IF(ISNA(VLOOKUP(A399,ResultDB!$A:$A,1,FALSE)),"","x")</f>
        <v>x</v>
      </c>
    </row>
    <row r="400" spans="1:11" x14ac:dyDescent="0.3">
      <c r="A400" t="s">
        <v>1344</v>
      </c>
      <c r="B400" t="s">
        <v>869</v>
      </c>
      <c r="C400" t="s">
        <v>767</v>
      </c>
      <c r="D400" s="73">
        <v>2008</v>
      </c>
      <c r="E400">
        <v>31</v>
      </c>
      <c r="F400">
        <v>1.75</v>
      </c>
      <c r="G400">
        <v>63</v>
      </c>
      <c r="H400">
        <v>72</v>
      </c>
      <c r="K400" t="str">
        <f>IF(ISNA(VLOOKUP(A400,ResultDB!$A:$A,1,FALSE)),"","x")</f>
        <v>x</v>
      </c>
    </row>
    <row r="401" spans="1:11" x14ac:dyDescent="0.3">
      <c r="A401" t="s">
        <v>1345</v>
      </c>
      <c r="B401" t="s">
        <v>869</v>
      </c>
      <c r="C401" t="s">
        <v>767</v>
      </c>
      <c r="D401" s="73">
        <v>2012</v>
      </c>
      <c r="E401">
        <v>4</v>
      </c>
      <c r="F401">
        <v>1.75</v>
      </c>
      <c r="G401">
        <v>65</v>
      </c>
      <c r="H401">
        <v>74</v>
      </c>
      <c r="K401" t="str">
        <f>IF(ISNA(VLOOKUP(A401,ResultDB!$A:$A,1,FALSE)),"","x")</f>
        <v>x</v>
      </c>
    </row>
    <row r="402" spans="1:11" x14ac:dyDescent="0.3">
      <c r="A402" t="s">
        <v>1346</v>
      </c>
      <c r="B402" t="s">
        <v>869</v>
      </c>
      <c r="C402" t="s">
        <v>775</v>
      </c>
      <c r="D402" s="73">
        <v>2001</v>
      </c>
      <c r="E402">
        <v>42</v>
      </c>
      <c r="F402">
        <v>3</v>
      </c>
      <c r="G402">
        <v>80</v>
      </c>
      <c r="H402">
        <v>84</v>
      </c>
      <c r="K402" t="str">
        <f>IF(ISNA(VLOOKUP(A402,ResultDB!$A:$A,1,FALSE)),"","x")</f>
        <v>x</v>
      </c>
    </row>
    <row r="403" spans="1:11" x14ac:dyDescent="0.3">
      <c r="A403" t="s">
        <v>1347</v>
      </c>
      <c r="B403" t="s">
        <v>869</v>
      </c>
      <c r="C403" t="s">
        <v>775</v>
      </c>
      <c r="D403" s="73">
        <v>2002</v>
      </c>
      <c r="E403">
        <v>34</v>
      </c>
      <c r="F403">
        <v>2</v>
      </c>
      <c r="G403">
        <v>81</v>
      </c>
      <c r="H403">
        <v>84</v>
      </c>
      <c r="K403" t="str">
        <f>IF(ISNA(VLOOKUP(A403,ResultDB!$A:$A,1,FALSE)),"","x")</f>
        <v>x</v>
      </c>
    </row>
    <row r="404" spans="1:11" x14ac:dyDescent="0.3">
      <c r="A404" t="s">
        <v>1348</v>
      </c>
      <c r="B404" t="s">
        <v>869</v>
      </c>
      <c r="C404" t="s">
        <v>775</v>
      </c>
      <c r="D404" s="73">
        <v>2011</v>
      </c>
      <c r="E404">
        <v>6</v>
      </c>
      <c r="F404">
        <v>1.25</v>
      </c>
      <c r="G404">
        <v>81</v>
      </c>
      <c r="H404">
        <v>86</v>
      </c>
      <c r="K404" t="str">
        <f>IF(ISNA(VLOOKUP(A404,ResultDB!$A:$A,1,FALSE)),"","x")</f>
        <v>x</v>
      </c>
    </row>
    <row r="405" spans="1:11" x14ac:dyDescent="0.3">
      <c r="A405" t="s">
        <v>1349</v>
      </c>
      <c r="B405" t="s">
        <v>869</v>
      </c>
      <c r="C405" t="s">
        <v>776</v>
      </c>
      <c r="D405" s="73">
        <v>2012</v>
      </c>
      <c r="E405">
        <v>5</v>
      </c>
      <c r="F405">
        <v>3.75</v>
      </c>
      <c r="G405">
        <v>91</v>
      </c>
      <c r="H405">
        <v>95</v>
      </c>
      <c r="K405" t="str">
        <f>IF(ISNA(VLOOKUP(A405,ResultDB!$A:$A,1,FALSE)),"","x")</f>
        <v>x</v>
      </c>
    </row>
    <row r="406" spans="1:11" x14ac:dyDescent="0.3">
      <c r="A406" t="s">
        <v>1350</v>
      </c>
      <c r="B406" t="s">
        <v>870</v>
      </c>
      <c r="C406" t="s">
        <v>818</v>
      </c>
      <c r="D406" s="73">
        <v>2006</v>
      </c>
      <c r="E406">
        <v>15</v>
      </c>
      <c r="F406">
        <v>1</v>
      </c>
      <c r="G406">
        <v>1</v>
      </c>
      <c r="H406">
        <v>10</v>
      </c>
      <c r="K406" t="str">
        <f>IF(ISNA(VLOOKUP(A406,ResultDB!$A:$A,1,FALSE)),"","x")</f>
        <v>x</v>
      </c>
    </row>
    <row r="407" spans="1:11" x14ac:dyDescent="0.3">
      <c r="A407" t="s">
        <v>1351</v>
      </c>
      <c r="B407" t="s">
        <v>870</v>
      </c>
      <c r="C407" t="s">
        <v>818</v>
      </c>
      <c r="D407" s="73">
        <v>2006</v>
      </c>
      <c r="E407">
        <v>34</v>
      </c>
      <c r="F407">
        <v>2</v>
      </c>
      <c r="G407">
        <v>1</v>
      </c>
      <c r="H407">
        <v>10</v>
      </c>
      <c r="K407" t="str">
        <f>IF(ISNA(VLOOKUP(A407,ResultDB!$A:$A,1,FALSE)),"","x")</f>
        <v>x</v>
      </c>
    </row>
    <row r="408" spans="1:11" x14ac:dyDescent="0.3">
      <c r="A408" t="s">
        <v>1352</v>
      </c>
      <c r="B408" t="s">
        <v>870</v>
      </c>
      <c r="C408" t="s">
        <v>818</v>
      </c>
      <c r="D408" s="73">
        <v>2008</v>
      </c>
      <c r="E408">
        <v>14</v>
      </c>
      <c r="F408">
        <v>1.5</v>
      </c>
      <c r="G408">
        <v>3</v>
      </c>
      <c r="H408">
        <v>12</v>
      </c>
      <c r="K408" t="str">
        <f>IF(ISNA(VLOOKUP(A408,ResultDB!$A:$A,1,FALSE)),"","x")</f>
        <v>x</v>
      </c>
    </row>
    <row r="409" spans="1:11" x14ac:dyDescent="0.3">
      <c r="A409" t="s">
        <v>1353</v>
      </c>
      <c r="B409" t="s">
        <v>870</v>
      </c>
      <c r="C409" t="s">
        <v>818</v>
      </c>
      <c r="D409" s="73">
        <v>2008</v>
      </c>
      <c r="E409">
        <v>16</v>
      </c>
      <c r="F409">
        <v>2.25</v>
      </c>
      <c r="G409">
        <v>3</v>
      </c>
      <c r="H409">
        <v>12</v>
      </c>
      <c r="K409" t="str">
        <f>IF(ISNA(VLOOKUP(A409,ResultDB!$A:$A,1,FALSE)),"","x")</f>
        <v>x</v>
      </c>
    </row>
    <row r="410" spans="1:11" x14ac:dyDescent="0.3">
      <c r="A410" t="s">
        <v>1354</v>
      </c>
      <c r="B410" t="s">
        <v>870</v>
      </c>
      <c r="C410" t="s">
        <v>818</v>
      </c>
      <c r="D410" s="73">
        <v>2011</v>
      </c>
      <c r="E410">
        <v>9</v>
      </c>
      <c r="F410">
        <v>3</v>
      </c>
      <c r="G410">
        <v>5</v>
      </c>
      <c r="H410">
        <v>16</v>
      </c>
      <c r="K410" t="str">
        <f>IF(ISNA(VLOOKUP(A410,ResultDB!$A:$A,1,FALSE)),"","x")</f>
        <v>x</v>
      </c>
    </row>
    <row r="411" spans="1:11" x14ac:dyDescent="0.3">
      <c r="A411" t="s">
        <v>1355</v>
      </c>
      <c r="B411" t="s">
        <v>870</v>
      </c>
      <c r="C411" t="s">
        <v>818</v>
      </c>
      <c r="D411" s="73">
        <v>2011</v>
      </c>
      <c r="E411">
        <v>10</v>
      </c>
      <c r="F411">
        <v>3</v>
      </c>
      <c r="G411">
        <v>6</v>
      </c>
      <c r="H411">
        <v>17</v>
      </c>
      <c r="K411" t="str">
        <f>IF(ISNA(VLOOKUP(A411,ResultDB!$A:$A,1,FALSE)),"","x")</f>
        <v>x</v>
      </c>
    </row>
    <row r="412" spans="1:11" x14ac:dyDescent="0.3">
      <c r="A412" t="s">
        <v>1356</v>
      </c>
      <c r="B412" t="s">
        <v>870</v>
      </c>
      <c r="C412" t="s">
        <v>837</v>
      </c>
      <c r="D412" s="73">
        <v>2012</v>
      </c>
      <c r="E412">
        <v>8</v>
      </c>
      <c r="F412">
        <v>5</v>
      </c>
      <c r="G412">
        <v>23</v>
      </c>
      <c r="H412">
        <v>25</v>
      </c>
      <c r="K412" t="str">
        <f>IF(ISNA(VLOOKUP(A412,ResultDB!$A:$A,1,FALSE)),"","x")</f>
        <v>x</v>
      </c>
    </row>
    <row r="413" spans="1:11" x14ac:dyDescent="0.3">
      <c r="A413" t="s">
        <v>1357</v>
      </c>
      <c r="B413" t="s">
        <v>870</v>
      </c>
      <c r="C413" t="s">
        <v>766</v>
      </c>
      <c r="D413" s="73">
        <v>2001</v>
      </c>
      <c r="E413">
        <v>44</v>
      </c>
      <c r="F413">
        <v>1</v>
      </c>
      <c r="G413">
        <v>33</v>
      </c>
      <c r="H413">
        <v>36</v>
      </c>
      <c r="K413" t="str">
        <f>IF(ISNA(VLOOKUP(A413,ResultDB!$A:$A,1,FALSE)),"","x")</f>
        <v>x</v>
      </c>
    </row>
    <row r="414" spans="1:11" x14ac:dyDescent="0.3">
      <c r="A414" t="s">
        <v>1358</v>
      </c>
      <c r="B414" t="s">
        <v>870</v>
      </c>
      <c r="C414" t="s">
        <v>766</v>
      </c>
      <c r="D414" s="73">
        <v>2001</v>
      </c>
      <c r="E414">
        <v>45</v>
      </c>
      <c r="F414">
        <v>1</v>
      </c>
      <c r="G414">
        <v>33</v>
      </c>
      <c r="H414">
        <v>36</v>
      </c>
      <c r="K414" t="str">
        <f>IF(ISNA(VLOOKUP(A414,ResultDB!$A:$A,1,FALSE)),"","x")</f>
        <v>x</v>
      </c>
    </row>
    <row r="415" spans="1:11" x14ac:dyDescent="0.3">
      <c r="A415" t="s">
        <v>1359</v>
      </c>
      <c r="B415" t="s">
        <v>870</v>
      </c>
      <c r="C415" t="s">
        <v>766</v>
      </c>
      <c r="D415" s="73">
        <v>2002</v>
      </c>
      <c r="E415">
        <v>12</v>
      </c>
      <c r="F415">
        <v>5</v>
      </c>
      <c r="G415">
        <v>33</v>
      </c>
      <c r="H415">
        <v>36</v>
      </c>
      <c r="K415" t="str">
        <f>IF(ISNA(VLOOKUP(A415,ResultDB!$A:$A,1,FALSE)),"","x")</f>
        <v>x</v>
      </c>
    </row>
    <row r="416" spans="1:11" x14ac:dyDescent="0.3">
      <c r="A416" t="s">
        <v>1360</v>
      </c>
      <c r="B416" t="s">
        <v>870</v>
      </c>
      <c r="C416" t="s">
        <v>766</v>
      </c>
      <c r="D416" s="73">
        <v>2011</v>
      </c>
      <c r="E416">
        <v>12</v>
      </c>
      <c r="F416">
        <v>3.75</v>
      </c>
      <c r="G416">
        <v>34</v>
      </c>
      <c r="H416">
        <v>37</v>
      </c>
      <c r="K416" t="str">
        <f>IF(ISNA(VLOOKUP(A416,ResultDB!$A:$A,1,FALSE)),"","x")</f>
        <v>x</v>
      </c>
    </row>
    <row r="417" spans="1:11" x14ac:dyDescent="0.3">
      <c r="A417" t="s">
        <v>1361</v>
      </c>
      <c r="B417" t="s">
        <v>870</v>
      </c>
      <c r="C417" t="s">
        <v>765</v>
      </c>
      <c r="D417" s="73">
        <v>2008</v>
      </c>
      <c r="E417">
        <v>38</v>
      </c>
      <c r="F417">
        <v>1</v>
      </c>
      <c r="G417">
        <v>46</v>
      </c>
      <c r="H417">
        <v>48</v>
      </c>
      <c r="K417" t="str">
        <f>IF(ISNA(VLOOKUP(A417,ResultDB!$A:$A,1,FALSE)),"","x")</f>
        <v>x</v>
      </c>
    </row>
    <row r="418" spans="1:11" x14ac:dyDescent="0.3">
      <c r="A418" t="s">
        <v>1362</v>
      </c>
      <c r="B418" t="s">
        <v>870</v>
      </c>
      <c r="C418" t="s">
        <v>765</v>
      </c>
      <c r="D418" s="73">
        <v>2011</v>
      </c>
      <c r="E418">
        <v>11</v>
      </c>
      <c r="F418">
        <v>1.5</v>
      </c>
      <c r="G418">
        <v>46</v>
      </c>
      <c r="H418">
        <v>48</v>
      </c>
      <c r="K418" t="str">
        <f>IF(ISNA(VLOOKUP(A418,ResultDB!$A:$A,1,FALSE)),"","x")</f>
        <v>x</v>
      </c>
    </row>
    <row r="419" spans="1:11" x14ac:dyDescent="0.3">
      <c r="A419" t="s">
        <v>1363</v>
      </c>
      <c r="B419" t="s">
        <v>870</v>
      </c>
      <c r="C419" t="s">
        <v>765</v>
      </c>
      <c r="D419" s="73">
        <v>2012</v>
      </c>
      <c r="E419">
        <v>9</v>
      </c>
      <c r="F419">
        <v>2.5</v>
      </c>
      <c r="G419">
        <v>46</v>
      </c>
      <c r="H419">
        <v>49</v>
      </c>
      <c r="K419" t="str">
        <f>IF(ISNA(VLOOKUP(A419,ResultDB!$A:$A,1,FALSE)),"","x")</f>
        <v>x</v>
      </c>
    </row>
    <row r="420" spans="1:11" x14ac:dyDescent="0.3">
      <c r="A420" t="s">
        <v>1364</v>
      </c>
      <c r="B420" t="s">
        <v>870</v>
      </c>
      <c r="C420" t="s">
        <v>765</v>
      </c>
      <c r="D420" s="73">
        <v>2012</v>
      </c>
      <c r="E420">
        <v>11</v>
      </c>
      <c r="F420">
        <v>2.5</v>
      </c>
      <c r="G420">
        <v>47</v>
      </c>
      <c r="H420">
        <v>49</v>
      </c>
      <c r="K420" t="str">
        <f>IF(ISNA(VLOOKUP(A420,ResultDB!$A:$A,1,FALSE)),"","x")</f>
        <v>x</v>
      </c>
    </row>
    <row r="421" spans="1:11" x14ac:dyDescent="0.3">
      <c r="A421" t="s">
        <v>1365</v>
      </c>
      <c r="B421" t="s">
        <v>870</v>
      </c>
      <c r="C421" t="s">
        <v>762</v>
      </c>
      <c r="D421" s="73">
        <v>2001</v>
      </c>
      <c r="E421">
        <v>46</v>
      </c>
      <c r="F421">
        <v>2.5</v>
      </c>
      <c r="G421">
        <v>52</v>
      </c>
      <c r="H421">
        <v>61</v>
      </c>
      <c r="K421" t="str">
        <f>IF(ISNA(VLOOKUP(A421,ResultDB!$A:$A,1,FALSE)),"","x")</f>
        <v>x</v>
      </c>
    </row>
    <row r="422" spans="1:11" x14ac:dyDescent="0.3">
      <c r="A422" t="s">
        <v>1366</v>
      </c>
      <c r="B422" t="s">
        <v>870</v>
      </c>
      <c r="C422" t="s">
        <v>762</v>
      </c>
      <c r="D422" s="73">
        <v>2002</v>
      </c>
      <c r="E422">
        <v>40</v>
      </c>
      <c r="F422">
        <v>1.5</v>
      </c>
      <c r="G422">
        <v>52</v>
      </c>
      <c r="H422">
        <v>62</v>
      </c>
      <c r="K422" t="str">
        <f>IF(ISNA(VLOOKUP(A422,ResultDB!$A:$A,1,FALSE)),"","x")</f>
        <v>x</v>
      </c>
    </row>
    <row r="423" spans="1:11" x14ac:dyDescent="0.3">
      <c r="A423" t="s">
        <v>1367</v>
      </c>
      <c r="B423" t="s">
        <v>870</v>
      </c>
      <c r="C423" t="s">
        <v>762</v>
      </c>
      <c r="D423" s="73">
        <v>2002</v>
      </c>
      <c r="E423">
        <v>41</v>
      </c>
      <c r="F423">
        <v>2</v>
      </c>
      <c r="G423">
        <v>53</v>
      </c>
      <c r="H423">
        <v>63</v>
      </c>
      <c r="K423" t="str">
        <f>IF(ISNA(VLOOKUP(A423,ResultDB!$A:$A,1,FALSE)),"","x")</f>
        <v>x</v>
      </c>
    </row>
    <row r="424" spans="1:11" x14ac:dyDescent="0.3">
      <c r="A424" t="s">
        <v>1368</v>
      </c>
      <c r="B424" t="s">
        <v>870</v>
      </c>
      <c r="C424" t="s">
        <v>762</v>
      </c>
      <c r="D424" s="73">
        <v>2004</v>
      </c>
      <c r="E424">
        <v>39</v>
      </c>
      <c r="F424">
        <v>2</v>
      </c>
      <c r="G424">
        <v>54</v>
      </c>
      <c r="H424">
        <v>64</v>
      </c>
      <c r="K424" t="str">
        <f>IF(ISNA(VLOOKUP(A424,ResultDB!$A:$A,1,FALSE)),"","x")</f>
        <v>x</v>
      </c>
    </row>
    <row r="425" spans="1:11" x14ac:dyDescent="0.3">
      <c r="A425" t="s">
        <v>1369</v>
      </c>
      <c r="B425" t="s">
        <v>870</v>
      </c>
      <c r="C425" t="s">
        <v>762</v>
      </c>
      <c r="D425" s="73">
        <v>2006</v>
      </c>
      <c r="E425">
        <v>39</v>
      </c>
      <c r="F425">
        <v>4.25</v>
      </c>
      <c r="G425">
        <v>54</v>
      </c>
      <c r="H425">
        <v>65</v>
      </c>
      <c r="K425" t="str">
        <f>IF(ISNA(VLOOKUP(A425,ResultDB!$A:$A,1,FALSE)),"","x")</f>
        <v>x</v>
      </c>
    </row>
    <row r="426" spans="1:11" x14ac:dyDescent="0.3">
      <c r="A426" t="s">
        <v>1370</v>
      </c>
      <c r="B426" t="s">
        <v>870</v>
      </c>
      <c r="C426" t="s">
        <v>762</v>
      </c>
      <c r="D426" s="73">
        <v>2008</v>
      </c>
      <c r="E426">
        <v>39</v>
      </c>
      <c r="F426">
        <v>1</v>
      </c>
      <c r="G426">
        <v>55</v>
      </c>
      <c r="H426">
        <v>66</v>
      </c>
      <c r="K426" t="str">
        <f>IF(ISNA(VLOOKUP(A426,ResultDB!$A:$A,1,FALSE)),"","x")</f>
        <v>x</v>
      </c>
    </row>
    <row r="427" spans="1:11" x14ac:dyDescent="0.3">
      <c r="A427" t="s">
        <v>1371</v>
      </c>
      <c r="B427" t="s">
        <v>870</v>
      </c>
      <c r="C427" t="s">
        <v>764</v>
      </c>
      <c r="D427" s="73">
        <v>2006</v>
      </c>
      <c r="E427">
        <v>36</v>
      </c>
      <c r="F427">
        <v>1.5</v>
      </c>
      <c r="G427">
        <v>72</v>
      </c>
      <c r="H427">
        <v>74</v>
      </c>
      <c r="K427" t="str">
        <f>IF(ISNA(VLOOKUP(A427,ResultDB!$A:$A,1,FALSE)),"","x")</f>
        <v>x</v>
      </c>
    </row>
    <row r="428" spans="1:11" x14ac:dyDescent="0.3">
      <c r="A428" t="s">
        <v>1372</v>
      </c>
      <c r="B428" t="s">
        <v>870</v>
      </c>
      <c r="C428" t="s">
        <v>764</v>
      </c>
      <c r="D428" s="73">
        <v>2012</v>
      </c>
      <c r="E428">
        <v>9</v>
      </c>
      <c r="F428">
        <v>2.5</v>
      </c>
      <c r="G428">
        <v>72</v>
      </c>
      <c r="H428">
        <v>75</v>
      </c>
      <c r="K428" t="str">
        <f>IF(ISNA(VLOOKUP(A428,ResultDB!$A:$A,1,FALSE)),"","x")</f>
        <v>x</v>
      </c>
    </row>
    <row r="429" spans="1:11" x14ac:dyDescent="0.3">
      <c r="A429" t="s">
        <v>1373</v>
      </c>
      <c r="B429" t="s">
        <v>870</v>
      </c>
      <c r="C429" t="s">
        <v>770</v>
      </c>
      <c r="D429" s="73">
        <v>2004</v>
      </c>
      <c r="E429">
        <v>40</v>
      </c>
      <c r="F429">
        <v>2.5</v>
      </c>
      <c r="G429">
        <v>77</v>
      </c>
      <c r="H429">
        <v>93</v>
      </c>
      <c r="K429" t="str">
        <f>IF(ISNA(VLOOKUP(A429,ResultDB!$A:$A,1,FALSE)),"","x")</f>
        <v>x</v>
      </c>
    </row>
    <row r="430" spans="1:11" x14ac:dyDescent="0.3">
      <c r="A430" t="s">
        <v>1374</v>
      </c>
      <c r="B430" t="s">
        <v>870</v>
      </c>
      <c r="C430" t="s">
        <v>770</v>
      </c>
      <c r="D430" s="73">
        <v>2006</v>
      </c>
      <c r="E430">
        <v>38</v>
      </c>
      <c r="F430">
        <v>1</v>
      </c>
      <c r="G430">
        <v>78</v>
      </c>
      <c r="H430">
        <v>95</v>
      </c>
      <c r="K430" t="str">
        <f>IF(ISNA(VLOOKUP(A430,ResultDB!$A:$A,1,FALSE)),"","x")</f>
        <v>x</v>
      </c>
    </row>
    <row r="431" spans="1:11" x14ac:dyDescent="0.3">
      <c r="A431" t="s">
        <v>1375</v>
      </c>
      <c r="B431" t="s">
        <v>870</v>
      </c>
      <c r="C431" t="s">
        <v>770</v>
      </c>
      <c r="D431" s="73">
        <v>2008</v>
      </c>
      <c r="E431">
        <v>35</v>
      </c>
      <c r="F431">
        <v>2.25</v>
      </c>
      <c r="G431">
        <v>79</v>
      </c>
      <c r="H431">
        <v>96</v>
      </c>
      <c r="K431" t="str">
        <f>IF(ISNA(VLOOKUP(A431,ResultDB!$A:$A,1,FALSE)),"","x")</f>
        <v>x</v>
      </c>
    </row>
    <row r="432" spans="1:11" x14ac:dyDescent="0.3">
      <c r="A432" t="s">
        <v>1376</v>
      </c>
      <c r="B432" t="s">
        <v>870</v>
      </c>
      <c r="C432" t="s">
        <v>770</v>
      </c>
      <c r="D432" s="73">
        <v>2008</v>
      </c>
      <c r="E432">
        <v>36</v>
      </c>
      <c r="F432">
        <v>2</v>
      </c>
      <c r="G432">
        <v>80</v>
      </c>
      <c r="H432">
        <v>97</v>
      </c>
      <c r="K432" t="str">
        <f>IF(ISNA(VLOOKUP(A432,ResultDB!$A:$A,1,FALSE)),"","x")</f>
        <v>x</v>
      </c>
    </row>
    <row r="433" spans="1:11" x14ac:dyDescent="0.3">
      <c r="A433" t="s">
        <v>1377</v>
      </c>
      <c r="B433" t="s">
        <v>870</v>
      </c>
      <c r="C433" t="s">
        <v>770</v>
      </c>
      <c r="D433" s="73">
        <v>2008</v>
      </c>
      <c r="E433">
        <v>37</v>
      </c>
      <c r="F433">
        <v>1.5</v>
      </c>
      <c r="G433">
        <v>80</v>
      </c>
      <c r="H433">
        <v>98</v>
      </c>
      <c r="K433" t="str">
        <f>IF(ISNA(VLOOKUP(A433,ResultDB!$A:$A,1,FALSE)),"","x")</f>
        <v>x</v>
      </c>
    </row>
    <row r="434" spans="1:11" x14ac:dyDescent="0.3">
      <c r="A434" t="s">
        <v>1378</v>
      </c>
      <c r="B434" t="s">
        <v>870</v>
      </c>
      <c r="C434" t="s">
        <v>770</v>
      </c>
      <c r="D434" s="73">
        <v>2011</v>
      </c>
      <c r="E434">
        <v>13</v>
      </c>
      <c r="F434">
        <v>2.5</v>
      </c>
      <c r="G434">
        <v>85</v>
      </c>
      <c r="H434">
        <v>104</v>
      </c>
      <c r="K434" t="str">
        <f>IF(ISNA(VLOOKUP(A434,ResultDB!$A:$A,1,FALSE)),"","x")</f>
        <v>x</v>
      </c>
    </row>
    <row r="435" spans="1:11" x14ac:dyDescent="0.3">
      <c r="A435" t="s">
        <v>1379</v>
      </c>
      <c r="B435" t="s">
        <v>870</v>
      </c>
      <c r="C435" t="s">
        <v>770</v>
      </c>
      <c r="D435" s="73">
        <v>2011</v>
      </c>
      <c r="E435">
        <v>14</v>
      </c>
      <c r="F435">
        <v>1</v>
      </c>
      <c r="G435">
        <v>85</v>
      </c>
      <c r="H435">
        <v>105</v>
      </c>
      <c r="K435" t="str">
        <f>IF(ISNA(VLOOKUP(A435,ResultDB!$A:$A,1,FALSE)),"","x")</f>
        <v>x</v>
      </c>
    </row>
    <row r="436" spans="1:11" x14ac:dyDescent="0.3">
      <c r="A436" t="s">
        <v>1380</v>
      </c>
      <c r="B436" t="s">
        <v>870</v>
      </c>
      <c r="C436" t="s">
        <v>770</v>
      </c>
      <c r="D436" s="73">
        <v>2012</v>
      </c>
      <c r="E436">
        <v>10</v>
      </c>
      <c r="F436">
        <v>2</v>
      </c>
      <c r="G436">
        <v>86</v>
      </c>
      <c r="H436">
        <v>106</v>
      </c>
      <c r="K436" t="str">
        <f>IF(ISNA(VLOOKUP(A436,ResultDB!$A:$A,1,FALSE)),"","x")</f>
        <v>x</v>
      </c>
    </row>
    <row r="437" spans="1:11" x14ac:dyDescent="0.3">
      <c r="A437" t="s">
        <v>1381</v>
      </c>
      <c r="B437" t="s">
        <v>870</v>
      </c>
      <c r="C437" t="s">
        <v>778</v>
      </c>
      <c r="D437" s="73">
        <v>2006</v>
      </c>
      <c r="E437">
        <v>37</v>
      </c>
      <c r="F437">
        <v>2</v>
      </c>
      <c r="G437">
        <v>116</v>
      </c>
      <c r="H437">
        <v>117</v>
      </c>
      <c r="K437" t="str">
        <f>IF(ISNA(VLOOKUP(A437,ResultDB!$A:$A,1,FALSE)),"","x")</f>
        <v>x</v>
      </c>
    </row>
    <row r="438" spans="1:11" x14ac:dyDescent="0.3">
      <c r="K438" t="str">
        <f>IF(ISNA(VLOOKUP(A438,ResultDB!$A:$A,1,FALSE)),"","x")</f>
        <v/>
      </c>
    </row>
    <row r="439" spans="1:11" x14ac:dyDescent="0.3">
      <c r="K439" t="str">
        <f>IF(ISNA(VLOOKUP(A439,ResultDB!$A:$A,1,FALSE)),"","x")</f>
        <v/>
      </c>
    </row>
  </sheetData>
  <autoFilter ref="A1:J464"/>
  <sortState ref="O2:O31">
    <sortCondition ref="O2"/>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719"/>
  <sheetViews>
    <sheetView workbookViewId="0">
      <selection activeCell="B661" sqref="B661"/>
    </sheetView>
  </sheetViews>
  <sheetFormatPr defaultRowHeight="14.4" x14ac:dyDescent="0.3"/>
  <cols>
    <col min="1" max="1" width="22.6640625" bestFit="1" customWidth="1"/>
    <col min="2" max="2" width="16" bestFit="1" customWidth="1"/>
    <col min="3" max="3" width="19" customWidth="1"/>
    <col min="4" max="4" width="11" bestFit="1" customWidth="1"/>
    <col min="5" max="5" width="16" customWidth="1"/>
    <col min="7" max="7" width="9.33203125" customWidth="1"/>
    <col min="9" max="9" width="10" customWidth="1"/>
    <col min="17" max="17" width="28.5546875" bestFit="1" customWidth="1"/>
    <col min="18" max="18" width="28" bestFit="1" customWidth="1"/>
  </cols>
  <sheetData>
    <row r="1" spans="1:17" x14ac:dyDescent="0.3">
      <c r="A1" s="12" t="s">
        <v>2</v>
      </c>
      <c r="B1" s="12" t="s">
        <v>0</v>
      </c>
      <c r="C1" s="12" t="s">
        <v>1</v>
      </c>
      <c r="D1" s="12" t="s">
        <v>3</v>
      </c>
      <c r="E1" s="12" t="s">
        <v>4</v>
      </c>
      <c r="F1" s="12" t="s">
        <v>5</v>
      </c>
      <c r="G1" s="12" t="s">
        <v>6</v>
      </c>
      <c r="H1" s="12" t="s">
        <v>7</v>
      </c>
      <c r="I1" s="12" t="s">
        <v>21</v>
      </c>
      <c r="J1" s="12" t="s">
        <v>129</v>
      </c>
      <c r="O1" t="s">
        <v>1070</v>
      </c>
      <c r="P1" t="s">
        <v>1071</v>
      </c>
    </row>
    <row r="2" spans="1:17" hidden="1" x14ac:dyDescent="0.3">
      <c r="A2" t="str">
        <f>B2&amp;D2&amp;E2&amp;F2&amp;G2&amp;H2</f>
        <v>SectionA_Exam200331.517</v>
      </c>
      <c r="B2" t="s">
        <v>863</v>
      </c>
      <c r="C2" s="2" t="s">
        <v>817</v>
      </c>
      <c r="D2">
        <v>2003</v>
      </c>
      <c r="E2">
        <v>3</v>
      </c>
      <c r="F2">
        <v>1.5</v>
      </c>
      <c r="G2">
        <v>1</v>
      </c>
      <c r="H2">
        <v>7</v>
      </c>
    </row>
    <row r="3" spans="1:17" hidden="1" x14ac:dyDescent="0.3">
      <c r="A3" s="73" t="str">
        <f t="shared" ref="A3:A66" si="0">B3&amp;D3&amp;E3&amp;F3&amp;G3&amp;H3</f>
        <v>SectionA_Exam20034118</v>
      </c>
      <c r="B3" s="73" t="s">
        <v>863</v>
      </c>
      <c r="C3" s="5" t="s">
        <v>817</v>
      </c>
      <c r="D3">
        <v>2003</v>
      </c>
      <c r="E3">
        <v>4</v>
      </c>
      <c r="F3">
        <v>1</v>
      </c>
      <c r="G3">
        <v>1</v>
      </c>
      <c r="H3">
        <v>8</v>
      </c>
      <c r="J3" s="73"/>
      <c r="M3" t="s">
        <v>1069</v>
      </c>
      <c r="N3" t="s">
        <v>792</v>
      </c>
      <c r="O3" t="s">
        <v>108</v>
      </c>
    </row>
    <row r="4" spans="1:17" hidden="1" x14ac:dyDescent="0.3">
      <c r="A4" s="73" t="str">
        <f t="shared" si="0"/>
        <v>SectionA_Exam20043328</v>
      </c>
      <c r="B4" s="73" t="s">
        <v>863</v>
      </c>
      <c r="C4" s="5" t="s">
        <v>817</v>
      </c>
      <c r="D4">
        <v>2004</v>
      </c>
      <c r="E4">
        <v>3</v>
      </c>
      <c r="F4">
        <v>3</v>
      </c>
      <c r="G4">
        <v>2</v>
      </c>
      <c r="H4">
        <v>8</v>
      </c>
      <c r="J4" s="73"/>
      <c r="N4" t="s">
        <v>793</v>
      </c>
      <c r="O4" t="s">
        <v>108</v>
      </c>
    </row>
    <row r="5" spans="1:17" hidden="1" x14ac:dyDescent="0.3">
      <c r="A5" s="73" t="str">
        <f t="shared" si="0"/>
        <v>SectionA_Exam200541.7529</v>
      </c>
      <c r="B5" s="73" t="s">
        <v>863</v>
      </c>
      <c r="C5" s="5" t="s">
        <v>817</v>
      </c>
      <c r="D5">
        <v>2005</v>
      </c>
      <c r="E5">
        <v>4</v>
      </c>
      <c r="F5">
        <v>1.75</v>
      </c>
      <c r="G5">
        <v>2</v>
      </c>
      <c r="H5">
        <v>9</v>
      </c>
      <c r="J5" s="73"/>
      <c r="N5" t="s">
        <v>793</v>
      </c>
      <c r="O5" t="s">
        <v>108</v>
      </c>
      <c r="P5" t="s">
        <v>108</v>
      </c>
      <c r="Q5" s="192" t="s">
        <v>1072</v>
      </c>
    </row>
    <row r="6" spans="1:17" hidden="1" x14ac:dyDescent="0.3">
      <c r="A6" s="73" t="str">
        <f t="shared" si="0"/>
        <v>SectionA_Exam20064229</v>
      </c>
      <c r="B6" s="73" t="s">
        <v>863</v>
      </c>
      <c r="C6" s="5" t="s">
        <v>817</v>
      </c>
      <c r="D6">
        <v>2006</v>
      </c>
      <c r="E6">
        <v>4</v>
      </c>
      <c r="F6">
        <v>2</v>
      </c>
      <c r="G6">
        <v>2</v>
      </c>
      <c r="H6">
        <v>9</v>
      </c>
      <c r="J6" s="73"/>
    </row>
    <row r="7" spans="1:17" hidden="1" x14ac:dyDescent="0.3">
      <c r="A7" s="73" t="str">
        <f t="shared" si="0"/>
        <v>SectionA_Exam200711.5310</v>
      </c>
      <c r="B7" s="73" t="s">
        <v>863</v>
      </c>
      <c r="C7" s="5" t="s">
        <v>817</v>
      </c>
      <c r="D7">
        <v>2007</v>
      </c>
      <c r="E7">
        <v>1</v>
      </c>
      <c r="F7">
        <v>1.5</v>
      </c>
      <c r="G7">
        <v>3</v>
      </c>
      <c r="H7">
        <v>10</v>
      </c>
      <c r="J7" s="73"/>
      <c r="N7" t="s">
        <v>794</v>
      </c>
      <c r="O7" t="s">
        <v>108</v>
      </c>
      <c r="P7" t="s">
        <v>108</v>
      </c>
      <c r="Q7" s="192" t="s">
        <v>1072</v>
      </c>
    </row>
    <row r="8" spans="1:17" hidden="1" x14ac:dyDescent="0.3">
      <c r="A8" s="73" t="str">
        <f t="shared" si="0"/>
        <v>SectionA_Exam200911.75311</v>
      </c>
      <c r="B8" s="73" t="s">
        <v>863</v>
      </c>
      <c r="C8" s="5" t="s">
        <v>817</v>
      </c>
      <c r="D8">
        <v>2009</v>
      </c>
      <c r="E8">
        <v>1</v>
      </c>
      <c r="F8">
        <v>1.75</v>
      </c>
      <c r="G8">
        <v>3</v>
      </c>
      <c r="H8">
        <v>11</v>
      </c>
      <c r="J8" s="73"/>
      <c r="N8" t="s">
        <v>795</v>
      </c>
      <c r="O8" t="s">
        <v>108</v>
      </c>
    </row>
    <row r="9" spans="1:17" hidden="1" x14ac:dyDescent="0.3">
      <c r="A9" s="73" t="str">
        <f t="shared" si="0"/>
        <v>SectionA_Exam201021.25311</v>
      </c>
      <c r="B9" s="73" t="s">
        <v>863</v>
      </c>
      <c r="C9" s="5" t="s">
        <v>817</v>
      </c>
      <c r="D9">
        <v>2010</v>
      </c>
      <c r="E9">
        <v>2</v>
      </c>
      <c r="F9">
        <v>1.25</v>
      </c>
      <c r="G9">
        <v>3</v>
      </c>
      <c r="H9">
        <v>11</v>
      </c>
      <c r="J9" s="73"/>
    </row>
    <row r="10" spans="1:17" hidden="1" x14ac:dyDescent="0.3">
      <c r="A10" s="73" t="str">
        <f t="shared" si="0"/>
        <v>SectionA_Exam201031.75412</v>
      </c>
      <c r="B10" s="73" t="s">
        <v>863</v>
      </c>
      <c r="C10" s="5" t="s">
        <v>817</v>
      </c>
      <c r="D10">
        <v>2010</v>
      </c>
      <c r="E10">
        <v>3</v>
      </c>
      <c r="F10">
        <v>1.75</v>
      </c>
      <c r="G10">
        <v>4</v>
      </c>
      <c r="H10">
        <v>12</v>
      </c>
      <c r="J10" s="73"/>
    </row>
    <row r="11" spans="1:17" hidden="1" x14ac:dyDescent="0.3">
      <c r="A11" s="73" t="str">
        <f t="shared" si="0"/>
        <v>SectionA_Exam201112.25412</v>
      </c>
      <c r="B11" s="73" t="s">
        <v>863</v>
      </c>
      <c r="C11" s="5" t="s">
        <v>817</v>
      </c>
      <c r="D11">
        <v>2011</v>
      </c>
      <c r="E11">
        <v>1</v>
      </c>
      <c r="F11">
        <v>2.25</v>
      </c>
      <c r="G11">
        <v>4</v>
      </c>
      <c r="H11">
        <v>12</v>
      </c>
      <c r="J11" s="73"/>
    </row>
    <row r="12" spans="1:17" hidden="1" x14ac:dyDescent="0.3">
      <c r="A12" s="73" t="str">
        <f t="shared" si="0"/>
        <v>SectionA_Exam201213513</v>
      </c>
      <c r="B12" s="73" t="s">
        <v>863</v>
      </c>
      <c r="C12" s="5" t="s">
        <v>817</v>
      </c>
      <c r="D12">
        <v>2012</v>
      </c>
      <c r="E12">
        <v>1</v>
      </c>
      <c r="F12">
        <v>3</v>
      </c>
      <c r="G12">
        <v>5</v>
      </c>
      <c r="H12">
        <v>13</v>
      </c>
      <c r="J12" s="73"/>
    </row>
    <row r="13" spans="1:17" hidden="1" x14ac:dyDescent="0.3">
      <c r="A13" s="73" t="str">
        <f t="shared" si="0"/>
        <v>SectionA_Exam201311.5514</v>
      </c>
      <c r="B13" s="73" t="s">
        <v>863</v>
      </c>
      <c r="C13" s="5" t="s">
        <v>817</v>
      </c>
      <c r="D13">
        <v>2013</v>
      </c>
      <c r="E13">
        <v>1</v>
      </c>
      <c r="F13">
        <v>1.5</v>
      </c>
      <c r="G13">
        <v>5</v>
      </c>
      <c r="H13">
        <v>14</v>
      </c>
      <c r="J13" s="73"/>
    </row>
    <row r="14" spans="1:17" x14ac:dyDescent="0.3">
      <c r="A14" s="73" t="str">
        <f t="shared" si="0"/>
        <v>SectionA_Exam201411.25615</v>
      </c>
      <c r="B14" s="73" t="s">
        <v>863</v>
      </c>
      <c r="C14" s="5" t="s">
        <v>817</v>
      </c>
      <c r="D14">
        <v>2014</v>
      </c>
      <c r="E14">
        <v>1</v>
      </c>
      <c r="F14">
        <v>1.25</v>
      </c>
      <c r="G14">
        <v>6</v>
      </c>
      <c r="H14">
        <v>15</v>
      </c>
      <c r="J14" s="73"/>
    </row>
    <row r="15" spans="1:17" x14ac:dyDescent="0.3">
      <c r="A15" s="73" t="str">
        <f t="shared" si="0"/>
        <v>SectionA_Exam201421.5616</v>
      </c>
      <c r="B15" s="73" t="s">
        <v>863</v>
      </c>
      <c r="C15" s="5" t="s">
        <v>817</v>
      </c>
      <c r="D15">
        <v>2014</v>
      </c>
      <c r="E15">
        <v>2</v>
      </c>
      <c r="F15">
        <v>1.5</v>
      </c>
      <c r="G15">
        <v>6</v>
      </c>
      <c r="H15">
        <v>16</v>
      </c>
      <c r="J15" s="73"/>
    </row>
    <row r="16" spans="1:17" hidden="1" x14ac:dyDescent="0.3">
      <c r="A16" s="73" t="str">
        <f t="shared" si="0"/>
        <v>GoldfarbQandAGF124252</v>
      </c>
      <c r="B16" s="73" t="s">
        <v>864</v>
      </c>
      <c r="C16" s="5" t="s">
        <v>817</v>
      </c>
      <c r="D16" t="s">
        <v>847</v>
      </c>
      <c r="E16">
        <v>1</v>
      </c>
      <c r="F16">
        <v>2</v>
      </c>
      <c r="G16">
        <v>4</v>
      </c>
      <c r="H16">
        <v>252</v>
      </c>
      <c r="J16" s="73"/>
    </row>
    <row r="17" spans="1:10" hidden="1" x14ac:dyDescent="0.3">
      <c r="A17" s="73" t="str">
        <f t="shared" si="0"/>
        <v>GoldfarbQandAGF225253</v>
      </c>
      <c r="B17" s="73" t="s">
        <v>864</v>
      </c>
      <c r="C17" s="5" t="s">
        <v>817</v>
      </c>
      <c r="D17" t="s">
        <v>847</v>
      </c>
      <c r="E17">
        <v>2</v>
      </c>
      <c r="F17">
        <v>2</v>
      </c>
      <c r="G17">
        <v>5</v>
      </c>
      <c r="H17">
        <v>253</v>
      </c>
      <c r="J17" s="73"/>
    </row>
    <row r="18" spans="1:10" hidden="1" x14ac:dyDescent="0.3">
      <c r="A18" s="73" t="str">
        <f t="shared" si="0"/>
        <v>GoldfarbQandAGF326254</v>
      </c>
      <c r="B18" s="73" t="s">
        <v>864</v>
      </c>
      <c r="C18" s="5" t="s">
        <v>817</v>
      </c>
      <c r="D18" t="s">
        <v>847</v>
      </c>
      <c r="E18">
        <v>3</v>
      </c>
      <c r="F18">
        <v>2</v>
      </c>
      <c r="G18">
        <v>6</v>
      </c>
      <c r="H18">
        <v>254</v>
      </c>
      <c r="J18" s="73"/>
    </row>
    <row r="19" spans="1:10" hidden="1" x14ac:dyDescent="0.3">
      <c r="A19" s="73" t="str">
        <f t="shared" si="0"/>
        <v>GoldfarbQandAGF427255</v>
      </c>
      <c r="B19" s="73" t="s">
        <v>864</v>
      </c>
      <c r="C19" s="5" t="s">
        <v>817</v>
      </c>
      <c r="D19" t="s">
        <v>847</v>
      </c>
      <c r="E19">
        <v>4</v>
      </c>
      <c r="F19">
        <v>2</v>
      </c>
      <c r="G19">
        <v>7</v>
      </c>
      <c r="H19">
        <v>255</v>
      </c>
      <c r="J19" s="73"/>
    </row>
    <row r="20" spans="1:10" hidden="1" x14ac:dyDescent="0.3">
      <c r="A20" s="73" t="str">
        <f t="shared" si="0"/>
        <v>GoldfarbQandAGF528256</v>
      </c>
      <c r="B20" s="73" t="s">
        <v>864</v>
      </c>
      <c r="C20" s="5" t="s">
        <v>817</v>
      </c>
      <c r="D20" t="s">
        <v>847</v>
      </c>
      <c r="E20">
        <v>5</v>
      </c>
      <c r="F20">
        <v>2</v>
      </c>
      <c r="G20">
        <v>8</v>
      </c>
      <c r="H20">
        <v>256</v>
      </c>
      <c r="J20" s="73"/>
    </row>
    <row r="21" spans="1:10" hidden="1" x14ac:dyDescent="0.3">
      <c r="A21" s="73" t="str">
        <f t="shared" si="0"/>
        <v>GoldfarbQandAGF629257</v>
      </c>
      <c r="B21" s="73" t="s">
        <v>864</v>
      </c>
      <c r="C21" s="5" t="s">
        <v>817</v>
      </c>
      <c r="D21" t="s">
        <v>847</v>
      </c>
      <c r="E21">
        <v>6</v>
      </c>
      <c r="F21">
        <v>2</v>
      </c>
      <c r="G21">
        <v>9</v>
      </c>
      <c r="H21">
        <v>257</v>
      </c>
      <c r="J21" s="73"/>
    </row>
    <row r="22" spans="1:10" hidden="1" x14ac:dyDescent="0.3">
      <c r="A22" s="73" t="str">
        <f t="shared" si="0"/>
        <v>GoldfarbQandAGF7210258</v>
      </c>
      <c r="B22" s="73" t="s">
        <v>864</v>
      </c>
      <c r="C22" s="5" t="s">
        <v>817</v>
      </c>
      <c r="D22" t="s">
        <v>847</v>
      </c>
      <c r="E22">
        <v>7</v>
      </c>
      <c r="F22">
        <v>2</v>
      </c>
      <c r="G22">
        <v>10</v>
      </c>
      <c r="H22">
        <v>258</v>
      </c>
      <c r="J22" s="73"/>
    </row>
    <row r="23" spans="1:10" hidden="1" x14ac:dyDescent="0.3">
      <c r="A23" s="73" t="str">
        <f t="shared" si="0"/>
        <v>GoldfarbQandAGF8211259</v>
      </c>
      <c r="B23" s="73" t="s">
        <v>864</v>
      </c>
      <c r="C23" s="5" t="s">
        <v>817</v>
      </c>
      <c r="D23" t="s">
        <v>847</v>
      </c>
      <c r="E23">
        <v>8</v>
      </c>
      <c r="F23">
        <v>2</v>
      </c>
      <c r="G23">
        <v>11</v>
      </c>
      <c r="H23">
        <v>259</v>
      </c>
      <c r="J23" s="73"/>
    </row>
    <row r="24" spans="1:10" hidden="1" x14ac:dyDescent="0.3">
      <c r="A24" s="73" t="str">
        <f t="shared" si="0"/>
        <v>GoldfarbQandAGF9212260</v>
      </c>
      <c r="B24" s="73" t="s">
        <v>864</v>
      </c>
      <c r="C24" s="5" t="s">
        <v>817</v>
      </c>
      <c r="D24" t="s">
        <v>847</v>
      </c>
      <c r="E24">
        <v>9</v>
      </c>
      <c r="F24">
        <v>2</v>
      </c>
      <c r="G24">
        <v>12</v>
      </c>
      <c r="H24">
        <v>260</v>
      </c>
      <c r="J24" s="73"/>
    </row>
    <row r="25" spans="1:10" hidden="1" x14ac:dyDescent="0.3">
      <c r="A25" s="73" t="str">
        <f t="shared" si="0"/>
        <v>GoldfarbQandAGF10213261</v>
      </c>
      <c r="B25" s="73" t="s">
        <v>864</v>
      </c>
      <c r="C25" s="5" t="s">
        <v>817</v>
      </c>
      <c r="D25" t="s">
        <v>847</v>
      </c>
      <c r="E25">
        <v>10</v>
      </c>
      <c r="F25">
        <v>2</v>
      </c>
      <c r="G25">
        <v>13</v>
      </c>
      <c r="H25">
        <v>261</v>
      </c>
      <c r="J25" s="73"/>
    </row>
    <row r="26" spans="1:10" hidden="1" x14ac:dyDescent="0.3">
      <c r="A26" s="73" t="str">
        <f t="shared" si="0"/>
        <v>GoldfarbQandAGF11214262</v>
      </c>
      <c r="B26" s="73" t="s">
        <v>864</v>
      </c>
      <c r="C26" s="5" t="s">
        <v>817</v>
      </c>
      <c r="D26" t="s">
        <v>847</v>
      </c>
      <c r="E26">
        <v>11</v>
      </c>
      <c r="F26">
        <v>2</v>
      </c>
      <c r="G26">
        <v>14</v>
      </c>
      <c r="H26">
        <v>262</v>
      </c>
      <c r="J26" s="73"/>
    </row>
    <row r="27" spans="1:10" hidden="1" x14ac:dyDescent="0.3">
      <c r="A27" s="73" t="str">
        <f t="shared" si="0"/>
        <v>GoldfarbQandAGF12216264</v>
      </c>
      <c r="B27" s="73" t="s">
        <v>864</v>
      </c>
      <c r="C27" s="5" t="s">
        <v>817</v>
      </c>
      <c r="D27" t="s">
        <v>847</v>
      </c>
      <c r="E27">
        <v>12</v>
      </c>
      <c r="F27">
        <v>2</v>
      </c>
      <c r="G27">
        <v>16</v>
      </c>
      <c r="H27">
        <v>264</v>
      </c>
      <c r="J27" s="73"/>
    </row>
    <row r="28" spans="1:10" hidden="1" x14ac:dyDescent="0.3">
      <c r="A28" s="73" t="str">
        <f t="shared" si="0"/>
        <v>GoldfarbQandAGF13218266</v>
      </c>
      <c r="B28" s="73" t="s">
        <v>864</v>
      </c>
      <c r="C28" s="5" t="s">
        <v>817</v>
      </c>
      <c r="D28" t="s">
        <v>847</v>
      </c>
      <c r="E28">
        <v>13</v>
      </c>
      <c r="F28">
        <v>2</v>
      </c>
      <c r="G28">
        <v>18</v>
      </c>
      <c r="H28">
        <v>266</v>
      </c>
      <c r="J28" s="73"/>
    </row>
    <row r="29" spans="1:10" hidden="1" x14ac:dyDescent="0.3">
      <c r="A29" s="73" t="str">
        <f t="shared" si="0"/>
        <v>GoldfarbQandAGF14219267</v>
      </c>
      <c r="B29" s="73" t="s">
        <v>864</v>
      </c>
      <c r="C29" s="5" t="s">
        <v>817</v>
      </c>
      <c r="D29" t="s">
        <v>847</v>
      </c>
      <c r="E29">
        <v>14</v>
      </c>
      <c r="F29">
        <v>2</v>
      </c>
      <c r="G29">
        <v>19</v>
      </c>
      <c r="H29">
        <v>267</v>
      </c>
      <c r="J29" s="73"/>
    </row>
    <row r="30" spans="1:10" hidden="1" x14ac:dyDescent="0.3">
      <c r="A30" s="73" t="str">
        <f t="shared" si="0"/>
        <v>GoldfarbQandAGF15220268</v>
      </c>
      <c r="B30" s="73" t="s">
        <v>864</v>
      </c>
      <c r="C30" s="5" t="s">
        <v>817</v>
      </c>
      <c r="D30" t="s">
        <v>847</v>
      </c>
      <c r="E30">
        <v>15</v>
      </c>
      <c r="F30">
        <v>2</v>
      </c>
      <c r="G30">
        <v>20</v>
      </c>
      <c r="H30">
        <v>268</v>
      </c>
      <c r="J30" s="73"/>
    </row>
    <row r="31" spans="1:10" hidden="1" x14ac:dyDescent="0.3">
      <c r="A31" s="73" t="str">
        <f t="shared" si="0"/>
        <v>GoldfarbQandAGF16221269</v>
      </c>
      <c r="B31" s="73" t="s">
        <v>864</v>
      </c>
      <c r="C31" s="5" t="s">
        <v>817</v>
      </c>
      <c r="D31" t="s">
        <v>847</v>
      </c>
      <c r="E31">
        <v>16</v>
      </c>
      <c r="F31">
        <v>2</v>
      </c>
      <c r="G31">
        <v>21</v>
      </c>
      <c r="H31">
        <v>269</v>
      </c>
      <c r="J31" s="73"/>
    </row>
    <row r="32" spans="1:10" hidden="1" x14ac:dyDescent="0.3">
      <c r="A32" s="73" t="str">
        <f t="shared" si="0"/>
        <v>GoldfarbQandAGF17222270</v>
      </c>
      <c r="B32" s="73" t="s">
        <v>864</v>
      </c>
      <c r="C32" s="5" t="s">
        <v>817</v>
      </c>
      <c r="D32" t="s">
        <v>847</v>
      </c>
      <c r="E32">
        <v>17</v>
      </c>
      <c r="F32">
        <v>2</v>
      </c>
      <c r="G32">
        <v>22</v>
      </c>
      <c r="H32">
        <v>270</v>
      </c>
      <c r="J32" s="73"/>
    </row>
    <row r="33" spans="1:10" hidden="1" x14ac:dyDescent="0.3">
      <c r="A33" s="73" t="str">
        <f t="shared" si="0"/>
        <v>GoldfarbQandAGF18223271</v>
      </c>
      <c r="B33" s="73" t="s">
        <v>864</v>
      </c>
      <c r="C33" s="5" t="s">
        <v>817</v>
      </c>
      <c r="D33" t="s">
        <v>847</v>
      </c>
      <c r="E33">
        <v>18</v>
      </c>
      <c r="F33">
        <v>2</v>
      </c>
      <c r="G33">
        <v>23</v>
      </c>
      <c r="H33">
        <v>271</v>
      </c>
      <c r="J33" s="73"/>
    </row>
    <row r="34" spans="1:10" hidden="1" x14ac:dyDescent="0.3">
      <c r="A34" s="73" t="str">
        <f t="shared" si="0"/>
        <v>GoldfarbQandAGF19225273</v>
      </c>
      <c r="B34" s="73" t="s">
        <v>864</v>
      </c>
      <c r="C34" s="5" t="s">
        <v>817</v>
      </c>
      <c r="D34" t="s">
        <v>847</v>
      </c>
      <c r="E34">
        <v>19</v>
      </c>
      <c r="F34">
        <v>2</v>
      </c>
      <c r="G34">
        <v>25</v>
      </c>
      <c r="H34">
        <v>273</v>
      </c>
      <c r="J34" s="73"/>
    </row>
    <row r="35" spans="1:10" hidden="1" x14ac:dyDescent="0.3">
      <c r="A35" s="73" t="str">
        <f t="shared" si="0"/>
        <v>GoldfarbQandAGF20226274</v>
      </c>
      <c r="B35" s="73" t="s">
        <v>864</v>
      </c>
      <c r="C35" s="5" t="s">
        <v>817</v>
      </c>
      <c r="D35" t="s">
        <v>847</v>
      </c>
      <c r="E35">
        <v>20</v>
      </c>
      <c r="F35">
        <v>2</v>
      </c>
      <c r="G35">
        <v>26</v>
      </c>
      <c r="H35">
        <v>274</v>
      </c>
      <c r="J35" s="73"/>
    </row>
    <row r="36" spans="1:10" hidden="1" x14ac:dyDescent="0.3">
      <c r="A36" s="73" t="str">
        <f t="shared" si="0"/>
        <v>GoldfarbQandAGF21227275</v>
      </c>
      <c r="B36" s="73" t="s">
        <v>864</v>
      </c>
      <c r="C36" s="5" t="s">
        <v>817</v>
      </c>
      <c r="D36" t="s">
        <v>847</v>
      </c>
      <c r="E36">
        <v>21</v>
      </c>
      <c r="F36">
        <v>2</v>
      </c>
      <c r="G36">
        <v>27</v>
      </c>
      <c r="H36">
        <v>275</v>
      </c>
      <c r="J36" s="73"/>
    </row>
    <row r="37" spans="1:10" hidden="1" x14ac:dyDescent="0.3">
      <c r="A37" s="73" t="str">
        <f t="shared" si="0"/>
        <v>GoldfarbQandAGF22228276</v>
      </c>
      <c r="B37" s="73" t="s">
        <v>864</v>
      </c>
      <c r="C37" s="5" t="s">
        <v>817</v>
      </c>
      <c r="D37" t="s">
        <v>847</v>
      </c>
      <c r="E37">
        <v>22</v>
      </c>
      <c r="F37">
        <v>2</v>
      </c>
      <c r="G37">
        <v>28</v>
      </c>
      <c r="H37">
        <v>276</v>
      </c>
      <c r="J37" s="73"/>
    </row>
    <row r="38" spans="1:10" hidden="1" x14ac:dyDescent="0.3">
      <c r="A38" s="73" t="str">
        <f t="shared" si="0"/>
        <v>GoldfarbQandAGF23229277</v>
      </c>
      <c r="B38" s="73" t="s">
        <v>864</v>
      </c>
      <c r="C38" s="5" t="s">
        <v>817</v>
      </c>
      <c r="D38" t="s">
        <v>847</v>
      </c>
      <c r="E38">
        <v>23</v>
      </c>
      <c r="F38">
        <v>2</v>
      </c>
      <c r="G38">
        <v>29</v>
      </c>
      <c r="H38">
        <v>277</v>
      </c>
      <c r="J38" s="73"/>
    </row>
    <row r="39" spans="1:10" hidden="1" x14ac:dyDescent="0.3">
      <c r="A39" s="73" t="str">
        <f t="shared" si="0"/>
        <v>GoldfarbQandAGF24230278</v>
      </c>
      <c r="B39" s="73" t="s">
        <v>864</v>
      </c>
      <c r="C39" s="5" t="s">
        <v>817</v>
      </c>
      <c r="D39" t="s">
        <v>847</v>
      </c>
      <c r="E39">
        <v>24</v>
      </c>
      <c r="F39">
        <v>2</v>
      </c>
      <c r="G39">
        <v>30</v>
      </c>
      <c r="H39">
        <v>278</v>
      </c>
      <c r="J39" s="73"/>
    </row>
    <row r="40" spans="1:10" hidden="1" x14ac:dyDescent="0.3">
      <c r="A40" s="73" t="str">
        <f t="shared" si="0"/>
        <v>GoldfarbQandAGF25231279</v>
      </c>
      <c r="B40" s="73" t="s">
        <v>864</v>
      </c>
      <c r="C40" s="5" t="s">
        <v>817</v>
      </c>
      <c r="D40" t="s">
        <v>847</v>
      </c>
      <c r="E40">
        <v>25</v>
      </c>
      <c r="F40">
        <v>2</v>
      </c>
      <c r="G40">
        <v>31</v>
      </c>
      <c r="H40">
        <v>279</v>
      </c>
      <c r="J40" s="73"/>
    </row>
    <row r="41" spans="1:10" hidden="1" x14ac:dyDescent="0.3">
      <c r="A41" s="73" t="str">
        <f t="shared" si="0"/>
        <v>GoldfarbQandAGF1233281</v>
      </c>
      <c r="B41" s="73" t="s">
        <v>864</v>
      </c>
      <c r="C41" s="5" t="s">
        <v>817</v>
      </c>
      <c r="D41" t="s">
        <v>847</v>
      </c>
      <c r="E41">
        <v>1</v>
      </c>
      <c r="F41">
        <v>2</v>
      </c>
      <c r="G41">
        <v>33</v>
      </c>
      <c r="H41">
        <v>281</v>
      </c>
      <c r="J41" s="73"/>
    </row>
    <row r="42" spans="1:10" hidden="1" x14ac:dyDescent="0.3">
      <c r="A42" s="73" t="str">
        <f t="shared" si="0"/>
        <v>GoldfarbQandAGF2234282</v>
      </c>
      <c r="B42" s="73" t="s">
        <v>864</v>
      </c>
      <c r="C42" s="5" t="s">
        <v>817</v>
      </c>
      <c r="D42" t="s">
        <v>847</v>
      </c>
      <c r="E42">
        <v>2</v>
      </c>
      <c r="F42">
        <v>2</v>
      </c>
      <c r="G42">
        <v>34</v>
      </c>
      <c r="H42">
        <v>282</v>
      </c>
      <c r="J42" s="73"/>
    </row>
    <row r="43" spans="1:10" hidden="1" x14ac:dyDescent="0.3">
      <c r="A43" s="73" t="str">
        <f t="shared" si="0"/>
        <v>GoldfarbQandAGF3235283</v>
      </c>
      <c r="B43" s="73" t="s">
        <v>864</v>
      </c>
      <c r="C43" s="5" t="s">
        <v>817</v>
      </c>
      <c r="D43" t="s">
        <v>847</v>
      </c>
      <c r="E43">
        <v>3</v>
      </c>
      <c r="F43">
        <v>2</v>
      </c>
      <c r="G43">
        <v>35</v>
      </c>
      <c r="H43">
        <v>283</v>
      </c>
      <c r="J43" s="73"/>
    </row>
    <row r="44" spans="1:10" hidden="1" x14ac:dyDescent="0.3">
      <c r="A44" s="73" t="str">
        <f t="shared" si="0"/>
        <v>GoldfarbQandAGF4236284</v>
      </c>
      <c r="B44" s="73" t="s">
        <v>864</v>
      </c>
      <c r="C44" s="5" t="s">
        <v>817</v>
      </c>
      <c r="D44" t="s">
        <v>847</v>
      </c>
      <c r="E44">
        <v>4</v>
      </c>
      <c r="F44">
        <v>2</v>
      </c>
      <c r="G44">
        <v>36</v>
      </c>
      <c r="H44">
        <v>284</v>
      </c>
      <c r="J44" s="73"/>
    </row>
    <row r="45" spans="1:10" hidden="1" x14ac:dyDescent="0.3">
      <c r="A45" s="73" t="str">
        <f t="shared" si="0"/>
        <v>GoldfarbQandAGF5237285</v>
      </c>
      <c r="B45" s="73" t="s">
        <v>864</v>
      </c>
      <c r="C45" s="5" t="s">
        <v>817</v>
      </c>
      <c r="D45" t="s">
        <v>847</v>
      </c>
      <c r="E45">
        <v>5</v>
      </c>
      <c r="F45">
        <v>2</v>
      </c>
      <c r="G45">
        <v>37</v>
      </c>
      <c r="H45">
        <v>285</v>
      </c>
      <c r="J45" s="73"/>
    </row>
    <row r="46" spans="1:10" hidden="1" x14ac:dyDescent="0.3">
      <c r="A46" s="73" t="str">
        <f t="shared" si="0"/>
        <v>GoldfarbQandAGF6238286</v>
      </c>
      <c r="B46" s="73" t="s">
        <v>864</v>
      </c>
      <c r="C46" s="5" t="s">
        <v>817</v>
      </c>
      <c r="D46" t="s">
        <v>847</v>
      </c>
      <c r="E46">
        <v>6</v>
      </c>
      <c r="F46">
        <v>2</v>
      </c>
      <c r="G46">
        <v>38</v>
      </c>
      <c r="H46">
        <v>286</v>
      </c>
      <c r="J46" s="73"/>
    </row>
    <row r="47" spans="1:10" hidden="1" x14ac:dyDescent="0.3">
      <c r="A47" s="73" t="str">
        <f t="shared" si="0"/>
        <v>GoldfarbQandAGF7239287</v>
      </c>
      <c r="B47" s="73" t="s">
        <v>864</v>
      </c>
      <c r="C47" s="5" t="s">
        <v>817</v>
      </c>
      <c r="D47" t="s">
        <v>847</v>
      </c>
      <c r="E47">
        <v>7</v>
      </c>
      <c r="F47">
        <v>2</v>
      </c>
      <c r="G47">
        <v>39</v>
      </c>
      <c r="H47">
        <v>287</v>
      </c>
      <c r="J47" s="73"/>
    </row>
    <row r="48" spans="1:10" hidden="1" x14ac:dyDescent="0.3">
      <c r="A48" s="73" t="str">
        <f t="shared" si="0"/>
        <v>GoldfarbQandAGF8240288</v>
      </c>
      <c r="B48" s="73" t="s">
        <v>864</v>
      </c>
      <c r="C48" s="5" t="s">
        <v>817</v>
      </c>
      <c r="D48" t="s">
        <v>847</v>
      </c>
      <c r="E48">
        <v>8</v>
      </c>
      <c r="F48">
        <v>2</v>
      </c>
      <c r="G48">
        <v>40</v>
      </c>
      <c r="H48">
        <v>288</v>
      </c>
      <c r="J48" s="73"/>
    </row>
    <row r="49" spans="1:10" hidden="1" x14ac:dyDescent="0.3">
      <c r="A49" s="73" t="str">
        <f t="shared" si="0"/>
        <v>GoldfarbQandAGF9241289</v>
      </c>
      <c r="B49" s="73" t="s">
        <v>864</v>
      </c>
      <c r="C49" s="5" t="s">
        <v>817</v>
      </c>
      <c r="D49" t="s">
        <v>847</v>
      </c>
      <c r="E49">
        <v>9</v>
      </c>
      <c r="F49">
        <v>2</v>
      </c>
      <c r="G49">
        <v>41</v>
      </c>
      <c r="H49">
        <v>289</v>
      </c>
      <c r="J49" s="73"/>
    </row>
    <row r="50" spans="1:10" hidden="1" x14ac:dyDescent="0.3">
      <c r="A50" s="73" t="str">
        <f t="shared" si="0"/>
        <v>GoldfarbQandAGF10242290</v>
      </c>
      <c r="B50" s="73" t="s">
        <v>864</v>
      </c>
      <c r="C50" s="5" t="s">
        <v>817</v>
      </c>
      <c r="D50" t="s">
        <v>847</v>
      </c>
      <c r="E50">
        <v>10</v>
      </c>
      <c r="F50">
        <v>2</v>
      </c>
      <c r="G50">
        <v>42</v>
      </c>
      <c r="H50">
        <v>290</v>
      </c>
      <c r="J50" s="73"/>
    </row>
    <row r="51" spans="1:10" hidden="1" x14ac:dyDescent="0.3">
      <c r="A51" s="73" t="str">
        <f t="shared" si="0"/>
        <v>GoldfarbQandAGF11243291</v>
      </c>
      <c r="B51" s="73" t="s">
        <v>864</v>
      </c>
      <c r="C51" s="5" t="s">
        <v>817</v>
      </c>
      <c r="D51" t="s">
        <v>847</v>
      </c>
      <c r="E51">
        <v>11</v>
      </c>
      <c r="F51">
        <v>2</v>
      </c>
      <c r="G51">
        <v>43</v>
      </c>
      <c r="H51">
        <v>291</v>
      </c>
      <c r="J51" s="73"/>
    </row>
    <row r="52" spans="1:10" hidden="1" x14ac:dyDescent="0.3">
      <c r="A52" s="73" t="str">
        <f t="shared" si="0"/>
        <v>GoldfarbQandAGF12244292</v>
      </c>
      <c r="B52" s="73" t="s">
        <v>864</v>
      </c>
      <c r="C52" s="5" t="s">
        <v>817</v>
      </c>
      <c r="D52" t="s">
        <v>847</v>
      </c>
      <c r="E52">
        <v>12</v>
      </c>
      <c r="F52">
        <v>2</v>
      </c>
      <c r="G52">
        <v>44</v>
      </c>
      <c r="H52">
        <v>292</v>
      </c>
      <c r="J52" s="73"/>
    </row>
    <row r="53" spans="1:10" hidden="1" x14ac:dyDescent="0.3">
      <c r="A53" s="73" t="str">
        <f t="shared" si="0"/>
        <v>GoldfarbQandAGF13245293</v>
      </c>
      <c r="B53" s="73" t="s">
        <v>864</v>
      </c>
      <c r="C53" s="5" t="s">
        <v>817</v>
      </c>
      <c r="D53" t="s">
        <v>847</v>
      </c>
      <c r="E53">
        <v>13</v>
      </c>
      <c r="F53">
        <v>2</v>
      </c>
      <c r="G53">
        <v>45</v>
      </c>
      <c r="H53">
        <v>293</v>
      </c>
      <c r="J53" s="73"/>
    </row>
    <row r="54" spans="1:10" hidden="1" x14ac:dyDescent="0.3">
      <c r="A54" s="73" t="str">
        <f t="shared" si="0"/>
        <v>GoldfarbQandAGF14246294</v>
      </c>
      <c r="B54" s="73" t="s">
        <v>864</v>
      </c>
      <c r="C54" s="5" t="s">
        <v>817</v>
      </c>
      <c r="D54" t="s">
        <v>847</v>
      </c>
      <c r="E54">
        <v>14</v>
      </c>
      <c r="F54">
        <v>2</v>
      </c>
      <c r="G54">
        <v>46</v>
      </c>
      <c r="H54">
        <v>294</v>
      </c>
      <c r="J54" s="73"/>
    </row>
    <row r="55" spans="1:10" hidden="1" x14ac:dyDescent="0.3">
      <c r="A55" s="73" t="str">
        <f t="shared" si="0"/>
        <v>GoldfarbQandAGF15247295</v>
      </c>
      <c r="B55" s="73" t="s">
        <v>864</v>
      </c>
      <c r="C55" s="5" t="s">
        <v>817</v>
      </c>
      <c r="D55" t="s">
        <v>847</v>
      </c>
      <c r="E55">
        <v>15</v>
      </c>
      <c r="F55">
        <v>2</v>
      </c>
      <c r="G55">
        <v>47</v>
      </c>
      <c r="H55">
        <v>295</v>
      </c>
      <c r="J55" s="73"/>
    </row>
    <row r="56" spans="1:10" hidden="1" x14ac:dyDescent="0.3">
      <c r="A56" s="73" t="str">
        <f t="shared" si="0"/>
        <v>GoldfarbQandAGF16248296</v>
      </c>
      <c r="B56" s="73" t="s">
        <v>864</v>
      </c>
      <c r="C56" s="5" t="s">
        <v>817</v>
      </c>
      <c r="D56" t="s">
        <v>847</v>
      </c>
      <c r="E56">
        <v>16</v>
      </c>
      <c r="F56">
        <v>2</v>
      </c>
      <c r="G56">
        <v>48</v>
      </c>
      <c r="H56">
        <v>296</v>
      </c>
      <c r="J56" s="73"/>
    </row>
    <row r="57" spans="1:10" hidden="1" x14ac:dyDescent="0.3">
      <c r="A57" s="73" t="str">
        <f t="shared" si="0"/>
        <v>GoldfarbQandAGF17249297</v>
      </c>
      <c r="B57" s="73" t="s">
        <v>864</v>
      </c>
      <c r="C57" s="5" t="s">
        <v>817</v>
      </c>
      <c r="D57" t="s">
        <v>847</v>
      </c>
      <c r="E57">
        <v>17</v>
      </c>
      <c r="F57">
        <v>2</v>
      </c>
      <c r="G57">
        <v>49</v>
      </c>
      <c r="H57">
        <v>297</v>
      </c>
      <c r="J57" s="73"/>
    </row>
    <row r="58" spans="1:10" hidden="1" x14ac:dyDescent="0.3">
      <c r="A58" s="73" t="str">
        <f t="shared" si="0"/>
        <v>GoldfarbQandAGF18250298</v>
      </c>
      <c r="B58" s="73" t="s">
        <v>864</v>
      </c>
      <c r="C58" s="5" t="s">
        <v>817</v>
      </c>
      <c r="D58" t="s">
        <v>847</v>
      </c>
      <c r="E58">
        <v>18</v>
      </c>
      <c r="F58">
        <v>2</v>
      </c>
      <c r="G58">
        <v>50</v>
      </c>
      <c r="H58">
        <v>298</v>
      </c>
      <c r="J58" s="73"/>
    </row>
    <row r="59" spans="1:10" hidden="1" x14ac:dyDescent="0.3">
      <c r="A59" s="73" t="str">
        <f t="shared" si="0"/>
        <v>GoldfarbQandAGF19252300</v>
      </c>
      <c r="B59" s="73" t="s">
        <v>864</v>
      </c>
      <c r="C59" s="5" t="s">
        <v>817</v>
      </c>
      <c r="D59" t="s">
        <v>847</v>
      </c>
      <c r="E59">
        <v>19</v>
      </c>
      <c r="F59">
        <v>2</v>
      </c>
      <c r="G59">
        <v>52</v>
      </c>
      <c r="H59">
        <v>300</v>
      </c>
      <c r="J59" s="73"/>
    </row>
    <row r="60" spans="1:10" hidden="1" x14ac:dyDescent="0.3">
      <c r="A60" s="73" t="str">
        <f t="shared" si="0"/>
        <v>GoldfarbQandAGF20253301</v>
      </c>
      <c r="B60" s="73" t="s">
        <v>864</v>
      </c>
      <c r="C60" s="5" t="s">
        <v>817</v>
      </c>
      <c r="D60" t="s">
        <v>847</v>
      </c>
      <c r="E60">
        <v>20</v>
      </c>
      <c r="F60">
        <v>2</v>
      </c>
      <c r="G60">
        <v>53</v>
      </c>
      <c r="H60">
        <v>301</v>
      </c>
      <c r="J60" s="73"/>
    </row>
    <row r="61" spans="1:10" hidden="1" x14ac:dyDescent="0.3">
      <c r="A61" s="73" t="str">
        <f t="shared" si="0"/>
        <v>GoldfarbQandAGF21254302</v>
      </c>
      <c r="B61" s="73" t="s">
        <v>864</v>
      </c>
      <c r="C61" s="5" t="s">
        <v>817</v>
      </c>
      <c r="D61" t="s">
        <v>847</v>
      </c>
      <c r="E61">
        <v>21</v>
      </c>
      <c r="F61">
        <v>2</v>
      </c>
      <c r="G61">
        <v>54</v>
      </c>
      <c r="H61">
        <v>302</v>
      </c>
      <c r="J61" s="73"/>
    </row>
    <row r="62" spans="1:10" hidden="1" x14ac:dyDescent="0.3">
      <c r="A62" s="73" t="str">
        <f t="shared" si="0"/>
        <v>GoldfarbQandAGF22255303</v>
      </c>
      <c r="B62" s="73" t="s">
        <v>864</v>
      </c>
      <c r="C62" s="5" t="s">
        <v>817</v>
      </c>
      <c r="D62" t="s">
        <v>847</v>
      </c>
      <c r="E62">
        <v>22</v>
      </c>
      <c r="F62">
        <v>2</v>
      </c>
      <c r="G62">
        <v>55</v>
      </c>
      <c r="H62">
        <v>303</v>
      </c>
      <c r="J62" s="73"/>
    </row>
    <row r="63" spans="1:10" hidden="1" x14ac:dyDescent="0.3">
      <c r="A63" s="73" t="str">
        <f t="shared" si="0"/>
        <v>GoldfarbQandAGF23256304</v>
      </c>
      <c r="B63" s="73" t="s">
        <v>864</v>
      </c>
      <c r="C63" s="5" t="s">
        <v>817</v>
      </c>
      <c r="D63" t="s">
        <v>847</v>
      </c>
      <c r="E63">
        <v>23</v>
      </c>
      <c r="F63">
        <v>2</v>
      </c>
      <c r="G63">
        <v>56</v>
      </c>
      <c r="H63">
        <v>304</v>
      </c>
      <c r="J63" s="73"/>
    </row>
    <row r="64" spans="1:10" hidden="1" x14ac:dyDescent="0.3">
      <c r="A64" s="73" t="str">
        <f t="shared" si="0"/>
        <v>GoldfarbQandAGF24257305</v>
      </c>
      <c r="B64" s="73" t="s">
        <v>864</v>
      </c>
      <c r="C64" s="5" t="s">
        <v>817</v>
      </c>
      <c r="D64" t="s">
        <v>847</v>
      </c>
      <c r="E64">
        <v>24</v>
      </c>
      <c r="F64">
        <v>2</v>
      </c>
      <c r="G64">
        <v>57</v>
      </c>
      <c r="H64">
        <v>305</v>
      </c>
      <c r="J64" s="73"/>
    </row>
    <row r="65" spans="1:10" hidden="1" x14ac:dyDescent="0.3">
      <c r="A65" s="73" t="str">
        <f t="shared" si="0"/>
        <v>GoldfarbQandAGF25258306</v>
      </c>
      <c r="B65" s="73" t="s">
        <v>864</v>
      </c>
      <c r="C65" s="5" t="s">
        <v>817</v>
      </c>
      <c r="D65" t="s">
        <v>847</v>
      </c>
      <c r="E65">
        <v>25</v>
      </c>
      <c r="F65">
        <v>2</v>
      </c>
      <c r="G65">
        <v>58</v>
      </c>
      <c r="H65">
        <v>306</v>
      </c>
      <c r="J65" s="73"/>
    </row>
    <row r="66" spans="1:10" hidden="1" x14ac:dyDescent="0.3">
      <c r="A66" s="73" t="str">
        <f t="shared" si="0"/>
        <v>GoldfarbQandAGF26259307</v>
      </c>
      <c r="B66" s="73" t="s">
        <v>864</v>
      </c>
      <c r="C66" s="5" t="s">
        <v>817</v>
      </c>
      <c r="D66" t="s">
        <v>847</v>
      </c>
      <c r="E66">
        <v>26</v>
      </c>
      <c r="F66">
        <v>2</v>
      </c>
      <c r="G66">
        <v>59</v>
      </c>
      <c r="H66">
        <v>307</v>
      </c>
      <c r="J66" s="73"/>
    </row>
    <row r="67" spans="1:10" hidden="1" x14ac:dyDescent="0.3">
      <c r="A67" s="73" t="str">
        <f t="shared" ref="A67:A130" si="1">B67&amp;D67&amp;E67&amp;F67&amp;G67&amp;H67</f>
        <v>GoldfarbQandAGF27260308</v>
      </c>
      <c r="B67" s="73" t="s">
        <v>864</v>
      </c>
      <c r="C67" s="5" t="s">
        <v>817</v>
      </c>
      <c r="D67" t="s">
        <v>847</v>
      </c>
      <c r="E67">
        <v>27</v>
      </c>
      <c r="F67">
        <v>2</v>
      </c>
      <c r="G67">
        <v>60</v>
      </c>
      <c r="H67">
        <v>308</v>
      </c>
      <c r="J67" s="73"/>
    </row>
    <row r="68" spans="1:10" hidden="1" x14ac:dyDescent="0.3">
      <c r="A68" s="73" t="str">
        <f t="shared" si="1"/>
        <v>GoldfarbQandAGF28261309</v>
      </c>
      <c r="B68" s="73" t="s">
        <v>864</v>
      </c>
      <c r="C68" s="5" t="s">
        <v>817</v>
      </c>
      <c r="D68" t="s">
        <v>847</v>
      </c>
      <c r="E68">
        <v>28</v>
      </c>
      <c r="F68">
        <v>2</v>
      </c>
      <c r="G68">
        <v>61</v>
      </c>
      <c r="H68">
        <v>309</v>
      </c>
      <c r="J68" s="73"/>
    </row>
    <row r="69" spans="1:10" hidden="1" x14ac:dyDescent="0.3">
      <c r="A69" s="73" t="str">
        <f t="shared" si="1"/>
        <v>GoldfarbQandAGF29262310</v>
      </c>
      <c r="B69" s="73" t="s">
        <v>864</v>
      </c>
      <c r="C69" s="5" t="s">
        <v>817</v>
      </c>
      <c r="D69" t="s">
        <v>847</v>
      </c>
      <c r="E69">
        <v>29</v>
      </c>
      <c r="F69">
        <v>2</v>
      </c>
      <c r="G69">
        <v>62</v>
      </c>
      <c r="H69">
        <v>310</v>
      </c>
      <c r="J69" s="73"/>
    </row>
    <row r="70" spans="1:10" hidden="1" x14ac:dyDescent="0.3">
      <c r="A70" s="73" t="str">
        <f t="shared" si="1"/>
        <v>GoldfarbQandAGF30264312</v>
      </c>
      <c r="B70" s="73" t="s">
        <v>864</v>
      </c>
      <c r="C70" s="5" t="s">
        <v>817</v>
      </c>
      <c r="D70" t="s">
        <v>847</v>
      </c>
      <c r="E70">
        <v>30</v>
      </c>
      <c r="F70">
        <v>2</v>
      </c>
      <c r="G70">
        <v>64</v>
      </c>
      <c r="H70">
        <v>312</v>
      </c>
      <c r="J70" s="73"/>
    </row>
    <row r="71" spans="1:10" hidden="1" x14ac:dyDescent="0.3">
      <c r="A71" s="73" t="str">
        <f t="shared" si="1"/>
        <v>GoldfarbQandAGF31265313</v>
      </c>
      <c r="B71" s="73" t="s">
        <v>864</v>
      </c>
      <c r="C71" s="5" t="s">
        <v>817</v>
      </c>
      <c r="D71" t="s">
        <v>847</v>
      </c>
      <c r="E71">
        <v>31</v>
      </c>
      <c r="F71">
        <v>2</v>
      </c>
      <c r="G71">
        <v>65</v>
      </c>
      <c r="H71">
        <v>313</v>
      </c>
      <c r="J71" s="73"/>
    </row>
    <row r="72" spans="1:10" hidden="1" x14ac:dyDescent="0.3">
      <c r="A72" s="73" t="str">
        <f t="shared" si="1"/>
        <v>GoldfarbQandAGF32266314</v>
      </c>
      <c r="B72" s="73" t="s">
        <v>864</v>
      </c>
      <c r="C72" s="5" t="s">
        <v>817</v>
      </c>
      <c r="D72" t="s">
        <v>847</v>
      </c>
      <c r="E72">
        <v>32</v>
      </c>
      <c r="F72">
        <v>2</v>
      </c>
      <c r="G72">
        <v>66</v>
      </c>
      <c r="H72">
        <v>314</v>
      </c>
      <c r="J72" s="73"/>
    </row>
    <row r="73" spans="1:10" hidden="1" x14ac:dyDescent="0.3">
      <c r="A73" s="73" t="str">
        <f t="shared" si="1"/>
        <v>GoldfarbQandAGF1268316</v>
      </c>
      <c r="B73" s="73" t="s">
        <v>864</v>
      </c>
      <c r="C73" s="5" t="s">
        <v>828</v>
      </c>
      <c r="D73" t="s">
        <v>847</v>
      </c>
      <c r="E73">
        <v>1</v>
      </c>
      <c r="F73">
        <v>2</v>
      </c>
      <c r="G73">
        <v>68</v>
      </c>
      <c r="H73">
        <v>316</v>
      </c>
      <c r="J73" s="73"/>
    </row>
    <row r="74" spans="1:10" hidden="1" x14ac:dyDescent="0.3">
      <c r="A74" s="73" t="str">
        <f t="shared" si="1"/>
        <v>GoldfarbQandAGF2269317</v>
      </c>
      <c r="B74" s="73" t="s">
        <v>864</v>
      </c>
      <c r="C74" s="5" t="s">
        <v>828</v>
      </c>
      <c r="D74" t="s">
        <v>847</v>
      </c>
      <c r="E74">
        <v>2</v>
      </c>
      <c r="F74">
        <v>2</v>
      </c>
      <c r="G74">
        <v>69</v>
      </c>
      <c r="H74">
        <v>317</v>
      </c>
      <c r="J74" s="73"/>
    </row>
    <row r="75" spans="1:10" hidden="1" x14ac:dyDescent="0.3">
      <c r="A75" s="73" t="str">
        <f t="shared" si="1"/>
        <v>GoldfarbQandAGF3270318</v>
      </c>
      <c r="B75" s="73" t="s">
        <v>864</v>
      </c>
      <c r="C75" s="5" t="s">
        <v>828</v>
      </c>
      <c r="D75" t="s">
        <v>847</v>
      </c>
      <c r="E75">
        <v>3</v>
      </c>
      <c r="F75">
        <v>2</v>
      </c>
      <c r="G75">
        <v>70</v>
      </c>
      <c r="H75">
        <v>318</v>
      </c>
      <c r="J75" s="73"/>
    </row>
    <row r="76" spans="1:10" hidden="1" x14ac:dyDescent="0.3">
      <c r="A76" s="73" t="str">
        <f t="shared" si="1"/>
        <v>GoldfarbQandAGF4271319</v>
      </c>
      <c r="B76" s="73" t="s">
        <v>864</v>
      </c>
      <c r="C76" s="5" t="s">
        <v>828</v>
      </c>
      <c r="D76" t="s">
        <v>847</v>
      </c>
      <c r="E76">
        <v>4</v>
      </c>
      <c r="F76">
        <v>2</v>
      </c>
      <c r="G76">
        <v>71</v>
      </c>
      <c r="H76">
        <v>319</v>
      </c>
      <c r="J76" s="73"/>
    </row>
    <row r="77" spans="1:10" hidden="1" x14ac:dyDescent="0.3">
      <c r="A77" s="73" t="str">
        <f t="shared" si="1"/>
        <v>GoldfarbQandAGF5272320</v>
      </c>
      <c r="B77" s="73" t="s">
        <v>864</v>
      </c>
      <c r="C77" s="5" t="s">
        <v>828</v>
      </c>
      <c r="D77" t="s">
        <v>847</v>
      </c>
      <c r="E77">
        <v>5</v>
      </c>
      <c r="F77">
        <v>2</v>
      </c>
      <c r="G77">
        <v>72</v>
      </c>
      <c r="H77">
        <v>320</v>
      </c>
      <c r="J77" s="73"/>
    </row>
    <row r="78" spans="1:10" hidden="1" x14ac:dyDescent="0.3">
      <c r="A78" s="73" t="str">
        <f t="shared" si="1"/>
        <v>GoldfarbQandAGF6273321</v>
      </c>
      <c r="B78" s="73" t="s">
        <v>864</v>
      </c>
      <c r="C78" s="5" t="s">
        <v>828</v>
      </c>
      <c r="D78" t="s">
        <v>847</v>
      </c>
      <c r="E78">
        <v>6</v>
      </c>
      <c r="F78">
        <v>2</v>
      </c>
      <c r="G78">
        <v>73</v>
      </c>
      <c r="H78">
        <v>321</v>
      </c>
      <c r="J78" s="73"/>
    </row>
    <row r="79" spans="1:10" hidden="1" x14ac:dyDescent="0.3">
      <c r="A79" s="73" t="str">
        <f t="shared" si="1"/>
        <v>GoldfarbQandAGF7274322</v>
      </c>
      <c r="B79" s="73" t="s">
        <v>864</v>
      </c>
      <c r="C79" s="5" t="s">
        <v>828</v>
      </c>
      <c r="D79" t="s">
        <v>847</v>
      </c>
      <c r="E79">
        <v>7</v>
      </c>
      <c r="F79">
        <v>2</v>
      </c>
      <c r="G79">
        <v>74</v>
      </c>
      <c r="H79">
        <v>322</v>
      </c>
      <c r="J79" s="73"/>
    </row>
    <row r="80" spans="1:10" hidden="1" x14ac:dyDescent="0.3">
      <c r="A80" s="73" t="str">
        <f t="shared" si="1"/>
        <v>GoldfarbQandAGF8275323</v>
      </c>
      <c r="B80" s="73" t="s">
        <v>864</v>
      </c>
      <c r="C80" s="5" t="s">
        <v>828</v>
      </c>
      <c r="D80" t="s">
        <v>847</v>
      </c>
      <c r="E80">
        <v>8</v>
      </c>
      <c r="F80">
        <v>2</v>
      </c>
      <c r="G80">
        <v>75</v>
      </c>
      <c r="H80">
        <v>323</v>
      </c>
      <c r="J80" s="73"/>
    </row>
    <row r="81" spans="1:10" hidden="1" x14ac:dyDescent="0.3">
      <c r="A81" s="73" t="str">
        <f t="shared" si="1"/>
        <v>GoldfarbQandAGF9276324</v>
      </c>
      <c r="B81" s="73" t="s">
        <v>864</v>
      </c>
      <c r="C81" s="5" t="s">
        <v>828</v>
      </c>
      <c r="D81" t="s">
        <v>847</v>
      </c>
      <c r="E81">
        <v>9</v>
      </c>
      <c r="F81">
        <v>2</v>
      </c>
      <c r="G81">
        <v>76</v>
      </c>
      <c r="H81">
        <v>324</v>
      </c>
      <c r="J81" s="73"/>
    </row>
    <row r="82" spans="1:10" hidden="1" x14ac:dyDescent="0.3">
      <c r="A82" s="73" t="str">
        <f t="shared" si="1"/>
        <v>GoldfarbQandAGF10277325</v>
      </c>
      <c r="B82" s="73" t="s">
        <v>864</v>
      </c>
      <c r="C82" s="5" t="s">
        <v>828</v>
      </c>
      <c r="D82" t="s">
        <v>847</v>
      </c>
      <c r="E82">
        <v>10</v>
      </c>
      <c r="F82">
        <v>2</v>
      </c>
      <c r="G82">
        <v>77</v>
      </c>
      <c r="H82">
        <v>325</v>
      </c>
      <c r="J82" s="73"/>
    </row>
    <row r="83" spans="1:10" hidden="1" x14ac:dyDescent="0.3">
      <c r="A83" s="73" t="str">
        <f t="shared" si="1"/>
        <v>GoldfarbQandAGF11279327</v>
      </c>
      <c r="B83" s="73" t="s">
        <v>864</v>
      </c>
      <c r="C83" s="5" t="s">
        <v>828</v>
      </c>
      <c r="D83" t="s">
        <v>847</v>
      </c>
      <c r="E83">
        <v>11</v>
      </c>
      <c r="F83">
        <v>2</v>
      </c>
      <c r="G83">
        <v>79</v>
      </c>
      <c r="H83">
        <v>327</v>
      </c>
      <c r="J83" s="73"/>
    </row>
    <row r="84" spans="1:10" hidden="1" x14ac:dyDescent="0.3">
      <c r="A84" s="73" t="str">
        <f t="shared" si="1"/>
        <v>GoldfarbQandAGF12280328</v>
      </c>
      <c r="B84" s="73" t="s">
        <v>864</v>
      </c>
      <c r="C84" s="5" t="s">
        <v>828</v>
      </c>
      <c r="D84" t="s">
        <v>847</v>
      </c>
      <c r="E84">
        <v>12</v>
      </c>
      <c r="F84">
        <v>2</v>
      </c>
      <c r="G84">
        <v>80</v>
      </c>
      <c r="H84">
        <v>328</v>
      </c>
      <c r="J84" s="73"/>
    </row>
    <row r="85" spans="1:10" hidden="1" x14ac:dyDescent="0.3">
      <c r="A85" s="73" t="str">
        <f t="shared" si="1"/>
        <v>GoldfarbQandAGF13282330</v>
      </c>
      <c r="B85" s="73" t="s">
        <v>864</v>
      </c>
      <c r="C85" s="5" t="s">
        <v>828</v>
      </c>
      <c r="D85" t="s">
        <v>847</v>
      </c>
      <c r="E85">
        <v>13</v>
      </c>
      <c r="F85">
        <v>2</v>
      </c>
      <c r="G85">
        <v>82</v>
      </c>
      <c r="H85">
        <v>330</v>
      </c>
      <c r="J85" s="73"/>
    </row>
    <row r="86" spans="1:10" hidden="1" x14ac:dyDescent="0.3">
      <c r="A86" s="73" t="str">
        <f t="shared" si="1"/>
        <v>GoldfarbQandAGF14283331</v>
      </c>
      <c r="B86" s="73" t="s">
        <v>864</v>
      </c>
      <c r="C86" s="5" t="s">
        <v>828</v>
      </c>
      <c r="D86" t="s">
        <v>847</v>
      </c>
      <c r="E86">
        <v>14</v>
      </c>
      <c r="F86">
        <v>2</v>
      </c>
      <c r="G86">
        <v>83</v>
      </c>
      <c r="H86">
        <v>331</v>
      </c>
      <c r="J86" s="73"/>
    </row>
    <row r="87" spans="1:10" hidden="1" x14ac:dyDescent="0.3">
      <c r="A87" s="73" t="str">
        <f t="shared" si="1"/>
        <v>GoldfarbQandAGF15284332</v>
      </c>
      <c r="B87" s="73" t="s">
        <v>864</v>
      </c>
      <c r="C87" s="5" t="s">
        <v>828</v>
      </c>
      <c r="D87" t="s">
        <v>847</v>
      </c>
      <c r="E87">
        <v>15</v>
      </c>
      <c r="F87">
        <v>2</v>
      </c>
      <c r="G87">
        <v>84</v>
      </c>
      <c r="H87">
        <v>332</v>
      </c>
      <c r="J87" s="73"/>
    </row>
    <row r="88" spans="1:10" hidden="1" x14ac:dyDescent="0.3">
      <c r="A88" s="73" t="str">
        <f t="shared" si="1"/>
        <v>GoldfarbQandAGF16286334</v>
      </c>
      <c r="B88" s="73" t="s">
        <v>864</v>
      </c>
      <c r="C88" s="5" t="s">
        <v>828</v>
      </c>
      <c r="D88" t="s">
        <v>847</v>
      </c>
      <c r="E88">
        <v>16</v>
      </c>
      <c r="F88">
        <v>2</v>
      </c>
      <c r="G88">
        <v>86</v>
      </c>
      <c r="H88">
        <v>334</v>
      </c>
      <c r="J88" s="73"/>
    </row>
    <row r="89" spans="1:10" hidden="1" x14ac:dyDescent="0.3">
      <c r="A89" s="73" t="str">
        <f t="shared" si="1"/>
        <v>GoldfarbQandAGF17287335</v>
      </c>
      <c r="B89" s="73" t="s">
        <v>864</v>
      </c>
      <c r="C89" s="5" t="s">
        <v>828</v>
      </c>
      <c r="D89" t="s">
        <v>847</v>
      </c>
      <c r="E89">
        <v>17</v>
      </c>
      <c r="F89">
        <v>2</v>
      </c>
      <c r="G89">
        <v>87</v>
      </c>
      <c r="H89">
        <v>335</v>
      </c>
      <c r="J89" s="73"/>
    </row>
    <row r="90" spans="1:10" hidden="1" x14ac:dyDescent="0.3">
      <c r="A90" s="73" t="str">
        <f t="shared" si="1"/>
        <v>GoldfarbQandAGF18288336</v>
      </c>
      <c r="B90" s="73" t="s">
        <v>864</v>
      </c>
      <c r="C90" s="5" t="s">
        <v>828</v>
      </c>
      <c r="D90" t="s">
        <v>847</v>
      </c>
      <c r="E90">
        <v>18</v>
      </c>
      <c r="F90">
        <v>2</v>
      </c>
      <c r="G90">
        <v>88</v>
      </c>
      <c r="H90">
        <v>336</v>
      </c>
      <c r="J90" s="73"/>
    </row>
    <row r="91" spans="1:10" hidden="1" x14ac:dyDescent="0.3">
      <c r="A91" s="73" t="str">
        <f t="shared" si="1"/>
        <v>GoldfarbQandAGF19289337</v>
      </c>
      <c r="B91" s="73" t="s">
        <v>864</v>
      </c>
      <c r="C91" s="5" t="s">
        <v>828</v>
      </c>
      <c r="D91" t="s">
        <v>847</v>
      </c>
      <c r="E91">
        <v>19</v>
      </c>
      <c r="F91">
        <v>2</v>
      </c>
      <c r="G91">
        <v>89</v>
      </c>
      <c r="H91">
        <v>337</v>
      </c>
      <c r="J91" s="73"/>
    </row>
    <row r="92" spans="1:10" hidden="1" x14ac:dyDescent="0.3">
      <c r="A92" s="73" t="str">
        <f t="shared" si="1"/>
        <v>GoldfarbQandAGF20290338</v>
      </c>
      <c r="B92" s="73" t="s">
        <v>864</v>
      </c>
      <c r="C92" s="5" t="s">
        <v>828</v>
      </c>
      <c r="D92" t="s">
        <v>847</v>
      </c>
      <c r="E92">
        <v>20</v>
      </c>
      <c r="F92">
        <v>2</v>
      </c>
      <c r="G92">
        <v>90</v>
      </c>
      <c r="H92">
        <v>338</v>
      </c>
      <c r="J92" s="73"/>
    </row>
    <row r="93" spans="1:10" hidden="1" x14ac:dyDescent="0.3">
      <c r="A93" s="73" t="str">
        <f t="shared" si="1"/>
        <v>GoldfarbQandAGF21292340</v>
      </c>
      <c r="B93" s="73" t="s">
        <v>864</v>
      </c>
      <c r="C93" s="5" t="s">
        <v>828</v>
      </c>
      <c r="D93" t="s">
        <v>847</v>
      </c>
      <c r="E93">
        <v>21</v>
      </c>
      <c r="F93">
        <v>2</v>
      </c>
      <c r="G93">
        <v>92</v>
      </c>
      <c r="H93">
        <v>340</v>
      </c>
      <c r="J93" s="73"/>
    </row>
    <row r="94" spans="1:10" hidden="1" x14ac:dyDescent="0.3">
      <c r="A94" s="73" t="str">
        <f t="shared" si="1"/>
        <v>GoldfarbQandAGF22293341</v>
      </c>
      <c r="B94" s="73" t="s">
        <v>864</v>
      </c>
      <c r="C94" s="5" t="s">
        <v>828</v>
      </c>
      <c r="D94" t="s">
        <v>847</v>
      </c>
      <c r="E94">
        <v>22</v>
      </c>
      <c r="F94">
        <v>2</v>
      </c>
      <c r="G94">
        <v>93</v>
      </c>
      <c r="H94">
        <v>341</v>
      </c>
      <c r="J94" s="73"/>
    </row>
    <row r="95" spans="1:10" hidden="1" x14ac:dyDescent="0.3">
      <c r="A95" s="73" t="str">
        <f t="shared" si="1"/>
        <v>GoldfarbQandAGF23295343</v>
      </c>
      <c r="B95" s="73" t="s">
        <v>864</v>
      </c>
      <c r="C95" s="5" t="s">
        <v>828</v>
      </c>
      <c r="D95" t="s">
        <v>847</v>
      </c>
      <c r="E95">
        <v>23</v>
      </c>
      <c r="F95">
        <v>2</v>
      </c>
      <c r="G95">
        <v>95</v>
      </c>
      <c r="H95">
        <v>343</v>
      </c>
      <c r="J95" s="73"/>
    </row>
    <row r="96" spans="1:10" hidden="1" x14ac:dyDescent="0.3">
      <c r="A96" s="73" t="str">
        <f t="shared" si="1"/>
        <v>GoldfarbQandAGF24296344</v>
      </c>
      <c r="B96" s="73" t="s">
        <v>864</v>
      </c>
      <c r="C96" s="5" t="s">
        <v>828</v>
      </c>
      <c r="D96" t="s">
        <v>847</v>
      </c>
      <c r="E96">
        <v>24</v>
      </c>
      <c r="F96">
        <v>2</v>
      </c>
      <c r="G96">
        <v>96</v>
      </c>
      <c r="H96">
        <v>344</v>
      </c>
      <c r="J96" s="73"/>
    </row>
    <row r="97" spans="1:10" hidden="1" x14ac:dyDescent="0.3">
      <c r="A97" s="73" t="str">
        <f t="shared" si="1"/>
        <v>GoldfarbQandAGF25297345</v>
      </c>
      <c r="B97" s="73" t="s">
        <v>864</v>
      </c>
      <c r="C97" s="5" t="s">
        <v>828</v>
      </c>
      <c r="D97" t="s">
        <v>847</v>
      </c>
      <c r="E97">
        <v>25</v>
      </c>
      <c r="F97">
        <v>2</v>
      </c>
      <c r="G97">
        <v>97</v>
      </c>
      <c r="H97">
        <v>345</v>
      </c>
      <c r="J97" s="73"/>
    </row>
    <row r="98" spans="1:10" hidden="1" x14ac:dyDescent="0.3">
      <c r="A98" s="73" t="str">
        <f t="shared" si="1"/>
        <v>GoldfarbQandAGF26298346</v>
      </c>
      <c r="B98" s="73" t="s">
        <v>864</v>
      </c>
      <c r="C98" s="5" t="s">
        <v>828</v>
      </c>
      <c r="D98" t="s">
        <v>847</v>
      </c>
      <c r="E98">
        <v>26</v>
      </c>
      <c r="F98">
        <v>2</v>
      </c>
      <c r="G98">
        <v>98</v>
      </c>
      <c r="H98">
        <v>346</v>
      </c>
      <c r="J98" s="73"/>
    </row>
    <row r="99" spans="1:10" hidden="1" x14ac:dyDescent="0.3">
      <c r="A99" s="73" t="str">
        <f t="shared" si="1"/>
        <v>GoldfarbQandAGF27299347</v>
      </c>
      <c r="B99" s="73" t="s">
        <v>864</v>
      </c>
      <c r="C99" s="5" t="s">
        <v>828</v>
      </c>
      <c r="D99" t="s">
        <v>847</v>
      </c>
      <c r="E99">
        <v>27</v>
      </c>
      <c r="F99">
        <v>2</v>
      </c>
      <c r="G99">
        <v>99</v>
      </c>
      <c r="H99">
        <v>347</v>
      </c>
      <c r="J99" s="73"/>
    </row>
    <row r="100" spans="1:10" hidden="1" x14ac:dyDescent="0.3">
      <c r="A100" s="73" t="str">
        <f t="shared" si="1"/>
        <v>GoldfarbQandAGF282100348</v>
      </c>
      <c r="B100" s="73" t="s">
        <v>864</v>
      </c>
      <c r="C100" s="5" t="s">
        <v>828</v>
      </c>
      <c r="D100" t="s">
        <v>847</v>
      </c>
      <c r="E100">
        <v>28</v>
      </c>
      <c r="F100">
        <v>2</v>
      </c>
      <c r="G100">
        <v>100</v>
      </c>
      <c r="H100">
        <v>348</v>
      </c>
      <c r="J100" s="73"/>
    </row>
    <row r="101" spans="1:10" hidden="1" x14ac:dyDescent="0.3">
      <c r="A101" s="73" t="str">
        <f t="shared" si="1"/>
        <v>GoldfarbQandAGF292101349</v>
      </c>
      <c r="B101" s="73" t="s">
        <v>864</v>
      </c>
      <c r="C101" s="5" t="s">
        <v>828</v>
      </c>
      <c r="D101" t="s">
        <v>847</v>
      </c>
      <c r="E101">
        <v>29</v>
      </c>
      <c r="F101">
        <v>2</v>
      </c>
      <c r="G101">
        <v>101</v>
      </c>
      <c r="H101">
        <v>349</v>
      </c>
      <c r="J101" s="73"/>
    </row>
    <row r="102" spans="1:10" hidden="1" x14ac:dyDescent="0.3">
      <c r="A102" s="73" t="str">
        <f t="shared" si="1"/>
        <v>GoldfarbQandAGF302102350</v>
      </c>
      <c r="B102" s="73" t="s">
        <v>864</v>
      </c>
      <c r="C102" s="5" t="s">
        <v>828</v>
      </c>
      <c r="D102" t="s">
        <v>847</v>
      </c>
      <c r="E102">
        <v>30</v>
      </c>
      <c r="F102">
        <v>2</v>
      </c>
      <c r="G102">
        <v>102</v>
      </c>
      <c r="H102">
        <v>350</v>
      </c>
      <c r="J102" s="73"/>
    </row>
    <row r="103" spans="1:10" hidden="1" x14ac:dyDescent="0.3">
      <c r="A103" s="73" t="str">
        <f t="shared" si="1"/>
        <v>GoldfarbQandAGF312104352</v>
      </c>
      <c r="B103" s="73" t="s">
        <v>864</v>
      </c>
      <c r="C103" s="5" t="s">
        <v>828</v>
      </c>
      <c r="D103" t="s">
        <v>847</v>
      </c>
      <c r="E103">
        <v>31</v>
      </c>
      <c r="F103">
        <v>2</v>
      </c>
      <c r="G103">
        <v>104</v>
      </c>
      <c r="H103">
        <v>352</v>
      </c>
      <c r="J103" s="73"/>
    </row>
    <row r="104" spans="1:10" hidden="1" x14ac:dyDescent="0.3">
      <c r="A104" s="73" t="str">
        <f t="shared" si="1"/>
        <v>GoldfarbQandAGF322106354</v>
      </c>
      <c r="B104" s="73" t="s">
        <v>864</v>
      </c>
      <c r="C104" s="5" t="s">
        <v>828</v>
      </c>
      <c r="D104" t="s">
        <v>847</v>
      </c>
      <c r="E104">
        <v>32</v>
      </c>
      <c r="F104">
        <v>2</v>
      </c>
      <c r="G104">
        <v>106</v>
      </c>
      <c r="H104">
        <v>354</v>
      </c>
      <c r="J104" s="73"/>
    </row>
    <row r="105" spans="1:10" hidden="1" x14ac:dyDescent="0.3">
      <c r="A105" s="73" t="str">
        <f t="shared" si="1"/>
        <v>GoldfarbQandAGF12108356</v>
      </c>
      <c r="B105" s="73" t="s">
        <v>864</v>
      </c>
      <c r="C105" s="5" t="s">
        <v>818</v>
      </c>
      <c r="D105" t="s">
        <v>847</v>
      </c>
      <c r="E105">
        <v>1</v>
      </c>
      <c r="F105">
        <v>2</v>
      </c>
      <c r="G105">
        <v>108</v>
      </c>
      <c r="H105">
        <v>356</v>
      </c>
      <c r="J105" s="73"/>
    </row>
    <row r="106" spans="1:10" hidden="1" x14ac:dyDescent="0.3">
      <c r="A106" s="73" t="str">
        <f t="shared" si="1"/>
        <v>GoldfarbQandAGF22109357</v>
      </c>
      <c r="B106" s="73" t="s">
        <v>864</v>
      </c>
      <c r="C106" s="5" t="s">
        <v>818</v>
      </c>
      <c r="D106" t="s">
        <v>847</v>
      </c>
      <c r="E106">
        <v>2</v>
      </c>
      <c r="F106">
        <v>2</v>
      </c>
      <c r="G106">
        <v>109</v>
      </c>
      <c r="H106">
        <v>357</v>
      </c>
      <c r="J106" s="73"/>
    </row>
    <row r="107" spans="1:10" hidden="1" x14ac:dyDescent="0.3">
      <c r="A107" s="73" t="str">
        <f t="shared" si="1"/>
        <v>GoldfarbQandAGF32110358</v>
      </c>
      <c r="B107" s="73" t="s">
        <v>864</v>
      </c>
      <c r="C107" s="5" t="s">
        <v>818</v>
      </c>
      <c r="D107" t="s">
        <v>847</v>
      </c>
      <c r="E107">
        <v>3</v>
      </c>
      <c r="F107">
        <v>2</v>
      </c>
      <c r="G107">
        <v>110</v>
      </c>
      <c r="H107">
        <v>358</v>
      </c>
      <c r="J107" s="73"/>
    </row>
    <row r="108" spans="1:10" hidden="1" x14ac:dyDescent="0.3">
      <c r="A108" s="73" t="str">
        <f t="shared" si="1"/>
        <v>GoldfarbQandAGF42113361</v>
      </c>
      <c r="B108" s="73" t="s">
        <v>864</v>
      </c>
      <c r="C108" s="5" t="s">
        <v>818</v>
      </c>
      <c r="D108" t="s">
        <v>847</v>
      </c>
      <c r="E108">
        <v>4</v>
      </c>
      <c r="F108">
        <v>2</v>
      </c>
      <c r="G108">
        <v>113</v>
      </c>
      <c r="H108">
        <v>361</v>
      </c>
      <c r="J108" s="73"/>
    </row>
    <row r="109" spans="1:10" hidden="1" x14ac:dyDescent="0.3">
      <c r="A109" s="73" t="str">
        <f t="shared" si="1"/>
        <v>GoldfarbQandAGF52116364</v>
      </c>
      <c r="B109" s="73" t="s">
        <v>864</v>
      </c>
      <c r="C109" s="5" t="s">
        <v>818</v>
      </c>
      <c r="D109" t="s">
        <v>847</v>
      </c>
      <c r="E109">
        <v>5</v>
      </c>
      <c r="F109">
        <v>2</v>
      </c>
      <c r="G109">
        <v>116</v>
      </c>
      <c r="H109">
        <v>364</v>
      </c>
      <c r="J109" s="73"/>
    </row>
    <row r="110" spans="1:10" hidden="1" x14ac:dyDescent="0.3">
      <c r="A110" s="73" t="str">
        <f t="shared" si="1"/>
        <v>GoldfarbQandAGF62117365</v>
      </c>
      <c r="B110" s="73" t="s">
        <v>864</v>
      </c>
      <c r="C110" s="5" t="s">
        <v>818</v>
      </c>
      <c r="D110" t="s">
        <v>847</v>
      </c>
      <c r="E110">
        <v>6</v>
      </c>
      <c r="F110">
        <v>2</v>
      </c>
      <c r="G110">
        <v>117</v>
      </c>
      <c r="H110">
        <v>365</v>
      </c>
      <c r="J110" s="73"/>
    </row>
    <row r="111" spans="1:10" hidden="1" x14ac:dyDescent="0.3">
      <c r="A111" s="73" t="str">
        <f t="shared" si="1"/>
        <v>GoldfarbQandAGF72118366</v>
      </c>
      <c r="B111" s="73" t="s">
        <v>864</v>
      </c>
      <c r="C111" s="5" t="s">
        <v>818</v>
      </c>
      <c r="D111" t="s">
        <v>847</v>
      </c>
      <c r="E111">
        <v>7</v>
      </c>
      <c r="F111">
        <v>2</v>
      </c>
      <c r="G111">
        <v>118</v>
      </c>
      <c r="H111">
        <v>366</v>
      </c>
      <c r="J111" s="73"/>
    </row>
    <row r="112" spans="1:10" hidden="1" x14ac:dyDescent="0.3">
      <c r="A112" s="73" t="str">
        <f t="shared" si="1"/>
        <v>GoldfarbQandAGF82119367</v>
      </c>
      <c r="B112" s="73" t="s">
        <v>864</v>
      </c>
      <c r="C112" s="5" t="s">
        <v>818</v>
      </c>
      <c r="D112" t="s">
        <v>847</v>
      </c>
      <c r="E112">
        <v>8</v>
      </c>
      <c r="F112">
        <v>2</v>
      </c>
      <c r="G112">
        <v>119</v>
      </c>
      <c r="H112">
        <v>367</v>
      </c>
      <c r="J112" s="73"/>
    </row>
    <row r="113" spans="1:10" hidden="1" x14ac:dyDescent="0.3">
      <c r="A113" s="73" t="str">
        <f t="shared" si="1"/>
        <v>GoldfarbQandAGF92121369</v>
      </c>
      <c r="B113" s="73" t="s">
        <v>864</v>
      </c>
      <c r="C113" s="5" t="s">
        <v>818</v>
      </c>
      <c r="D113" t="s">
        <v>847</v>
      </c>
      <c r="E113">
        <v>9</v>
      </c>
      <c r="F113">
        <v>2</v>
      </c>
      <c r="G113">
        <v>121</v>
      </c>
      <c r="H113">
        <v>369</v>
      </c>
      <c r="J113" s="73"/>
    </row>
    <row r="114" spans="1:10" hidden="1" x14ac:dyDescent="0.3">
      <c r="A114" s="73" t="str">
        <f t="shared" si="1"/>
        <v>GoldfarbQandAGF102122370</v>
      </c>
      <c r="B114" s="73" t="s">
        <v>864</v>
      </c>
      <c r="C114" s="5" t="s">
        <v>818</v>
      </c>
      <c r="D114" t="s">
        <v>847</v>
      </c>
      <c r="E114">
        <v>10</v>
      </c>
      <c r="F114">
        <v>2</v>
      </c>
      <c r="G114">
        <v>122</v>
      </c>
      <c r="H114">
        <v>370</v>
      </c>
      <c r="J114" s="73"/>
    </row>
    <row r="115" spans="1:10" hidden="1" x14ac:dyDescent="0.3">
      <c r="A115" s="73" t="str">
        <f t="shared" si="1"/>
        <v>GoldfarbQandAGF112123371</v>
      </c>
      <c r="B115" s="73" t="s">
        <v>864</v>
      </c>
      <c r="C115" s="5" t="s">
        <v>818</v>
      </c>
      <c r="D115" t="s">
        <v>847</v>
      </c>
      <c r="E115">
        <v>11</v>
      </c>
      <c r="F115">
        <v>2</v>
      </c>
      <c r="G115">
        <v>123</v>
      </c>
      <c r="H115">
        <v>371</v>
      </c>
      <c r="J115" s="73"/>
    </row>
    <row r="116" spans="1:10" hidden="1" x14ac:dyDescent="0.3">
      <c r="A116" s="73" t="str">
        <f t="shared" si="1"/>
        <v>GoldfarbQandAGF122124372</v>
      </c>
      <c r="B116" s="73" t="s">
        <v>864</v>
      </c>
      <c r="C116" s="5" t="s">
        <v>818</v>
      </c>
      <c r="D116" t="s">
        <v>847</v>
      </c>
      <c r="E116">
        <v>12</v>
      </c>
      <c r="F116">
        <v>2</v>
      </c>
      <c r="G116">
        <v>124</v>
      </c>
      <c r="H116">
        <v>372</v>
      </c>
      <c r="J116" s="73"/>
    </row>
    <row r="117" spans="1:10" hidden="1" x14ac:dyDescent="0.3">
      <c r="A117" s="73" t="str">
        <f t="shared" si="1"/>
        <v>GoldfarbQandAGF132125373</v>
      </c>
      <c r="B117" s="73" t="s">
        <v>864</v>
      </c>
      <c r="C117" s="5" t="s">
        <v>818</v>
      </c>
      <c r="D117" t="s">
        <v>847</v>
      </c>
      <c r="E117">
        <v>13</v>
      </c>
      <c r="F117">
        <v>2</v>
      </c>
      <c r="G117">
        <v>125</v>
      </c>
      <c r="H117">
        <v>373</v>
      </c>
      <c r="J117" s="73"/>
    </row>
    <row r="118" spans="1:10" hidden="1" x14ac:dyDescent="0.3">
      <c r="A118" s="73" t="str">
        <f t="shared" si="1"/>
        <v>GoldfarbQandAGF142126374</v>
      </c>
      <c r="B118" s="73" t="s">
        <v>864</v>
      </c>
      <c r="C118" s="5" t="s">
        <v>818</v>
      </c>
      <c r="D118" t="s">
        <v>847</v>
      </c>
      <c r="E118">
        <v>14</v>
      </c>
      <c r="F118">
        <v>2</v>
      </c>
      <c r="G118">
        <v>126</v>
      </c>
      <c r="H118">
        <v>374</v>
      </c>
      <c r="J118" s="73"/>
    </row>
    <row r="119" spans="1:10" hidden="1" x14ac:dyDescent="0.3">
      <c r="A119" s="73" t="str">
        <f t="shared" si="1"/>
        <v>GoldfarbQandAGF152127375</v>
      </c>
      <c r="B119" s="73" t="s">
        <v>864</v>
      </c>
      <c r="C119" s="5" t="s">
        <v>818</v>
      </c>
      <c r="D119" t="s">
        <v>847</v>
      </c>
      <c r="E119">
        <v>15</v>
      </c>
      <c r="F119">
        <v>2</v>
      </c>
      <c r="G119">
        <v>127</v>
      </c>
      <c r="H119">
        <v>375</v>
      </c>
      <c r="J119" s="73"/>
    </row>
    <row r="120" spans="1:10" hidden="1" x14ac:dyDescent="0.3">
      <c r="A120" s="73" t="str">
        <f t="shared" si="1"/>
        <v>GoldfarbQandAGF162128376</v>
      </c>
      <c r="B120" s="73" t="s">
        <v>864</v>
      </c>
      <c r="C120" s="5" t="s">
        <v>818</v>
      </c>
      <c r="D120" t="s">
        <v>847</v>
      </c>
      <c r="E120">
        <v>16</v>
      </c>
      <c r="F120">
        <v>2</v>
      </c>
      <c r="G120">
        <v>128</v>
      </c>
      <c r="H120">
        <v>376</v>
      </c>
      <c r="J120" s="73"/>
    </row>
    <row r="121" spans="1:10" hidden="1" x14ac:dyDescent="0.3">
      <c r="A121" s="73" t="str">
        <f t="shared" si="1"/>
        <v>GoldfarbQandAGF172129377</v>
      </c>
      <c r="B121" s="73" t="s">
        <v>864</v>
      </c>
      <c r="C121" s="5" t="s">
        <v>818</v>
      </c>
      <c r="D121" t="s">
        <v>847</v>
      </c>
      <c r="E121">
        <v>17</v>
      </c>
      <c r="F121">
        <v>2</v>
      </c>
      <c r="G121">
        <v>129</v>
      </c>
      <c r="H121">
        <v>377</v>
      </c>
      <c r="J121" s="73"/>
    </row>
    <row r="122" spans="1:10" hidden="1" x14ac:dyDescent="0.3">
      <c r="A122" s="73" t="str">
        <f t="shared" si="1"/>
        <v>GoldfarbQandAGF182131379</v>
      </c>
      <c r="B122" s="73" t="s">
        <v>864</v>
      </c>
      <c r="C122" s="5" t="s">
        <v>818</v>
      </c>
      <c r="D122" t="s">
        <v>847</v>
      </c>
      <c r="E122">
        <v>18</v>
      </c>
      <c r="F122">
        <v>2</v>
      </c>
      <c r="G122">
        <v>131</v>
      </c>
      <c r="H122">
        <v>379</v>
      </c>
      <c r="J122" s="73"/>
    </row>
    <row r="123" spans="1:10" hidden="1" x14ac:dyDescent="0.3">
      <c r="A123" s="73" t="str">
        <f t="shared" si="1"/>
        <v>GoldfarbQandAGF192133381</v>
      </c>
      <c r="B123" s="73" t="s">
        <v>864</v>
      </c>
      <c r="C123" s="5" t="s">
        <v>818</v>
      </c>
      <c r="D123" t="s">
        <v>847</v>
      </c>
      <c r="E123">
        <v>19</v>
      </c>
      <c r="F123">
        <v>2</v>
      </c>
      <c r="G123">
        <v>133</v>
      </c>
      <c r="H123">
        <v>381</v>
      </c>
      <c r="J123" s="73"/>
    </row>
    <row r="124" spans="1:10" hidden="1" x14ac:dyDescent="0.3">
      <c r="A124" s="73" t="str">
        <f t="shared" si="1"/>
        <v>GoldfarbQandAGF202135383</v>
      </c>
      <c r="B124" s="73" t="s">
        <v>864</v>
      </c>
      <c r="C124" s="5" t="s">
        <v>818</v>
      </c>
      <c r="D124" t="s">
        <v>847</v>
      </c>
      <c r="E124">
        <v>20</v>
      </c>
      <c r="F124">
        <v>2</v>
      </c>
      <c r="G124">
        <v>135</v>
      </c>
      <c r="H124">
        <v>383</v>
      </c>
      <c r="J124" s="73"/>
    </row>
    <row r="125" spans="1:10" hidden="1" x14ac:dyDescent="0.3">
      <c r="A125" s="73" t="str">
        <f t="shared" si="1"/>
        <v>GoldfarbQandAGF212136384</v>
      </c>
      <c r="B125" s="73" t="s">
        <v>864</v>
      </c>
      <c r="C125" s="5" t="s">
        <v>818</v>
      </c>
      <c r="D125" t="s">
        <v>847</v>
      </c>
      <c r="E125">
        <v>21</v>
      </c>
      <c r="F125">
        <v>2</v>
      </c>
      <c r="G125">
        <v>136</v>
      </c>
      <c r="H125">
        <v>384</v>
      </c>
      <c r="J125" s="73"/>
    </row>
    <row r="126" spans="1:10" hidden="1" x14ac:dyDescent="0.3">
      <c r="A126" s="73" t="str">
        <f t="shared" si="1"/>
        <v>GoldfarbQandAGF222137385</v>
      </c>
      <c r="B126" s="73" t="s">
        <v>864</v>
      </c>
      <c r="C126" s="5" t="s">
        <v>818</v>
      </c>
      <c r="D126" t="s">
        <v>847</v>
      </c>
      <c r="E126">
        <v>22</v>
      </c>
      <c r="F126">
        <v>2</v>
      </c>
      <c r="G126">
        <v>137</v>
      </c>
      <c r="H126">
        <v>385</v>
      </c>
      <c r="J126" s="73"/>
    </row>
    <row r="127" spans="1:10" hidden="1" x14ac:dyDescent="0.3">
      <c r="A127" s="73" t="str">
        <f t="shared" si="1"/>
        <v>GoldfarbQandAGF232138386</v>
      </c>
      <c r="B127" s="73" t="s">
        <v>864</v>
      </c>
      <c r="C127" s="5" t="s">
        <v>818</v>
      </c>
      <c r="D127" t="s">
        <v>847</v>
      </c>
      <c r="E127">
        <v>23</v>
      </c>
      <c r="F127">
        <v>2</v>
      </c>
      <c r="G127">
        <v>138</v>
      </c>
      <c r="H127">
        <v>386</v>
      </c>
      <c r="J127" s="73"/>
    </row>
    <row r="128" spans="1:10" hidden="1" x14ac:dyDescent="0.3">
      <c r="A128" s="73" t="str">
        <f t="shared" si="1"/>
        <v>GoldfarbQandAGF242139387</v>
      </c>
      <c r="B128" s="73" t="s">
        <v>864</v>
      </c>
      <c r="C128" s="5" t="s">
        <v>818</v>
      </c>
      <c r="D128" t="s">
        <v>847</v>
      </c>
      <c r="E128">
        <v>24</v>
      </c>
      <c r="F128">
        <v>2</v>
      </c>
      <c r="G128">
        <v>139</v>
      </c>
      <c r="H128">
        <v>387</v>
      </c>
      <c r="J128" s="73"/>
    </row>
    <row r="129" spans="1:10" hidden="1" x14ac:dyDescent="0.3">
      <c r="A129" s="73" t="str">
        <f t="shared" si="1"/>
        <v>GoldfarbQandAGF252140388</v>
      </c>
      <c r="B129" s="73" t="s">
        <v>864</v>
      </c>
      <c r="C129" s="5" t="s">
        <v>818</v>
      </c>
      <c r="D129" t="s">
        <v>847</v>
      </c>
      <c r="E129">
        <v>25</v>
      </c>
      <c r="F129">
        <v>2</v>
      </c>
      <c r="G129">
        <v>140</v>
      </c>
      <c r="H129">
        <v>388</v>
      </c>
      <c r="J129" s="73"/>
    </row>
    <row r="130" spans="1:10" hidden="1" x14ac:dyDescent="0.3">
      <c r="A130" s="73" t="str">
        <f t="shared" si="1"/>
        <v>GoldfarbQandAGF262141389</v>
      </c>
      <c r="B130" s="73" t="s">
        <v>864</v>
      </c>
      <c r="C130" s="5" t="s">
        <v>818</v>
      </c>
      <c r="D130" t="s">
        <v>847</v>
      </c>
      <c r="E130">
        <v>26</v>
      </c>
      <c r="F130">
        <v>2</v>
      </c>
      <c r="G130">
        <v>141</v>
      </c>
      <c r="H130">
        <v>389</v>
      </c>
      <c r="J130" s="73"/>
    </row>
    <row r="131" spans="1:10" hidden="1" x14ac:dyDescent="0.3">
      <c r="A131" s="73" t="str">
        <f t="shared" ref="A131:A194" si="2">B131&amp;D131&amp;E131&amp;F131&amp;G131&amp;H131</f>
        <v>GoldfarbQandAGF272142390</v>
      </c>
      <c r="B131" s="73" t="s">
        <v>864</v>
      </c>
      <c r="C131" s="5" t="s">
        <v>818</v>
      </c>
      <c r="D131" t="s">
        <v>847</v>
      </c>
      <c r="E131">
        <v>27</v>
      </c>
      <c r="F131">
        <v>2</v>
      </c>
      <c r="G131">
        <v>142</v>
      </c>
      <c r="H131">
        <v>390</v>
      </c>
      <c r="J131" s="73"/>
    </row>
    <row r="132" spans="1:10" hidden="1" x14ac:dyDescent="0.3">
      <c r="A132" s="73" t="str">
        <f t="shared" si="2"/>
        <v>GoldfarbQandAGF12144392</v>
      </c>
      <c r="B132" s="73" t="s">
        <v>864</v>
      </c>
      <c r="C132" s="5" t="s">
        <v>818</v>
      </c>
      <c r="D132" t="s">
        <v>847</v>
      </c>
      <c r="E132">
        <v>1</v>
      </c>
      <c r="F132">
        <v>2</v>
      </c>
      <c r="G132">
        <v>144</v>
      </c>
      <c r="H132">
        <v>392</v>
      </c>
      <c r="J132" s="73"/>
    </row>
    <row r="133" spans="1:10" hidden="1" x14ac:dyDescent="0.3">
      <c r="A133" s="73" t="str">
        <f t="shared" si="2"/>
        <v>GoldfarbQandAGF22145393</v>
      </c>
      <c r="B133" s="73" t="s">
        <v>864</v>
      </c>
      <c r="C133" s="5" t="s">
        <v>818</v>
      </c>
      <c r="D133" t="s">
        <v>847</v>
      </c>
      <c r="E133">
        <v>2</v>
      </c>
      <c r="F133">
        <v>2</v>
      </c>
      <c r="G133">
        <v>145</v>
      </c>
      <c r="H133">
        <v>393</v>
      </c>
      <c r="J133" s="73"/>
    </row>
    <row r="134" spans="1:10" hidden="1" x14ac:dyDescent="0.3">
      <c r="A134" s="73" t="str">
        <f t="shared" si="2"/>
        <v>GoldfarbQandAGF32146394</v>
      </c>
      <c r="B134" s="73" t="s">
        <v>864</v>
      </c>
      <c r="C134" s="5" t="s">
        <v>818</v>
      </c>
      <c r="D134" t="s">
        <v>847</v>
      </c>
      <c r="E134">
        <v>3</v>
      </c>
      <c r="F134">
        <v>2</v>
      </c>
      <c r="G134">
        <v>146</v>
      </c>
      <c r="H134">
        <v>394</v>
      </c>
      <c r="J134" s="73"/>
    </row>
    <row r="135" spans="1:10" hidden="1" x14ac:dyDescent="0.3">
      <c r="A135" s="73" t="str">
        <f t="shared" si="2"/>
        <v>GoldfarbQandAGF42147395</v>
      </c>
      <c r="B135" s="73" t="s">
        <v>864</v>
      </c>
      <c r="C135" s="5" t="s">
        <v>818</v>
      </c>
      <c r="D135" t="s">
        <v>847</v>
      </c>
      <c r="E135">
        <v>4</v>
      </c>
      <c r="F135">
        <v>2</v>
      </c>
      <c r="G135">
        <v>147</v>
      </c>
      <c r="H135">
        <v>395</v>
      </c>
      <c r="J135" s="73"/>
    </row>
    <row r="136" spans="1:10" hidden="1" x14ac:dyDescent="0.3">
      <c r="A136" s="73" t="str">
        <f t="shared" si="2"/>
        <v>GoldfarbQandAGF52148396</v>
      </c>
      <c r="B136" s="73" t="s">
        <v>864</v>
      </c>
      <c r="C136" s="5" t="s">
        <v>818</v>
      </c>
      <c r="D136" t="s">
        <v>847</v>
      </c>
      <c r="E136">
        <v>5</v>
      </c>
      <c r="F136">
        <v>2</v>
      </c>
      <c r="G136">
        <v>148</v>
      </c>
      <c r="H136">
        <v>396</v>
      </c>
      <c r="J136" s="73"/>
    </row>
    <row r="137" spans="1:10" hidden="1" x14ac:dyDescent="0.3">
      <c r="A137" s="73" t="str">
        <f t="shared" si="2"/>
        <v>GoldfarbQandAGF62149397</v>
      </c>
      <c r="B137" s="73" t="s">
        <v>864</v>
      </c>
      <c r="C137" s="5" t="s">
        <v>818</v>
      </c>
      <c r="D137" t="s">
        <v>847</v>
      </c>
      <c r="E137">
        <v>6</v>
      </c>
      <c r="F137">
        <v>2</v>
      </c>
      <c r="G137">
        <v>149</v>
      </c>
      <c r="H137">
        <v>397</v>
      </c>
      <c r="J137" s="73"/>
    </row>
    <row r="138" spans="1:10" hidden="1" x14ac:dyDescent="0.3">
      <c r="A138" s="73" t="str">
        <f t="shared" si="2"/>
        <v>GoldfarbQandAGF72150398</v>
      </c>
      <c r="B138" s="73" t="s">
        <v>864</v>
      </c>
      <c r="C138" s="5" t="s">
        <v>818</v>
      </c>
      <c r="D138" t="s">
        <v>847</v>
      </c>
      <c r="E138">
        <v>7</v>
      </c>
      <c r="F138">
        <v>2</v>
      </c>
      <c r="G138">
        <v>150</v>
      </c>
      <c r="H138">
        <v>398</v>
      </c>
      <c r="J138" s="73"/>
    </row>
    <row r="139" spans="1:10" hidden="1" x14ac:dyDescent="0.3">
      <c r="A139" s="73" t="str">
        <f t="shared" si="2"/>
        <v>GoldfarbQandAGF82151399</v>
      </c>
      <c r="B139" s="73" t="s">
        <v>864</v>
      </c>
      <c r="C139" s="5" t="s">
        <v>818</v>
      </c>
      <c r="D139" t="s">
        <v>847</v>
      </c>
      <c r="E139">
        <v>8</v>
      </c>
      <c r="F139">
        <v>2</v>
      </c>
      <c r="G139">
        <v>151</v>
      </c>
      <c r="H139">
        <v>399</v>
      </c>
      <c r="J139" s="73"/>
    </row>
    <row r="140" spans="1:10" hidden="1" x14ac:dyDescent="0.3">
      <c r="A140" s="73" t="str">
        <f t="shared" si="2"/>
        <v>GoldfarbQandAGF92152400</v>
      </c>
      <c r="B140" s="73" t="s">
        <v>864</v>
      </c>
      <c r="C140" s="5" t="s">
        <v>818</v>
      </c>
      <c r="D140" t="s">
        <v>847</v>
      </c>
      <c r="E140">
        <v>9</v>
      </c>
      <c r="F140">
        <v>2</v>
      </c>
      <c r="G140">
        <v>152</v>
      </c>
      <c r="H140">
        <v>400</v>
      </c>
      <c r="J140" s="73"/>
    </row>
    <row r="141" spans="1:10" hidden="1" x14ac:dyDescent="0.3">
      <c r="A141" s="73" t="str">
        <f t="shared" si="2"/>
        <v>GoldfarbQandAGF102153401</v>
      </c>
      <c r="B141" s="73" t="s">
        <v>864</v>
      </c>
      <c r="C141" s="5" t="s">
        <v>818</v>
      </c>
      <c r="D141" t="s">
        <v>847</v>
      </c>
      <c r="E141">
        <v>10</v>
      </c>
      <c r="F141">
        <v>2</v>
      </c>
      <c r="G141">
        <v>153</v>
      </c>
      <c r="H141">
        <v>401</v>
      </c>
      <c r="J141" s="73"/>
    </row>
    <row r="142" spans="1:10" hidden="1" x14ac:dyDescent="0.3">
      <c r="A142" s="73" t="str">
        <f t="shared" si="2"/>
        <v>GoldfarbQandAGF112154402</v>
      </c>
      <c r="B142" s="73" t="s">
        <v>864</v>
      </c>
      <c r="C142" s="5" t="s">
        <v>818</v>
      </c>
      <c r="D142" t="s">
        <v>847</v>
      </c>
      <c r="E142">
        <v>11</v>
      </c>
      <c r="F142">
        <v>2</v>
      </c>
      <c r="G142">
        <v>154</v>
      </c>
      <c r="H142">
        <v>402</v>
      </c>
      <c r="J142" s="73"/>
    </row>
    <row r="143" spans="1:10" hidden="1" x14ac:dyDescent="0.3">
      <c r="A143" s="73" t="str">
        <f t="shared" si="2"/>
        <v>GoldfarbQandAGF122155403</v>
      </c>
      <c r="B143" s="73" t="s">
        <v>864</v>
      </c>
      <c r="C143" s="5" t="s">
        <v>818</v>
      </c>
      <c r="D143" t="s">
        <v>847</v>
      </c>
      <c r="E143">
        <v>12</v>
      </c>
      <c r="F143">
        <v>2</v>
      </c>
      <c r="G143">
        <v>155</v>
      </c>
      <c r="H143">
        <v>403</v>
      </c>
      <c r="J143" s="73"/>
    </row>
    <row r="144" spans="1:10" hidden="1" x14ac:dyDescent="0.3">
      <c r="A144" s="73" t="str">
        <f t="shared" si="2"/>
        <v>GoldfarbQandAGF132157405</v>
      </c>
      <c r="B144" s="73" t="s">
        <v>864</v>
      </c>
      <c r="C144" s="5" t="s">
        <v>818</v>
      </c>
      <c r="D144" t="s">
        <v>847</v>
      </c>
      <c r="E144">
        <v>13</v>
      </c>
      <c r="F144">
        <v>2</v>
      </c>
      <c r="G144">
        <v>157</v>
      </c>
      <c r="H144">
        <v>405</v>
      </c>
      <c r="J144" s="73"/>
    </row>
    <row r="145" spans="1:10" hidden="1" x14ac:dyDescent="0.3">
      <c r="A145" s="73" t="str">
        <f t="shared" si="2"/>
        <v>GoldfarbQandAGF142158406</v>
      </c>
      <c r="B145" s="73" t="s">
        <v>864</v>
      </c>
      <c r="C145" s="5" t="s">
        <v>818</v>
      </c>
      <c r="D145" t="s">
        <v>847</v>
      </c>
      <c r="E145">
        <v>14</v>
      </c>
      <c r="F145">
        <v>2</v>
      </c>
      <c r="G145">
        <v>158</v>
      </c>
      <c r="H145">
        <v>406</v>
      </c>
      <c r="J145" s="73"/>
    </row>
    <row r="146" spans="1:10" hidden="1" x14ac:dyDescent="0.3">
      <c r="A146" s="73" t="str">
        <f t="shared" si="2"/>
        <v>GoldfarbQandAGF152160408</v>
      </c>
      <c r="B146" s="73" t="s">
        <v>864</v>
      </c>
      <c r="C146" s="5" t="s">
        <v>818</v>
      </c>
      <c r="D146" t="s">
        <v>847</v>
      </c>
      <c r="E146">
        <v>15</v>
      </c>
      <c r="F146">
        <v>2</v>
      </c>
      <c r="G146">
        <v>160</v>
      </c>
      <c r="H146">
        <v>408</v>
      </c>
      <c r="J146" s="73"/>
    </row>
    <row r="147" spans="1:10" hidden="1" x14ac:dyDescent="0.3">
      <c r="A147" s="73" t="str">
        <f t="shared" si="2"/>
        <v>GoldfarbQandAGF162162410</v>
      </c>
      <c r="B147" s="73" t="s">
        <v>864</v>
      </c>
      <c r="C147" s="5" t="s">
        <v>818</v>
      </c>
      <c r="D147" t="s">
        <v>847</v>
      </c>
      <c r="E147">
        <v>16</v>
      </c>
      <c r="F147">
        <v>2</v>
      </c>
      <c r="G147">
        <v>162</v>
      </c>
      <c r="H147">
        <v>410</v>
      </c>
      <c r="J147" s="73"/>
    </row>
    <row r="148" spans="1:10" hidden="1" x14ac:dyDescent="0.3">
      <c r="A148" s="73" t="str">
        <f t="shared" si="2"/>
        <v>GoldfarbQandAGF172163411</v>
      </c>
      <c r="B148" s="73" t="s">
        <v>864</v>
      </c>
      <c r="C148" s="5" t="s">
        <v>818</v>
      </c>
      <c r="D148" t="s">
        <v>847</v>
      </c>
      <c r="E148">
        <v>17</v>
      </c>
      <c r="F148">
        <v>2</v>
      </c>
      <c r="G148">
        <v>163</v>
      </c>
      <c r="H148">
        <v>411</v>
      </c>
      <c r="J148" s="73"/>
    </row>
    <row r="149" spans="1:10" hidden="1" x14ac:dyDescent="0.3">
      <c r="A149" s="73" t="str">
        <f t="shared" si="2"/>
        <v>GoldfarbQandAGF182165413</v>
      </c>
      <c r="B149" s="73" t="s">
        <v>864</v>
      </c>
      <c r="C149" s="5" t="s">
        <v>818</v>
      </c>
      <c r="D149" t="s">
        <v>847</v>
      </c>
      <c r="E149">
        <v>18</v>
      </c>
      <c r="F149">
        <v>2</v>
      </c>
      <c r="G149">
        <v>165</v>
      </c>
      <c r="H149">
        <v>413</v>
      </c>
      <c r="J149" s="73"/>
    </row>
    <row r="150" spans="1:10" hidden="1" x14ac:dyDescent="0.3">
      <c r="A150" s="73" t="str">
        <f t="shared" si="2"/>
        <v>GoldfarbQandAGF192166414</v>
      </c>
      <c r="B150" s="73" t="s">
        <v>864</v>
      </c>
      <c r="C150" s="5" t="s">
        <v>818</v>
      </c>
      <c r="D150" t="s">
        <v>847</v>
      </c>
      <c r="E150">
        <v>19</v>
      </c>
      <c r="F150">
        <v>2</v>
      </c>
      <c r="G150">
        <v>166</v>
      </c>
      <c r="H150">
        <v>414</v>
      </c>
      <c r="J150" s="73"/>
    </row>
    <row r="151" spans="1:10" hidden="1" x14ac:dyDescent="0.3">
      <c r="A151" s="73" t="str">
        <f t="shared" si="2"/>
        <v>GoldfarbQandAGF202168416</v>
      </c>
      <c r="B151" s="73" t="s">
        <v>864</v>
      </c>
      <c r="C151" s="5" t="s">
        <v>818</v>
      </c>
      <c r="D151" t="s">
        <v>847</v>
      </c>
      <c r="E151">
        <v>20</v>
      </c>
      <c r="F151">
        <v>2</v>
      </c>
      <c r="G151">
        <v>168</v>
      </c>
      <c r="H151">
        <v>416</v>
      </c>
      <c r="J151" s="73"/>
    </row>
    <row r="152" spans="1:10" hidden="1" x14ac:dyDescent="0.3">
      <c r="A152" s="73" t="str">
        <f t="shared" si="2"/>
        <v>GoldfarbQandAGF212169417</v>
      </c>
      <c r="B152" s="73" t="s">
        <v>864</v>
      </c>
      <c r="C152" s="5" t="s">
        <v>818</v>
      </c>
      <c r="D152" t="s">
        <v>847</v>
      </c>
      <c r="E152">
        <v>21</v>
      </c>
      <c r="F152">
        <v>2</v>
      </c>
      <c r="G152">
        <v>169</v>
      </c>
      <c r="H152">
        <v>417</v>
      </c>
      <c r="J152" s="73"/>
    </row>
    <row r="153" spans="1:10" hidden="1" x14ac:dyDescent="0.3">
      <c r="A153" s="73" t="str">
        <f t="shared" si="2"/>
        <v>GoldfarbQandAGF222170418</v>
      </c>
      <c r="B153" s="73" t="s">
        <v>864</v>
      </c>
      <c r="C153" s="5" t="s">
        <v>818</v>
      </c>
      <c r="D153" t="s">
        <v>847</v>
      </c>
      <c r="E153">
        <v>22</v>
      </c>
      <c r="F153">
        <v>2</v>
      </c>
      <c r="G153">
        <v>170</v>
      </c>
      <c r="H153">
        <v>418</v>
      </c>
      <c r="J153" s="73"/>
    </row>
    <row r="154" spans="1:10" hidden="1" x14ac:dyDescent="0.3">
      <c r="A154" s="73" t="str">
        <f t="shared" si="2"/>
        <v>GoldfarbQandAGF232171419</v>
      </c>
      <c r="B154" s="73" t="s">
        <v>864</v>
      </c>
      <c r="C154" s="5" t="s">
        <v>818</v>
      </c>
      <c r="D154" t="s">
        <v>847</v>
      </c>
      <c r="E154">
        <v>23</v>
      </c>
      <c r="F154">
        <v>2</v>
      </c>
      <c r="G154">
        <v>171</v>
      </c>
      <c r="H154">
        <v>419</v>
      </c>
      <c r="J154" s="73"/>
    </row>
    <row r="155" spans="1:10" hidden="1" x14ac:dyDescent="0.3">
      <c r="A155" s="73" t="str">
        <f t="shared" si="2"/>
        <v>GoldfarbQandAGF242172420</v>
      </c>
      <c r="B155" s="73" t="s">
        <v>864</v>
      </c>
      <c r="C155" s="5" t="s">
        <v>818</v>
      </c>
      <c r="D155" t="s">
        <v>847</v>
      </c>
      <c r="E155">
        <v>24</v>
      </c>
      <c r="F155">
        <v>2</v>
      </c>
      <c r="G155">
        <v>172</v>
      </c>
      <c r="H155">
        <v>420</v>
      </c>
      <c r="J155" s="73"/>
    </row>
    <row r="156" spans="1:10" hidden="1" x14ac:dyDescent="0.3">
      <c r="A156" s="73" t="str">
        <f t="shared" si="2"/>
        <v>GoldfarbQandAGF252173421</v>
      </c>
      <c r="B156" s="73" t="s">
        <v>864</v>
      </c>
      <c r="C156" s="5" t="s">
        <v>818</v>
      </c>
      <c r="D156" t="s">
        <v>847</v>
      </c>
      <c r="E156">
        <v>25</v>
      </c>
      <c r="F156">
        <v>2</v>
      </c>
      <c r="G156">
        <v>173</v>
      </c>
      <c r="H156">
        <v>421</v>
      </c>
      <c r="J156" s="73"/>
    </row>
    <row r="157" spans="1:10" hidden="1" x14ac:dyDescent="0.3">
      <c r="A157" s="73" t="str">
        <f t="shared" si="2"/>
        <v>GoldfarbQandAGF262175423</v>
      </c>
      <c r="B157" s="73" t="s">
        <v>864</v>
      </c>
      <c r="C157" s="5" t="s">
        <v>818</v>
      </c>
      <c r="D157" t="s">
        <v>847</v>
      </c>
      <c r="E157">
        <v>26</v>
      </c>
      <c r="F157">
        <v>2</v>
      </c>
      <c r="G157">
        <v>175</v>
      </c>
      <c r="H157">
        <v>423</v>
      </c>
      <c r="J157" s="73"/>
    </row>
    <row r="158" spans="1:10" hidden="1" x14ac:dyDescent="0.3">
      <c r="A158" s="73" t="str">
        <f t="shared" si="2"/>
        <v>GoldfarbQandAGF272176424</v>
      </c>
      <c r="B158" s="73" t="s">
        <v>864</v>
      </c>
      <c r="C158" s="5" t="s">
        <v>818</v>
      </c>
      <c r="D158" t="s">
        <v>847</v>
      </c>
      <c r="E158">
        <v>27</v>
      </c>
      <c r="F158">
        <v>2</v>
      </c>
      <c r="G158">
        <v>176</v>
      </c>
      <c r="H158">
        <v>424</v>
      </c>
      <c r="J158" s="73"/>
    </row>
    <row r="159" spans="1:10" hidden="1" x14ac:dyDescent="0.3">
      <c r="A159" s="73" t="str">
        <f t="shared" si="2"/>
        <v>GoldfarbQandAGF282178426</v>
      </c>
      <c r="B159" s="73" t="s">
        <v>864</v>
      </c>
      <c r="C159" s="5" t="s">
        <v>818</v>
      </c>
      <c r="D159" t="s">
        <v>847</v>
      </c>
      <c r="E159">
        <v>28</v>
      </c>
      <c r="F159">
        <v>2</v>
      </c>
      <c r="G159">
        <v>178</v>
      </c>
      <c r="H159">
        <v>426</v>
      </c>
      <c r="J159" s="73"/>
    </row>
    <row r="160" spans="1:10" hidden="1" x14ac:dyDescent="0.3">
      <c r="A160" s="73" t="str">
        <f t="shared" si="2"/>
        <v>GoldfarbQandAGF292179427</v>
      </c>
      <c r="B160" s="73" t="s">
        <v>864</v>
      </c>
      <c r="C160" s="5" t="s">
        <v>818</v>
      </c>
      <c r="D160" t="s">
        <v>847</v>
      </c>
      <c r="E160">
        <v>29</v>
      </c>
      <c r="F160">
        <v>2</v>
      </c>
      <c r="G160">
        <v>179</v>
      </c>
      <c r="H160">
        <v>427</v>
      </c>
      <c r="J160" s="73"/>
    </row>
    <row r="161" spans="1:10" hidden="1" x14ac:dyDescent="0.3">
      <c r="A161" s="73" t="str">
        <f t="shared" si="2"/>
        <v>GoldfarbQandAGF302180428</v>
      </c>
      <c r="B161" s="73" t="s">
        <v>864</v>
      </c>
      <c r="C161" s="5" t="s">
        <v>818</v>
      </c>
      <c r="D161" t="s">
        <v>847</v>
      </c>
      <c r="E161">
        <v>30</v>
      </c>
      <c r="F161">
        <v>2</v>
      </c>
      <c r="G161">
        <v>180</v>
      </c>
      <c r="H161">
        <v>428</v>
      </c>
      <c r="J161" s="73"/>
    </row>
    <row r="162" spans="1:10" hidden="1" x14ac:dyDescent="0.3">
      <c r="A162" s="73" t="str">
        <f t="shared" si="2"/>
        <v>GoldfarbQandAGF312181429</v>
      </c>
      <c r="B162" s="73" t="s">
        <v>864</v>
      </c>
      <c r="C162" s="5" t="s">
        <v>818</v>
      </c>
      <c r="D162" t="s">
        <v>847</v>
      </c>
      <c r="E162">
        <v>31</v>
      </c>
      <c r="F162">
        <v>2</v>
      </c>
      <c r="G162">
        <v>181</v>
      </c>
      <c r="H162">
        <v>429</v>
      </c>
      <c r="J162" s="73"/>
    </row>
    <row r="163" spans="1:10" hidden="1" x14ac:dyDescent="0.3">
      <c r="A163" s="73" t="str">
        <f t="shared" si="2"/>
        <v>GoldfarbQandAGF322182430</v>
      </c>
      <c r="B163" s="73" t="s">
        <v>864</v>
      </c>
      <c r="C163" s="5" t="s">
        <v>818</v>
      </c>
      <c r="D163" t="s">
        <v>847</v>
      </c>
      <c r="E163">
        <v>32</v>
      </c>
      <c r="F163">
        <v>2</v>
      </c>
      <c r="G163">
        <v>182</v>
      </c>
      <c r="H163">
        <v>430</v>
      </c>
      <c r="J163" s="73"/>
    </row>
    <row r="164" spans="1:10" hidden="1" x14ac:dyDescent="0.3">
      <c r="A164" s="73" t="str">
        <f t="shared" si="2"/>
        <v>GoldfarbQandAGF332183431</v>
      </c>
      <c r="B164" s="73" t="s">
        <v>864</v>
      </c>
      <c r="C164" s="5" t="s">
        <v>818</v>
      </c>
      <c r="D164" t="s">
        <v>847</v>
      </c>
      <c r="E164">
        <v>33</v>
      </c>
      <c r="F164">
        <v>2</v>
      </c>
      <c r="G164">
        <v>183</v>
      </c>
      <c r="H164">
        <v>431</v>
      </c>
      <c r="J164" s="73"/>
    </row>
    <row r="165" spans="1:10" hidden="1" x14ac:dyDescent="0.3">
      <c r="A165" s="73" t="str">
        <f t="shared" si="2"/>
        <v>GoldfarbQandAGF342184432</v>
      </c>
      <c r="B165" s="73" t="s">
        <v>864</v>
      </c>
      <c r="C165" s="5" t="s">
        <v>818</v>
      </c>
      <c r="D165" t="s">
        <v>847</v>
      </c>
      <c r="E165">
        <v>34</v>
      </c>
      <c r="F165">
        <v>2</v>
      </c>
      <c r="G165">
        <v>184</v>
      </c>
      <c r="H165">
        <v>432</v>
      </c>
      <c r="J165" s="73"/>
    </row>
    <row r="166" spans="1:10" hidden="1" x14ac:dyDescent="0.3">
      <c r="A166" s="73" t="str">
        <f t="shared" si="2"/>
        <v>GoldfarbQandAGF352185433</v>
      </c>
      <c r="B166" s="73" t="s">
        <v>864</v>
      </c>
      <c r="C166" s="5" t="s">
        <v>818</v>
      </c>
      <c r="D166" t="s">
        <v>847</v>
      </c>
      <c r="E166">
        <v>35</v>
      </c>
      <c r="F166">
        <v>2</v>
      </c>
      <c r="G166">
        <v>185</v>
      </c>
      <c r="H166">
        <v>433</v>
      </c>
      <c r="J166" s="73"/>
    </row>
    <row r="167" spans="1:10" hidden="1" x14ac:dyDescent="0.3">
      <c r="A167" s="73" t="str">
        <f t="shared" si="2"/>
        <v>GoldfarbQandAGF362186434</v>
      </c>
      <c r="B167" s="73" t="s">
        <v>864</v>
      </c>
      <c r="C167" s="5" t="s">
        <v>818</v>
      </c>
      <c r="D167" t="s">
        <v>847</v>
      </c>
      <c r="E167">
        <v>36</v>
      </c>
      <c r="F167">
        <v>2</v>
      </c>
      <c r="G167">
        <v>186</v>
      </c>
      <c r="H167">
        <v>434</v>
      </c>
      <c r="J167" s="73"/>
    </row>
    <row r="168" spans="1:10" hidden="1" x14ac:dyDescent="0.3">
      <c r="A168" s="73" t="str">
        <f t="shared" si="2"/>
        <v>GoldfarbQandAGF12188436</v>
      </c>
      <c r="B168" s="73" t="s">
        <v>864</v>
      </c>
      <c r="C168" s="5" t="s">
        <v>768</v>
      </c>
      <c r="D168" t="s">
        <v>847</v>
      </c>
      <c r="E168">
        <v>1</v>
      </c>
      <c r="F168">
        <v>2</v>
      </c>
      <c r="G168">
        <v>188</v>
      </c>
      <c r="H168">
        <v>436</v>
      </c>
      <c r="J168" s="73"/>
    </row>
    <row r="169" spans="1:10" hidden="1" x14ac:dyDescent="0.3">
      <c r="A169" s="73" t="str">
        <f t="shared" si="2"/>
        <v>GoldfarbQandAGF22190438</v>
      </c>
      <c r="B169" s="73" t="s">
        <v>864</v>
      </c>
      <c r="C169" s="5" t="s">
        <v>768</v>
      </c>
      <c r="D169" t="s">
        <v>847</v>
      </c>
      <c r="E169">
        <v>2</v>
      </c>
      <c r="F169">
        <v>2</v>
      </c>
      <c r="G169">
        <v>190</v>
      </c>
      <c r="H169">
        <v>438</v>
      </c>
      <c r="J169" s="73"/>
    </row>
    <row r="170" spans="1:10" hidden="1" x14ac:dyDescent="0.3">
      <c r="A170" s="73" t="str">
        <f t="shared" si="2"/>
        <v>GoldfarbQandAGF32191439</v>
      </c>
      <c r="B170" s="73" t="s">
        <v>864</v>
      </c>
      <c r="C170" s="5" t="s">
        <v>768</v>
      </c>
      <c r="D170" t="s">
        <v>847</v>
      </c>
      <c r="E170">
        <v>3</v>
      </c>
      <c r="F170">
        <v>2</v>
      </c>
      <c r="G170">
        <v>191</v>
      </c>
      <c r="H170">
        <v>439</v>
      </c>
      <c r="J170" s="73"/>
    </row>
    <row r="171" spans="1:10" hidden="1" x14ac:dyDescent="0.3">
      <c r="A171" s="73" t="str">
        <f t="shared" si="2"/>
        <v>GoldfarbQandAGF42192440</v>
      </c>
      <c r="B171" s="73" t="s">
        <v>864</v>
      </c>
      <c r="C171" s="5" t="s">
        <v>768</v>
      </c>
      <c r="D171" t="s">
        <v>847</v>
      </c>
      <c r="E171">
        <v>4</v>
      </c>
      <c r="F171">
        <v>2</v>
      </c>
      <c r="G171">
        <v>192</v>
      </c>
      <c r="H171">
        <v>440</v>
      </c>
      <c r="J171" s="73"/>
    </row>
    <row r="172" spans="1:10" hidden="1" x14ac:dyDescent="0.3">
      <c r="A172" s="73" t="str">
        <f t="shared" si="2"/>
        <v>GoldfarbQandAGF52193441</v>
      </c>
      <c r="B172" s="73" t="s">
        <v>864</v>
      </c>
      <c r="C172" s="5" t="s">
        <v>768</v>
      </c>
      <c r="D172" t="s">
        <v>847</v>
      </c>
      <c r="E172">
        <v>5</v>
      </c>
      <c r="F172">
        <v>2</v>
      </c>
      <c r="G172">
        <v>193</v>
      </c>
      <c r="H172">
        <v>441</v>
      </c>
      <c r="J172" s="73"/>
    </row>
    <row r="173" spans="1:10" hidden="1" x14ac:dyDescent="0.3">
      <c r="A173" s="73" t="str">
        <f t="shared" si="2"/>
        <v>GoldfarbQandAGF62194442</v>
      </c>
      <c r="B173" s="73" t="s">
        <v>864</v>
      </c>
      <c r="C173" s="5" t="s">
        <v>768</v>
      </c>
      <c r="D173" t="s">
        <v>847</v>
      </c>
      <c r="E173">
        <v>6</v>
      </c>
      <c r="F173">
        <v>2</v>
      </c>
      <c r="G173">
        <v>194</v>
      </c>
      <c r="H173">
        <v>442</v>
      </c>
      <c r="J173" s="73"/>
    </row>
    <row r="174" spans="1:10" hidden="1" x14ac:dyDescent="0.3">
      <c r="A174" s="73" t="str">
        <f t="shared" si="2"/>
        <v>GoldfarbQandAGF72195443</v>
      </c>
      <c r="B174" s="73" t="s">
        <v>864</v>
      </c>
      <c r="C174" s="5" t="s">
        <v>768</v>
      </c>
      <c r="D174" t="s">
        <v>847</v>
      </c>
      <c r="E174">
        <v>7</v>
      </c>
      <c r="F174">
        <v>2</v>
      </c>
      <c r="G174">
        <v>195</v>
      </c>
      <c r="H174">
        <v>443</v>
      </c>
      <c r="J174" s="73"/>
    </row>
    <row r="175" spans="1:10" hidden="1" x14ac:dyDescent="0.3">
      <c r="A175" s="73" t="str">
        <f t="shared" si="2"/>
        <v>GoldfarbQandAGF82198446</v>
      </c>
      <c r="B175" s="73" t="s">
        <v>864</v>
      </c>
      <c r="C175" s="5" t="s">
        <v>768</v>
      </c>
      <c r="D175" t="s">
        <v>847</v>
      </c>
      <c r="E175">
        <v>8</v>
      </c>
      <c r="F175">
        <v>2</v>
      </c>
      <c r="G175">
        <v>198</v>
      </c>
      <c r="H175">
        <v>446</v>
      </c>
      <c r="J175" s="73"/>
    </row>
    <row r="176" spans="1:10" hidden="1" x14ac:dyDescent="0.3">
      <c r="A176" s="73" t="str">
        <f t="shared" si="2"/>
        <v>GoldfarbQandAGF12202450</v>
      </c>
      <c r="B176" s="73" t="s">
        <v>864</v>
      </c>
      <c r="C176" s="5" t="s">
        <v>768</v>
      </c>
      <c r="D176" t="s">
        <v>847</v>
      </c>
      <c r="E176">
        <v>1</v>
      </c>
      <c r="F176">
        <v>2</v>
      </c>
      <c r="G176">
        <v>202</v>
      </c>
      <c r="H176">
        <v>450</v>
      </c>
      <c r="J176" s="73"/>
    </row>
    <row r="177" spans="1:10" hidden="1" x14ac:dyDescent="0.3">
      <c r="A177" s="73" t="str">
        <f t="shared" si="2"/>
        <v>GoldfarbQandAGF22203451</v>
      </c>
      <c r="B177" s="73" t="s">
        <v>864</v>
      </c>
      <c r="C177" s="5" t="s">
        <v>768</v>
      </c>
      <c r="D177" t="s">
        <v>847</v>
      </c>
      <c r="E177">
        <v>2</v>
      </c>
      <c r="F177">
        <v>2</v>
      </c>
      <c r="G177">
        <v>203</v>
      </c>
      <c r="H177">
        <v>451</v>
      </c>
      <c r="J177" s="73"/>
    </row>
    <row r="178" spans="1:10" hidden="1" x14ac:dyDescent="0.3">
      <c r="A178" s="73" t="str">
        <f t="shared" si="2"/>
        <v>GoldfarbQandAGF32204452</v>
      </c>
      <c r="B178" s="73" t="s">
        <v>864</v>
      </c>
      <c r="C178" s="5" t="s">
        <v>768</v>
      </c>
      <c r="D178" t="s">
        <v>847</v>
      </c>
      <c r="E178">
        <v>3</v>
      </c>
      <c r="F178">
        <v>2</v>
      </c>
      <c r="G178">
        <v>204</v>
      </c>
      <c r="H178">
        <v>452</v>
      </c>
      <c r="J178" s="73"/>
    </row>
    <row r="179" spans="1:10" hidden="1" x14ac:dyDescent="0.3">
      <c r="A179" s="73" t="str">
        <f t="shared" si="2"/>
        <v>GoldfarbQandAGF42205453</v>
      </c>
      <c r="B179" s="73" t="s">
        <v>864</v>
      </c>
      <c r="C179" s="5" t="s">
        <v>768</v>
      </c>
      <c r="D179" t="s">
        <v>847</v>
      </c>
      <c r="E179">
        <v>4</v>
      </c>
      <c r="F179">
        <v>2</v>
      </c>
      <c r="G179">
        <v>205</v>
      </c>
      <c r="H179">
        <v>453</v>
      </c>
      <c r="J179" s="73"/>
    </row>
    <row r="180" spans="1:10" hidden="1" x14ac:dyDescent="0.3">
      <c r="A180" s="73" t="str">
        <f t="shared" si="2"/>
        <v>GoldfarbQandAGF52206454</v>
      </c>
      <c r="B180" s="73" t="s">
        <v>864</v>
      </c>
      <c r="C180" s="5" t="s">
        <v>768</v>
      </c>
      <c r="D180" t="s">
        <v>847</v>
      </c>
      <c r="E180">
        <v>5</v>
      </c>
      <c r="F180">
        <v>2</v>
      </c>
      <c r="G180">
        <v>206</v>
      </c>
      <c r="H180">
        <v>454</v>
      </c>
      <c r="J180" s="73"/>
    </row>
    <row r="181" spans="1:10" hidden="1" x14ac:dyDescent="0.3">
      <c r="A181" s="73" t="str">
        <f t="shared" si="2"/>
        <v>GoldfarbQandAGF62207455</v>
      </c>
      <c r="B181" s="73" t="s">
        <v>864</v>
      </c>
      <c r="C181" s="5" t="s">
        <v>768</v>
      </c>
      <c r="D181" t="s">
        <v>847</v>
      </c>
      <c r="E181">
        <v>6</v>
      </c>
      <c r="F181">
        <v>2</v>
      </c>
      <c r="G181">
        <v>207</v>
      </c>
      <c r="H181">
        <v>455</v>
      </c>
      <c r="J181" s="73"/>
    </row>
    <row r="182" spans="1:10" hidden="1" x14ac:dyDescent="0.3">
      <c r="A182" s="73" t="str">
        <f t="shared" si="2"/>
        <v>GoldfarbQandAGF72209457</v>
      </c>
      <c r="B182" s="73" t="s">
        <v>864</v>
      </c>
      <c r="C182" s="5" t="s">
        <v>768</v>
      </c>
      <c r="D182" t="s">
        <v>847</v>
      </c>
      <c r="E182">
        <v>7</v>
      </c>
      <c r="F182">
        <v>2</v>
      </c>
      <c r="G182">
        <v>209</v>
      </c>
      <c r="H182">
        <v>457</v>
      </c>
      <c r="J182" s="73"/>
    </row>
    <row r="183" spans="1:10" hidden="1" x14ac:dyDescent="0.3">
      <c r="A183" s="73" t="str">
        <f t="shared" si="2"/>
        <v>GoldfarbQandAGF82210458</v>
      </c>
      <c r="B183" s="73" t="s">
        <v>864</v>
      </c>
      <c r="C183" s="5" t="s">
        <v>768</v>
      </c>
      <c r="D183" t="s">
        <v>847</v>
      </c>
      <c r="E183">
        <v>8</v>
      </c>
      <c r="F183">
        <v>2</v>
      </c>
      <c r="G183">
        <v>210</v>
      </c>
      <c r="H183">
        <v>458</v>
      </c>
      <c r="J183" s="73"/>
    </row>
    <row r="184" spans="1:10" hidden="1" x14ac:dyDescent="0.3">
      <c r="A184" s="73" t="str">
        <f t="shared" si="2"/>
        <v>GoldfarbQandAGF92212460</v>
      </c>
      <c r="B184" s="73" t="s">
        <v>864</v>
      </c>
      <c r="C184" s="5" t="s">
        <v>768</v>
      </c>
      <c r="D184" t="s">
        <v>847</v>
      </c>
      <c r="E184">
        <v>9</v>
      </c>
      <c r="F184">
        <v>2</v>
      </c>
      <c r="G184">
        <v>212</v>
      </c>
      <c r="H184">
        <v>460</v>
      </c>
      <c r="J184" s="73"/>
    </row>
    <row r="185" spans="1:10" hidden="1" x14ac:dyDescent="0.3">
      <c r="A185" s="73" t="str">
        <f t="shared" si="2"/>
        <v>GoldfarbQandAGF102213461</v>
      </c>
      <c r="B185" s="73" t="s">
        <v>864</v>
      </c>
      <c r="C185" s="5" t="s">
        <v>768</v>
      </c>
      <c r="D185" t="s">
        <v>847</v>
      </c>
      <c r="E185">
        <v>10</v>
      </c>
      <c r="F185">
        <v>2</v>
      </c>
      <c r="G185">
        <v>213</v>
      </c>
      <c r="H185">
        <v>461</v>
      </c>
      <c r="J185" s="73"/>
    </row>
    <row r="186" spans="1:10" hidden="1" x14ac:dyDescent="0.3">
      <c r="A186" s="73" t="str">
        <f t="shared" si="2"/>
        <v>GoldfarbQandAGF112214462</v>
      </c>
      <c r="B186" s="73" t="s">
        <v>864</v>
      </c>
      <c r="C186" s="5" t="s">
        <v>768</v>
      </c>
      <c r="D186" t="s">
        <v>847</v>
      </c>
      <c r="E186">
        <v>11</v>
      </c>
      <c r="F186">
        <v>2</v>
      </c>
      <c r="G186">
        <v>214</v>
      </c>
      <c r="H186">
        <v>462</v>
      </c>
      <c r="J186" s="73"/>
    </row>
    <row r="187" spans="1:10" hidden="1" x14ac:dyDescent="0.3">
      <c r="A187" s="73" t="str">
        <f t="shared" si="2"/>
        <v>GoldfarbQandAGF122215463</v>
      </c>
      <c r="B187" s="73" t="s">
        <v>864</v>
      </c>
      <c r="C187" s="5" t="s">
        <v>768</v>
      </c>
      <c r="D187" t="s">
        <v>847</v>
      </c>
      <c r="E187">
        <v>12</v>
      </c>
      <c r="F187">
        <v>2</v>
      </c>
      <c r="G187">
        <v>215</v>
      </c>
      <c r="H187">
        <v>463</v>
      </c>
      <c r="J187" s="73"/>
    </row>
    <row r="188" spans="1:10" hidden="1" x14ac:dyDescent="0.3">
      <c r="A188" s="73" t="str">
        <f t="shared" si="2"/>
        <v>GoldfarbQandAGF132216464</v>
      </c>
      <c r="B188" s="73" t="s">
        <v>864</v>
      </c>
      <c r="C188" s="5" t="s">
        <v>768</v>
      </c>
      <c r="D188" t="s">
        <v>847</v>
      </c>
      <c r="E188">
        <v>13</v>
      </c>
      <c r="F188">
        <v>2</v>
      </c>
      <c r="G188">
        <v>216</v>
      </c>
      <c r="H188">
        <v>464</v>
      </c>
      <c r="J188" s="73"/>
    </row>
    <row r="189" spans="1:10" hidden="1" x14ac:dyDescent="0.3">
      <c r="A189" s="73" t="str">
        <f t="shared" si="2"/>
        <v>GoldfarbQandAGF142218466</v>
      </c>
      <c r="B189" s="73" t="s">
        <v>864</v>
      </c>
      <c r="C189" s="5" t="s">
        <v>768</v>
      </c>
      <c r="D189" t="s">
        <v>847</v>
      </c>
      <c r="E189">
        <v>14</v>
      </c>
      <c r="F189">
        <v>2</v>
      </c>
      <c r="G189">
        <v>218</v>
      </c>
      <c r="H189">
        <v>466</v>
      </c>
      <c r="J189" s="73"/>
    </row>
    <row r="190" spans="1:10" hidden="1" x14ac:dyDescent="0.3">
      <c r="A190" s="73" t="str">
        <f t="shared" si="2"/>
        <v>GoldfarbQandAGF152219467</v>
      </c>
      <c r="B190" s="73" t="s">
        <v>864</v>
      </c>
      <c r="C190" s="5" t="s">
        <v>768</v>
      </c>
      <c r="D190" t="s">
        <v>847</v>
      </c>
      <c r="E190">
        <v>15</v>
      </c>
      <c r="F190">
        <v>2</v>
      </c>
      <c r="G190">
        <v>219</v>
      </c>
      <c r="H190">
        <v>467</v>
      </c>
      <c r="J190" s="73"/>
    </row>
    <row r="191" spans="1:10" hidden="1" x14ac:dyDescent="0.3">
      <c r="A191" s="73" t="str">
        <f t="shared" si="2"/>
        <v>GoldfarbQandAGF162221469</v>
      </c>
      <c r="B191" s="73" t="s">
        <v>864</v>
      </c>
      <c r="C191" s="5" t="s">
        <v>768</v>
      </c>
      <c r="D191" t="s">
        <v>847</v>
      </c>
      <c r="E191">
        <v>16</v>
      </c>
      <c r="F191">
        <v>2</v>
      </c>
      <c r="G191">
        <v>221</v>
      </c>
      <c r="H191">
        <v>469</v>
      </c>
      <c r="J191" s="73"/>
    </row>
    <row r="192" spans="1:10" hidden="1" x14ac:dyDescent="0.3">
      <c r="A192" s="73" t="str">
        <f t="shared" si="2"/>
        <v>GoldfarbQandAGF172222470</v>
      </c>
      <c r="B192" s="73" t="s">
        <v>864</v>
      </c>
      <c r="C192" s="5" t="s">
        <v>768</v>
      </c>
      <c r="D192" t="s">
        <v>847</v>
      </c>
      <c r="E192">
        <v>17</v>
      </c>
      <c r="F192">
        <v>2</v>
      </c>
      <c r="G192">
        <v>222</v>
      </c>
      <c r="H192">
        <v>470</v>
      </c>
      <c r="J192" s="73"/>
    </row>
    <row r="193" spans="1:10" hidden="1" x14ac:dyDescent="0.3">
      <c r="A193" s="73" t="str">
        <f t="shared" si="2"/>
        <v>GoldfarbQandAGF182223471</v>
      </c>
      <c r="B193" s="73" t="s">
        <v>864</v>
      </c>
      <c r="C193" s="5" t="s">
        <v>768</v>
      </c>
      <c r="D193" t="s">
        <v>847</v>
      </c>
      <c r="E193">
        <v>18</v>
      </c>
      <c r="F193">
        <v>2</v>
      </c>
      <c r="G193">
        <v>223</v>
      </c>
      <c r="H193">
        <v>471</v>
      </c>
      <c r="J193" s="73"/>
    </row>
    <row r="194" spans="1:10" hidden="1" x14ac:dyDescent="0.3">
      <c r="A194" s="73" t="str">
        <f t="shared" si="2"/>
        <v>GoldfarbQandAGF192225473</v>
      </c>
      <c r="B194" s="73" t="s">
        <v>864</v>
      </c>
      <c r="C194" s="5" t="s">
        <v>768</v>
      </c>
      <c r="D194" t="s">
        <v>847</v>
      </c>
      <c r="E194">
        <v>19</v>
      </c>
      <c r="F194">
        <v>2</v>
      </c>
      <c r="G194">
        <v>225</v>
      </c>
      <c r="H194">
        <v>473</v>
      </c>
      <c r="J194" s="73"/>
    </row>
    <row r="195" spans="1:10" hidden="1" x14ac:dyDescent="0.3">
      <c r="A195" s="73" t="str">
        <f t="shared" ref="A195:A258" si="3">B195&amp;D195&amp;E195&amp;F195&amp;G195&amp;H195</f>
        <v>GoldfarbQandAGF202227475</v>
      </c>
      <c r="B195" s="73" t="s">
        <v>864</v>
      </c>
      <c r="C195" s="5" t="s">
        <v>768</v>
      </c>
      <c r="D195" t="s">
        <v>847</v>
      </c>
      <c r="E195">
        <v>20</v>
      </c>
      <c r="F195">
        <v>2</v>
      </c>
      <c r="G195">
        <v>227</v>
      </c>
      <c r="H195">
        <v>475</v>
      </c>
      <c r="J195" s="73"/>
    </row>
    <row r="196" spans="1:10" hidden="1" x14ac:dyDescent="0.3">
      <c r="A196" s="73" t="str">
        <f t="shared" si="3"/>
        <v>GoldfarbQandAGF212228476</v>
      </c>
      <c r="B196" s="73" t="s">
        <v>864</v>
      </c>
      <c r="C196" s="5" t="s">
        <v>768</v>
      </c>
      <c r="D196" t="s">
        <v>847</v>
      </c>
      <c r="E196">
        <v>21</v>
      </c>
      <c r="F196">
        <v>2</v>
      </c>
      <c r="G196">
        <v>228</v>
      </c>
      <c r="H196">
        <v>476</v>
      </c>
      <c r="J196" s="73"/>
    </row>
    <row r="197" spans="1:10" hidden="1" x14ac:dyDescent="0.3">
      <c r="A197" s="73" t="str">
        <f t="shared" si="3"/>
        <v>GoldfarbQandAGF222229477</v>
      </c>
      <c r="B197" s="73" t="s">
        <v>864</v>
      </c>
      <c r="C197" s="5" t="s">
        <v>768</v>
      </c>
      <c r="D197" t="s">
        <v>847</v>
      </c>
      <c r="E197">
        <v>22</v>
      </c>
      <c r="F197">
        <v>2</v>
      </c>
      <c r="G197">
        <v>229</v>
      </c>
      <c r="H197">
        <v>477</v>
      </c>
      <c r="J197" s="73"/>
    </row>
    <row r="198" spans="1:10" hidden="1" x14ac:dyDescent="0.3">
      <c r="A198" s="73" t="str">
        <f t="shared" si="3"/>
        <v>GoldfarbQandAGF232230478</v>
      </c>
      <c r="B198" s="73" t="s">
        <v>864</v>
      </c>
      <c r="C198" s="5" t="s">
        <v>768</v>
      </c>
      <c r="D198" t="s">
        <v>847</v>
      </c>
      <c r="E198">
        <v>23</v>
      </c>
      <c r="F198">
        <v>2</v>
      </c>
      <c r="G198">
        <v>230</v>
      </c>
      <c r="H198">
        <v>478</v>
      </c>
      <c r="J198" s="73"/>
    </row>
    <row r="199" spans="1:10" hidden="1" x14ac:dyDescent="0.3">
      <c r="A199" s="73" t="str">
        <f t="shared" si="3"/>
        <v>GoldfarbQandAGF242231479</v>
      </c>
      <c r="B199" s="73" t="s">
        <v>864</v>
      </c>
      <c r="C199" s="5" t="s">
        <v>768</v>
      </c>
      <c r="D199" t="s">
        <v>847</v>
      </c>
      <c r="E199">
        <v>24</v>
      </c>
      <c r="F199">
        <v>2</v>
      </c>
      <c r="G199">
        <v>231</v>
      </c>
      <c r="H199">
        <v>479</v>
      </c>
      <c r="J199" s="73"/>
    </row>
    <row r="200" spans="1:10" hidden="1" x14ac:dyDescent="0.3">
      <c r="A200" s="73" t="str">
        <f t="shared" si="3"/>
        <v>GoldfarbQandAGF252232480</v>
      </c>
      <c r="B200" s="73" t="s">
        <v>864</v>
      </c>
      <c r="C200" s="5" t="s">
        <v>768</v>
      </c>
      <c r="D200" t="s">
        <v>847</v>
      </c>
      <c r="E200">
        <v>25</v>
      </c>
      <c r="F200">
        <v>2</v>
      </c>
      <c r="G200">
        <v>232</v>
      </c>
      <c r="H200">
        <v>480</v>
      </c>
      <c r="J200" s="73"/>
    </row>
    <row r="201" spans="1:10" hidden="1" x14ac:dyDescent="0.3">
      <c r="A201" s="73" t="str">
        <f t="shared" si="3"/>
        <v>GoldfarbQandAGF262234482</v>
      </c>
      <c r="B201" s="73" t="s">
        <v>864</v>
      </c>
      <c r="C201" s="5" t="s">
        <v>768</v>
      </c>
      <c r="D201" t="s">
        <v>847</v>
      </c>
      <c r="E201">
        <v>26</v>
      </c>
      <c r="F201">
        <v>2</v>
      </c>
      <c r="G201">
        <v>234</v>
      </c>
      <c r="H201">
        <v>482</v>
      </c>
      <c r="J201" s="73"/>
    </row>
    <row r="202" spans="1:10" hidden="1" x14ac:dyDescent="0.3">
      <c r="A202" s="73" t="str">
        <f t="shared" si="3"/>
        <v>GoldfarbQandAGF272235483</v>
      </c>
      <c r="B202" s="73" t="s">
        <v>864</v>
      </c>
      <c r="C202" s="5" t="s">
        <v>768</v>
      </c>
      <c r="D202" t="s">
        <v>847</v>
      </c>
      <c r="E202">
        <v>27</v>
      </c>
      <c r="F202">
        <v>2</v>
      </c>
      <c r="G202">
        <v>235</v>
      </c>
      <c r="H202">
        <v>483</v>
      </c>
      <c r="J202" s="73"/>
    </row>
    <row r="203" spans="1:10" hidden="1" x14ac:dyDescent="0.3">
      <c r="A203" s="73" t="str">
        <f t="shared" si="3"/>
        <v>GoldfarbQandAGF282236484</v>
      </c>
      <c r="B203" s="73" t="s">
        <v>864</v>
      </c>
      <c r="C203" s="5" t="s">
        <v>768</v>
      </c>
      <c r="D203" t="s">
        <v>847</v>
      </c>
      <c r="E203">
        <v>28</v>
      </c>
      <c r="F203">
        <v>2</v>
      </c>
      <c r="G203">
        <v>236</v>
      </c>
      <c r="H203">
        <v>484</v>
      </c>
      <c r="J203" s="73"/>
    </row>
    <row r="204" spans="1:10" hidden="1" x14ac:dyDescent="0.3">
      <c r="A204" s="73" t="str">
        <f t="shared" si="3"/>
        <v>GoldfarbQandAGF292237485</v>
      </c>
      <c r="B204" s="73" t="s">
        <v>864</v>
      </c>
      <c r="C204" s="5" t="s">
        <v>768</v>
      </c>
      <c r="D204" t="s">
        <v>847</v>
      </c>
      <c r="E204">
        <v>29</v>
      </c>
      <c r="F204">
        <v>2</v>
      </c>
      <c r="G204">
        <v>237</v>
      </c>
      <c r="H204">
        <v>485</v>
      </c>
      <c r="J204" s="73"/>
    </row>
    <row r="205" spans="1:10" hidden="1" x14ac:dyDescent="0.3">
      <c r="A205" s="73" t="str">
        <f t="shared" si="3"/>
        <v>GoldfarbQandAGF302239487</v>
      </c>
      <c r="B205" s="73" t="s">
        <v>864</v>
      </c>
      <c r="C205" s="5" t="s">
        <v>768</v>
      </c>
      <c r="D205" t="s">
        <v>847</v>
      </c>
      <c r="E205">
        <v>30</v>
      </c>
      <c r="F205">
        <v>2</v>
      </c>
      <c r="G205">
        <v>239</v>
      </c>
      <c r="H205">
        <v>487</v>
      </c>
      <c r="J205" s="73"/>
    </row>
    <row r="206" spans="1:10" hidden="1" x14ac:dyDescent="0.3">
      <c r="A206" s="73" t="str">
        <f t="shared" si="3"/>
        <v>GoldfarbQandAGF312241489</v>
      </c>
      <c r="B206" s="73" t="s">
        <v>864</v>
      </c>
      <c r="C206" s="5" t="s">
        <v>768</v>
      </c>
      <c r="D206" t="s">
        <v>847</v>
      </c>
      <c r="E206">
        <v>31</v>
      </c>
      <c r="F206">
        <v>2</v>
      </c>
      <c r="G206">
        <v>241</v>
      </c>
      <c r="H206">
        <v>489</v>
      </c>
      <c r="J206" s="73"/>
    </row>
    <row r="207" spans="1:10" hidden="1" x14ac:dyDescent="0.3">
      <c r="A207" s="73" t="str">
        <f t="shared" si="3"/>
        <v>GoldfarbQandAGF322242490</v>
      </c>
      <c r="B207" s="73" t="s">
        <v>864</v>
      </c>
      <c r="C207" s="5" t="s">
        <v>768</v>
      </c>
      <c r="D207" t="s">
        <v>847</v>
      </c>
      <c r="E207">
        <v>32</v>
      </c>
      <c r="F207">
        <v>2</v>
      </c>
      <c r="G207">
        <v>242</v>
      </c>
      <c r="H207">
        <v>490</v>
      </c>
      <c r="J207" s="73"/>
    </row>
    <row r="208" spans="1:10" hidden="1" x14ac:dyDescent="0.3">
      <c r="A208" s="73" t="str">
        <f t="shared" si="3"/>
        <v>GoldfarbQandAGF332243491</v>
      </c>
      <c r="B208" s="73" t="s">
        <v>864</v>
      </c>
      <c r="C208" s="5" t="s">
        <v>768</v>
      </c>
      <c r="D208" t="s">
        <v>847</v>
      </c>
      <c r="E208">
        <v>33</v>
      </c>
      <c r="F208">
        <v>2</v>
      </c>
      <c r="G208">
        <v>243</v>
      </c>
      <c r="H208">
        <v>491</v>
      </c>
      <c r="J208" s="73"/>
    </row>
    <row r="209" spans="1:10" hidden="1" x14ac:dyDescent="0.3">
      <c r="A209" s="73" t="str">
        <f t="shared" si="3"/>
        <v>GoldfarbQandAGF342245493</v>
      </c>
      <c r="B209" s="73" t="s">
        <v>864</v>
      </c>
      <c r="C209" s="5" t="s">
        <v>768</v>
      </c>
      <c r="D209" t="s">
        <v>847</v>
      </c>
      <c r="E209">
        <v>34</v>
      </c>
      <c r="F209">
        <v>2</v>
      </c>
      <c r="G209">
        <v>245</v>
      </c>
      <c r="H209">
        <v>493</v>
      </c>
      <c r="J209" s="73"/>
    </row>
    <row r="210" spans="1:10" hidden="1" x14ac:dyDescent="0.3">
      <c r="A210" s="73" t="str">
        <f t="shared" si="3"/>
        <v>SectionA_SampleQTIA1213</v>
      </c>
      <c r="B210" s="73" t="s">
        <v>865</v>
      </c>
      <c r="C210" s="5" t="s">
        <v>817</v>
      </c>
      <c r="D210" t="s">
        <v>196</v>
      </c>
      <c r="E210">
        <v>1</v>
      </c>
      <c r="F210">
        <v>2</v>
      </c>
      <c r="G210">
        <v>1</v>
      </c>
      <c r="H210">
        <v>3</v>
      </c>
      <c r="J210" s="73"/>
    </row>
    <row r="211" spans="1:10" hidden="1" x14ac:dyDescent="0.3">
      <c r="A211" s="73" t="str">
        <f t="shared" si="3"/>
        <v>SectionA_SampleQTIA2213</v>
      </c>
      <c r="B211" s="73" t="s">
        <v>865</v>
      </c>
      <c r="C211" s="5" t="s">
        <v>817</v>
      </c>
      <c r="D211" t="s">
        <v>196</v>
      </c>
      <c r="E211">
        <v>2</v>
      </c>
      <c r="F211">
        <v>2</v>
      </c>
      <c r="G211">
        <v>1</v>
      </c>
      <c r="H211">
        <v>3</v>
      </c>
      <c r="J211" s="73"/>
    </row>
    <row r="212" spans="1:10" hidden="1" x14ac:dyDescent="0.3">
      <c r="A212" s="73" t="str">
        <f t="shared" si="3"/>
        <v>SectionA_SampleQTIA3214</v>
      </c>
      <c r="B212" s="73" t="s">
        <v>865</v>
      </c>
      <c r="C212" s="5" t="s">
        <v>817</v>
      </c>
      <c r="D212" t="s">
        <v>196</v>
      </c>
      <c r="E212">
        <v>3</v>
      </c>
      <c r="F212">
        <v>2</v>
      </c>
      <c r="G212">
        <v>1</v>
      </c>
      <c r="H212">
        <v>4</v>
      </c>
      <c r="J212" s="73"/>
    </row>
    <row r="213" spans="1:10" hidden="1" x14ac:dyDescent="0.3">
      <c r="A213" s="73" t="str">
        <f t="shared" si="3"/>
        <v>SectionA_SampleQTIA4214</v>
      </c>
      <c r="B213" s="73" t="s">
        <v>865</v>
      </c>
      <c r="C213" s="5" t="s">
        <v>817</v>
      </c>
      <c r="D213" t="s">
        <v>196</v>
      </c>
      <c r="E213">
        <v>4</v>
      </c>
      <c r="F213">
        <v>2</v>
      </c>
      <c r="G213">
        <v>1</v>
      </c>
      <c r="H213">
        <v>4</v>
      </c>
      <c r="J213" s="73"/>
    </row>
    <row r="214" spans="1:10" hidden="1" x14ac:dyDescent="0.3">
      <c r="A214" s="73" t="str">
        <f t="shared" si="3"/>
        <v>SectionA_SampleQTIA5215</v>
      </c>
      <c r="B214" s="73" t="s">
        <v>865</v>
      </c>
      <c r="C214" s="5" t="s">
        <v>817</v>
      </c>
      <c r="D214" t="s">
        <v>196</v>
      </c>
      <c r="E214">
        <v>5</v>
      </c>
      <c r="F214">
        <v>2</v>
      </c>
      <c r="G214">
        <v>1</v>
      </c>
      <c r="H214">
        <v>5</v>
      </c>
      <c r="J214" s="73"/>
    </row>
    <row r="215" spans="1:10" hidden="1" x14ac:dyDescent="0.3">
      <c r="A215" s="73" t="str">
        <f t="shared" si="3"/>
        <v>SectionA_SampleQTIA6225</v>
      </c>
      <c r="B215" s="73" t="s">
        <v>865</v>
      </c>
      <c r="C215" s="5" t="s">
        <v>817</v>
      </c>
      <c r="D215" t="s">
        <v>196</v>
      </c>
      <c r="E215">
        <v>6</v>
      </c>
      <c r="F215">
        <v>2</v>
      </c>
      <c r="G215">
        <v>2</v>
      </c>
      <c r="H215">
        <v>5</v>
      </c>
      <c r="J215" s="73"/>
    </row>
    <row r="216" spans="1:10" hidden="1" x14ac:dyDescent="0.3">
      <c r="A216" s="73" t="str">
        <f t="shared" si="3"/>
        <v>SectionA_SampleQTIA7225</v>
      </c>
      <c r="B216" s="73" t="s">
        <v>865</v>
      </c>
      <c r="C216" s="5" t="s">
        <v>817</v>
      </c>
      <c r="D216" t="s">
        <v>196</v>
      </c>
      <c r="E216">
        <v>7</v>
      </c>
      <c r="F216">
        <v>2</v>
      </c>
      <c r="G216">
        <v>2</v>
      </c>
      <c r="H216">
        <v>5</v>
      </c>
      <c r="J216" s="73"/>
    </row>
    <row r="217" spans="1:10" hidden="1" x14ac:dyDescent="0.3">
      <c r="A217" s="73" t="str">
        <f t="shared" si="3"/>
        <v>SectionA_SampleQTIA8226</v>
      </c>
      <c r="B217" s="73" t="s">
        <v>865</v>
      </c>
      <c r="C217" s="5" t="s">
        <v>817</v>
      </c>
      <c r="D217" t="s">
        <v>196</v>
      </c>
      <c r="E217">
        <v>8</v>
      </c>
      <c r="F217">
        <v>2</v>
      </c>
      <c r="G217">
        <v>2</v>
      </c>
      <c r="H217">
        <v>6</v>
      </c>
      <c r="J217" s="73"/>
    </row>
    <row r="218" spans="1:10" hidden="1" x14ac:dyDescent="0.3">
      <c r="A218" s="73" t="str">
        <f t="shared" si="3"/>
        <v>SectionA_SampleQTIA9226</v>
      </c>
      <c r="B218" s="73" t="s">
        <v>865</v>
      </c>
      <c r="C218" s="5" t="s">
        <v>817</v>
      </c>
      <c r="D218" t="s">
        <v>196</v>
      </c>
      <c r="E218">
        <v>9</v>
      </c>
      <c r="F218">
        <v>2</v>
      </c>
      <c r="G218">
        <v>2</v>
      </c>
      <c r="H218">
        <v>6</v>
      </c>
      <c r="J218" s="73"/>
    </row>
    <row r="219" spans="1:10" hidden="1" x14ac:dyDescent="0.3">
      <c r="A219" s="73" t="str">
        <f t="shared" si="3"/>
        <v>SectionA_SampleQTIA1279</v>
      </c>
      <c r="B219" s="73" t="s">
        <v>865</v>
      </c>
      <c r="C219" s="5" t="s">
        <v>819</v>
      </c>
      <c r="D219" t="s">
        <v>196</v>
      </c>
      <c r="E219">
        <v>1</v>
      </c>
      <c r="F219">
        <v>2</v>
      </c>
      <c r="G219">
        <v>7</v>
      </c>
      <c r="H219">
        <v>9</v>
      </c>
      <c r="J219" s="73"/>
    </row>
    <row r="220" spans="1:10" hidden="1" x14ac:dyDescent="0.3">
      <c r="A220" s="73" t="str">
        <f t="shared" si="3"/>
        <v>SectionA_SampleQTIA2279</v>
      </c>
      <c r="B220" s="73" t="s">
        <v>865</v>
      </c>
      <c r="C220" s="5" t="s">
        <v>819</v>
      </c>
      <c r="D220" t="s">
        <v>196</v>
      </c>
      <c r="E220">
        <v>2</v>
      </c>
      <c r="F220">
        <v>2</v>
      </c>
      <c r="G220">
        <v>7</v>
      </c>
      <c r="H220">
        <v>9</v>
      </c>
      <c r="J220" s="73"/>
    </row>
    <row r="221" spans="1:10" hidden="1" x14ac:dyDescent="0.3">
      <c r="A221" s="73" t="str">
        <f t="shared" si="3"/>
        <v>SectionA_SampleQTIA32710</v>
      </c>
      <c r="B221" s="73" t="s">
        <v>865</v>
      </c>
      <c r="C221" s="5" t="s">
        <v>819</v>
      </c>
      <c r="D221" t="s">
        <v>196</v>
      </c>
      <c r="E221">
        <v>3</v>
      </c>
      <c r="F221">
        <v>2</v>
      </c>
      <c r="G221">
        <v>7</v>
      </c>
      <c r="H221">
        <v>10</v>
      </c>
      <c r="J221" s="73"/>
    </row>
    <row r="222" spans="1:10" hidden="1" x14ac:dyDescent="0.3">
      <c r="A222" s="73" t="str">
        <f t="shared" si="3"/>
        <v>SectionA_SampleQTIA42711</v>
      </c>
      <c r="B222" s="73" t="s">
        <v>865</v>
      </c>
      <c r="C222" s="5" t="s">
        <v>819</v>
      </c>
      <c r="D222" t="s">
        <v>196</v>
      </c>
      <c r="E222">
        <v>4</v>
      </c>
      <c r="F222">
        <v>2</v>
      </c>
      <c r="G222">
        <v>7</v>
      </c>
      <c r="H222">
        <v>11</v>
      </c>
      <c r="J222" s="73"/>
    </row>
    <row r="223" spans="1:10" hidden="1" x14ac:dyDescent="0.3">
      <c r="A223" s="73" t="str">
        <f t="shared" si="3"/>
        <v>SectionA_SampleQTIA52811</v>
      </c>
      <c r="B223" s="73" t="s">
        <v>865</v>
      </c>
      <c r="C223" s="5" t="s">
        <v>819</v>
      </c>
      <c r="D223" t="s">
        <v>196</v>
      </c>
      <c r="E223">
        <v>5</v>
      </c>
      <c r="F223">
        <v>2</v>
      </c>
      <c r="G223">
        <v>8</v>
      </c>
      <c r="H223">
        <v>11</v>
      </c>
      <c r="J223" s="73"/>
    </row>
    <row r="224" spans="1:10" hidden="1" x14ac:dyDescent="0.3">
      <c r="A224" s="73" t="str">
        <f t="shared" si="3"/>
        <v>SectionA_SampleQTIA62811</v>
      </c>
      <c r="B224" s="73" t="s">
        <v>865</v>
      </c>
      <c r="C224" s="5" t="s">
        <v>819</v>
      </c>
      <c r="D224" t="s">
        <v>196</v>
      </c>
      <c r="E224">
        <v>6</v>
      </c>
      <c r="F224">
        <v>2</v>
      </c>
      <c r="G224">
        <v>8</v>
      </c>
      <c r="H224">
        <v>11</v>
      </c>
      <c r="J224" s="73"/>
    </row>
    <row r="225" spans="1:10" hidden="1" x14ac:dyDescent="0.3">
      <c r="A225" s="73" t="str">
        <f t="shared" si="3"/>
        <v>SectionA_SampleQTIA72812</v>
      </c>
      <c r="B225" s="73" t="s">
        <v>865</v>
      </c>
      <c r="C225" s="5" t="s">
        <v>819</v>
      </c>
      <c r="D225" t="s">
        <v>196</v>
      </c>
      <c r="E225">
        <v>7</v>
      </c>
      <c r="F225">
        <v>2</v>
      </c>
      <c r="G225">
        <v>8</v>
      </c>
      <c r="H225">
        <v>12</v>
      </c>
      <c r="J225" s="73"/>
    </row>
    <row r="226" spans="1:10" hidden="1" x14ac:dyDescent="0.3">
      <c r="A226" s="73" t="str">
        <f t="shared" si="3"/>
        <v>SectionA_SampleQTIA82813</v>
      </c>
      <c r="B226" s="73" t="s">
        <v>865</v>
      </c>
      <c r="C226" s="5" t="s">
        <v>819</v>
      </c>
      <c r="D226" t="s">
        <v>196</v>
      </c>
      <c r="E226">
        <v>8</v>
      </c>
      <c r="F226">
        <v>2</v>
      </c>
      <c r="G226">
        <v>8</v>
      </c>
      <c r="H226">
        <v>13</v>
      </c>
      <c r="J226" s="73"/>
    </row>
    <row r="227" spans="1:10" hidden="1" x14ac:dyDescent="0.3">
      <c r="A227" s="73" t="str">
        <f t="shared" si="3"/>
        <v>SectionA_SampleQTIA121516</v>
      </c>
      <c r="B227" s="73" t="s">
        <v>865</v>
      </c>
      <c r="C227" s="5" t="s">
        <v>813</v>
      </c>
      <c r="D227" t="s">
        <v>196</v>
      </c>
      <c r="E227">
        <v>1</v>
      </c>
      <c r="F227">
        <v>2</v>
      </c>
      <c r="G227">
        <v>15</v>
      </c>
      <c r="H227">
        <v>16</v>
      </c>
      <c r="J227" s="73"/>
    </row>
    <row r="228" spans="1:10" hidden="1" x14ac:dyDescent="0.3">
      <c r="A228" s="73" t="str">
        <f t="shared" si="3"/>
        <v>SectionA_SampleQTIA221516</v>
      </c>
      <c r="B228" s="73" t="s">
        <v>865</v>
      </c>
      <c r="C228" s="5" t="s">
        <v>813</v>
      </c>
      <c r="D228" t="s">
        <v>196</v>
      </c>
      <c r="E228">
        <v>2</v>
      </c>
      <c r="F228">
        <v>2</v>
      </c>
      <c r="G228">
        <v>15</v>
      </c>
      <c r="H228">
        <v>16</v>
      </c>
      <c r="J228" s="73"/>
    </row>
    <row r="229" spans="1:10" hidden="1" x14ac:dyDescent="0.3">
      <c r="A229" s="73" t="str">
        <f t="shared" si="3"/>
        <v>SectionA_SampleQTIA321517</v>
      </c>
      <c r="B229" s="73" t="s">
        <v>865</v>
      </c>
      <c r="C229" s="5" t="s">
        <v>813</v>
      </c>
      <c r="D229" t="s">
        <v>196</v>
      </c>
      <c r="E229">
        <v>3</v>
      </c>
      <c r="F229">
        <v>2</v>
      </c>
      <c r="G229">
        <v>15</v>
      </c>
      <c r="H229">
        <v>17</v>
      </c>
      <c r="J229" s="73"/>
    </row>
    <row r="230" spans="1:10" hidden="1" x14ac:dyDescent="0.3">
      <c r="A230" s="73" t="str">
        <f t="shared" si="3"/>
        <v>SectionA_SampleQTIA121921</v>
      </c>
      <c r="B230" s="73" t="s">
        <v>865</v>
      </c>
      <c r="C230" s="5" t="s">
        <v>820</v>
      </c>
      <c r="D230" t="s">
        <v>196</v>
      </c>
      <c r="E230">
        <v>1</v>
      </c>
      <c r="F230">
        <v>2</v>
      </c>
      <c r="G230">
        <v>19</v>
      </c>
      <c r="H230">
        <v>21</v>
      </c>
      <c r="J230" s="73"/>
    </row>
    <row r="231" spans="1:10" hidden="1" x14ac:dyDescent="0.3">
      <c r="A231" s="73" t="str">
        <f t="shared" si="3"/>
        <v>SectionA_SampleQTIA221921</v>
      </c>
      <c r="B231" s="73" t="s">
        <v>865</v>
      </c>
      <c r="C231" s="5" t="s">
        <v>820</v>
      </c>
      <c r="D231" t="s">
        <v>196</v>
      </c>
      <c r="E231">
        <v>2</v>
      </c>
      <c r="F231">
        <v>2</v>
      </c>
      <c r="G231">
        <v>19</v>
      </c>
      <c r="H231">
        <v>21</v>
      </c>
      <c r="J231" s="73"/>
    </row>
    <row r="232" spans="1:10" hidden="1" x14ac:dyDescent="0.3">
      <c r="A232" s="73" t="str">
        <f t="shared" si="3"/>
        <v>SectionA_SampleQTIA321922</v>
      </c>
      <c r="B232" s="73" t="s">
        <v>865</v>
      </c>
      <c r="C232" s="5" t="s">
        <v>820</v>
      </c>
      <c r="D232" t="s">
        <v>196</v>
      </c>
      <c r="E232">
        <v>3</v>
      </c>
      <c r="F232">
        <v>2</v>
      </c>
      <c r="G232">
        <v>19</v>
      </c>
      <c r="H232">
        <v>22</v>
      </c>
      <c r="J232" s="73"/>
    </row>
    <row r="233" spans="1:10" hidden="1" x14ac:dyDescent="0.3">
      <c r="A233" s="73" t="str">
        <f t="shared" si="3"/>
        <v>SectionA_SampleQTIA422022</v>
      </c>
      <c r="B233" s="73" t="s">
        <v>865</v>
      </c>
      <c r="C233" s="5" t="s">
        <v>820</v>
      </c>
      <c r="D233" t="s">
        <v>196</v>
      </c>
      <c r="E233">
        <v>4</v>
      </c>
      <c r="F233">
        <v>2</v>
      </c>
      <c r="G233">
        <v>20</v>
      </c>
      <c r="H233">
        <v>22</v>
      </c>
      <c r="J233" s="73"/>
    </row>
    <row r="234" spans="1:10" hidden="1" x14ac:dyDescent="0.3">
      <c r="A234" s="73" t="str">
        <f t="shared" si="3"/>
        <v>SectionA_SampleQTIA522023</v>
      </c>
      <c r="B234" s="73" t="s">
        <v>865</v>
      </c>
      <c r="C234" s="5" t="s">
        <v>820</v>
      </c>
      <c r="D234" t="s">
        <v>196</v>
      </c>
      <c r="E234">
        <v>5</v>
      </c>
      <c r="F234">
        <v>2</v>
      </c>
      <c r="G234">
        <v>20</v>
      </c>
      <c r="H234">
        <v>23</v>
      </c>
      <c r="J234" s="73"/>
    </row>
    <row r="235" spans="1:10" hidden="1" x14ac:dyDescent="0.3">
      <c r="A235" s="73" t="str">
        <f t="shared" si="3"/>
        <v>SectionA_SampleQTIA622023</v>
      </c>
      <c r="B235" s="73" t="s">
        <v>865</v>
      </c>
      <c r="C235" s="5" t="s">
        <v>820</v>
      </c>
      <c r="D235" t="s">
        <v>196</v>
      </c>
      <c r="E235">
        <v>6</v>
      </c>
      <c r="F235">
        <v>2</v>
      </c>
      <c r="G235">
        <v>20</v>
      </c>
      <c r="H235">
        <v>23</v>
      </c>
      <c r="J235" s="73"/>
    </row>
    <row r="236" spans="1:10" hidden="1" x14ac:dyDescent="0.3">
      <c r="A236" s="73" t="str">
        <f t="shared" si="3"/>
        <v>SectionA_SampleQTIA722023</v>
      </c>
      <c r="B236" s="73" t="s">
        <v>865</v>
      </c>
      <c r="C236" s="5" t="s">
        <v>820</v>
      </c>
      <c r="D236" t="s">
        <v>196</v>
      </c>
      <c r="E236">
        <v>7</v>
      </c>
      <c r="F236">
        <v>2</v>
      </c>
      <c r="G236">
        <v>20</v>
      </c>
      <c r="H236">
        <v>23</v>
      </c>
      <c r="J236" s="73"/>
    </row>
    <row r="237" spans="1:10" hidden="1" x14ac:dyDescent="0.3">
      <c r="A237" s="73" t="str">
        <f t="shared" si="3"/>
        <v>SectionA_SampleQTIA122426</v>
      </c>
      <c r="B237" s="73" t="s">
        <v>865</v>
      </c>
      <c r="C237" s="5" t="s">
        <v>814</v>
      </c>
      <c r="D237" t="s">
        <v>196</v>
      </c>
      <c r="E237">
        <v>1</v>
      </c>
      <c r="F237">
        <v>2</v>
      </c>
      <c r="G237">
        <v>24</v>
      </c>
      <c r="H237">
        <v>26</v>
      </c>
      <c r="J237" s="73"/>
    </row>
    <row r="238" spans="1:10" hidden="1" x14ac:dyDescent="0.3">
      <c r="A238" s="73" t="str">
        <f t="shared" si="3"/>
        <v>SectionA_SampleQTIA222426</v>
      </c>
      <c r="B238" s="73" t="s">
        <v>865</v>
      </c>
      <c r="C238" s="5" t="s">
        <v>814</v>
      </c>
      <c r="D238" t="s">
        <v>196</v>
      </c>
      <c r="E238">
        <v>2</v>
      </c>
      <c r="F238">
        <v>2</v>
      </c>
      <c r="G238">
        <v>24</v>
      </c>
      <c r="H238">
        <v>26</v>
      </c>
      <c r="J238" s="73"/>
    </row>
    <row r="239" spans="1:10" hidden="1" x14ac:dyDescent="0.3">
      <c r="A239" s="73" t="str">
        <f>B239&amp;D239&amp;E239&amp;F239&amp;G239&amp;H239</f>
        <v>SectionA_SampleQTIA322427</v>
      </c>
      <c r="B239" s="73" t="s">
        <v>865</v>
      </c>
      <c r="C239" s="5" t="s">
        <v>814</v>
      </c>
      <c r="D239" t="s">
        <v>196</v>
      </c>
      <c r="E239">
        <v>3</v>
      </c>
      <c r="F239">
        <v>2</v>
      </c>
      <c r="G239">
        <v>24</v>
      </c>
      <c r="H239">
        <v>27</v>
      </c>
      <c r="J239" s="73"/>
    </row>
    <row r="240" spans="1:10" hidden="1" x14ac:dyDescent="0.3">
      <c r="A240" s="73" t="str">
        <f t="shared" si="3"/>
        <v>SectionA_SampleQTIA422427</v>
      </c>
      <c r="B240" s="73" t="s">
        <v>865</v>
      </c>
      <c r="C240" s="5" t="s">
        <v>814</v>
      </c>
      <c r="D240" t="s">
        <v>196</v>
      </c>
      <c r="E240">
        <v>4</v>
      </c>
      <c r="F240">
        <v>2</v>
      </c>
      <c r="G240">
        <v>24</v>
      </c>
      <c r="H240">
        <v>27</v>
      </c>
      <c r="J240" s="73"/>
    </row>
    <row r="241" spans="1:10" hidden="1" x14ac:dyDescent="0.3">
      <c r="A241" s="73" t="str">
        <f t="shared" si="3"/>
        <v>SectionA_SampleQTIA522528</v>
      </c>
      <c r="B241" s="73" t="s">
        <v>865</v>
      </c>
      <c r="C241" s="5" t="s">
        <v>814</v>
      </c>
      <c r="D241" t="s">
        <v>196</v>
      </c>
      <c r="E241">
        <v>5</v>
      </c>
      <c r="F241">
        <v>2</v>
      </c>
      <c r="G241">
        <v>25</v>
      </c>
      <c r="H241">
        <v>28</v>
      </c>
      <c r="J241" s="73"/>
    </row>
    <row r="242" spans="1:10" hidden="1" x14ac:dyDescent="0.3">
      <c r="A242" s="73" t="str">
        <f t="shared" si="3"/>
        <v>SectionA_SampleQTIA122930</v>
      </c>
      <c r="B242" s="73" t="s">
        <v>865</v>
      </c>
      <c r="C242" s="5" t="s">
        <v>821</v>
      </c>
      <c r="D242" t="s">
        <v>196</v>
      </c>
      <c r="E242">
        <v>1</v>
      </c>
      <c r="F242">
        <v>2</v>
      </c>
      <c r="G242">
        <v>29</v>
      </c>
      <c r="H242">
        <v>30</v>
      </c>
      <c r="J242" s="73"/>
    </row>
    <row r="243" spans="1:10" hidden="1" x14ac:dyDescent="0.3">
      <c r="A243" s="73" t="str">
        <f t="shared" si="3"/>
        <v>SectionA_SampleQTIA222930</v>
      </c>
      <c r="B243" s="73" t="s">
        <v>865</v>
      </c>
      <c r="C243" s="5" t="s">
        <v>821</v>
      </c>
      <c r="D243" t="s">
        <v>196</v>
      </c>
      <c r="E243">
        <v>2</v>
      </c>
      <c r="F243">
        <v>2</v>
      </c>
      <c r="G243">
        <v>29</v>
      </c>
      <c r="H243">
        <v>30</v>
      </c>
      <c r="J243" s="73"/>
    </row>
    <row r="244" spans="1:10" hidden="1" x14ac:dyDescent="0.3">
      <c r="A244" s="73" t="str">
        <f t="shared" si="3"/>
        <v>SectionA_SampleQTIA322930</v>
      </c>
      <c r="B244" s="73" t="s">
        <v>865</v>
      </c>
      <c r="C244" s="5" t="s">
        <v>821</v>
      </c>
      <c r="D244" t="s">
        <v>196</v>
      </c>
      <c r="E244">
        <v>3</v>
      </c>
      <c r="F244">
        <v>2</v>
      </c>
      <c r="G244">
        <v>29</v>
      </c>
      <c r="H244">
        <v>30</v>
      </c>
      <c r="J244" s="73"/>
    </row>
    <row r="245" spans="1:10" hidden="1" x14ac:dyDescent="0.3">
      <c r="A245" s="73" t="str">
        <f t="shared" si="3"/>
        <v>SectionA_SampleQTIA422930</v>
      </c>
      <c r="B245" s="73" t="s">
        <v>865</v>
      </c>
      <c r="C245" s="5" t="s">
        <v>821</v>
      </c>
      <c r="D245" t="s">
        <v>196</v>
      </c>
      <c r="E245">
        <v>4</v>
      </c>
      <c r="F245">
        <v>2</v>
      </c>
      <c r="G245">
        <v>29</v>
      </c>
      <c r="H245">
        <v>30</v>
      </c>
      <c r="J245" s="73"/>
    </row>
    <row r="246" spans="1:10" hidden="1" x14ac:dyDescent="0.3">
      <c r="A246" s="73" t="str">
        <f t="shared" si="3"/>
        <v>SectionA_SampleQTIA522931</v>
      </c>
      <c r="B246" s="73" t="s">
        <v>865</v>
      </c>
      <c r="C246" s="5" t="s">
        <v>821</v>
      </c>
      <c r="D246" t="s">
        <v>196</v>
      </c>
      <c r="E246">
        <v>5</v>
      </c>
      <c r="F246">
        <v>2</v>
      </c>
      <c r="G246">
        <v>29</v>
      </c>
      <c r="H246">
        <v>31</v>
      </c>
      <c r="J246" s="73"/>
    </row>
    <row r="247" spans="1:10" hidden="1" x14ac:dyDescent="0.3">
      <c r="A247" s="73" t="str">
        <f t="shared" si="3"/>
        <v>SectionA_SampleQTIA622931</v>
      </c>
      <c r="B247" s="73" t="s">
        <v>865</v>
      </c>
      <c r="C247" s="5" t="s">
        <v>821</v>
      </c>
      <c r="D247" t="s">
        <v>196</v>
      </c>
      <c r="E247">
        <v>6</v>
      </c>
      <c r="F247">
        <v>2</v>
      </c>
      <c r="G247">
        <v>29</v>
      </c>
      <c r="H247">
        <v>31</v>
      </c>
      <c r="J247" s="73"/>
    </row>
    <row r="248" spans="1:10" hidden="1" x14ac:dyDescent="0.3">
      <c r="A248" s="73" t="str">
        <f t="shared" si="3"/>
        <v>SectionA_SampleQTIA123234</v>
      </c>
      <c r="B248" s="73" t="s">
        <v>865</v>
      </c>
      <c r="C248" s="5" t="s">
        <v>823</v>
      </c>
      <c r="D248" t="s">
        <v>196</v>
      </c>
      <c r="E248">
        <v>1</v>
      </c>
      <c r="F248">
        <v>2</v>
      </c>
      <c r="G248">
        <v>32</v>
      </c>
      <c r="H248">
        <v>34</v>
      </c>
      <c r="J248" s="73"/>
    </row>
    <row r="249" spans="1:10" hidden="1" x14ac:dyDescent="0.3">
      <c r="A249" s="73" t="str">
        <f t="shared" si="3"/>
        <v>SectionA_SampleQTIA223234</v>
      </c>
      <c r="B249" s="73" t="s">
        <v>865</v>
      </c>
      <c r="C249" s="5" t="s">
        <v>823</v>
      </c>
      <c r="D249" t="s">
        <v>196</v>
      </c>
      <c r="E249">
        <v>2</v>
      </c>
      <c r="F249">
        <v>2</v>
      </c>
      <c r="G249">
        <v>32</v>
      </c>
      <c r="H249">
        <v>34</v>
      </c>
      <c r="J249" s="73"/>
    </row>
    <row r="250" spans="1:10" hidden="1" x14ac:dyDescent="0.3">
      <c r="A250" s="73" t="str">
        <f t="shared" si="3"/>
        <v>SectionA_SampleQTIA323235</v>
      </c>
      <c r="B250" s="73" t="s">
        <v>865</v>
      </c>
      <c r="C250" s="5" t="s">
        <v>823</v>
      </c>
      <c r="D250" t="s">
        <v>196</v>
      </c>
      <c r="E250">
        <v>3</v>
      </c>
      <c r="F250">
        <v>2</v>
      </c>
      <c r="G250">
        <v>32</v>
      </c>
      <c r="H250">
        <v>35</v>
      </c>
      <c r="J250" s="73"/>
    </row>
    <row r="251" spans="1:10" hidden="1" x14ac:dyDescent="0.3">
      <c r="A251" s="73" t="str">
        <f t="shared" si="3"/>
        <v>SectionA_SampleQTIA423335</v>
      </c>
      <c r="B251" s="73" t="s">
        <v>865</v>
      </c>
      <c r="C251" s="5" t="s">
        <v>823</v>
      </c>
      <c r="D251" t="s">
        <v>196</v>
      </c>
      <c r="E251">
        <v>4</v>
      </c>
      <c r="F251">
        <v>2</v>
      </c>
      <c r="G251">
        <v>33</v>
      </c>
      <c r="H251">
        <v>35</v>
      </c>
      <c r="J251" s="73"/>
    </row>
    <row r="252" spans="1:10" hidden="1" x14ac:dyDescent="0.3">
      <c r="A252" s="73" t="str">
        <f t="shared" si="3"/>
        <v>SectionA_SampleQTIA123739</v>
      </c>
      <c r="B252" s="73" t="s">
        <v>865</v>
      </c>
      <c r="C252" s="5" t="s">
        <v>815</v>
      </c>
      <c r="D252" t="s">
        <v>196</v>
      </c>
      <c r="E252">
        <v>1</v>
      </c>
      <c r="F252">
        <v>2</v>
      </c>
      <c r="G252">
        <v>37</v>
      </c>
      <c r="H252">
        <v>39</v>
      </c>
      <c r="J252" s="73"/>
    </row>
    <row r="253" spans="1:10" hidden="1" x14ac:dyDescent="0.3">
      <c r="A253" s="73" t="str">
        <f t="shared" si="3"/>
        <v>SectionA_SampleQTIA223740</v>
      </c>
      <c r="B253" s="73" t="s">
        <v>865</v>
      </c>
      <c r="C253" s="5" t="s">
        <v>815</v>
      </c>
      <c r="D253" t="s">
        <v>196</v>
      </c>
      <c r="E253">
        <v>2</v>
      </c>
      <c r="F253">
        <v>2</v>
      </c>
      <c r="G253">
        <v>37</v>
      </c>
      <c r="H253">
        <v>40</v>
      </c>
      <c r="J253" s="73"/>
    </row>
    <row r="254" spans="1:10" hidden="1" x14ac:dyDescent="0.3">
      <c r="A254" s="73" t="str">
        <f t="shared" si="3"/>
        <v>SectionA_SampleQTIA323840</v>
      </c>
      <c r="B254" s="73" t="s">
        <v>865</v>
      </c>
      <c r="C254" s="5" t="s">
        <v>815</v>
      </c>
      <c r="D254" t="s">
        <v>196</v>
      </c>
      <c r="E254">
        <v>3</v>
      </c>
      <c r="F254">
        <v>2</v>
      </c>
      <c r="G254">
        <v>38</v>
      </c>
      <c r="H254">
        <v>40</v>
      </c>
      <c r="J254" s="73"/>
    </row>
    <row r="255" spans="1:10" hidden="1" x14ac:dyDescent="0.3">
      <c r="A255" s="73" t="str">
        <f t="shared" si="3"/>
        <v>SectionA_SampleQTIA423841</v>
      </c>
      <c r="B255" s="73" t="s">
        <v>865</v>
      </c>
      <c r="C255" s="5" t="s">
        <v>815</v>
      </c>
      <c r="D255" t="s">
        <v>196</v>
      </c>
      <c r="E255">
        <v>4</v>
      </c>
      <c r="F255">
        <v>2</v>
      </c>
      <c r="G255">
        <v>38</v>
      </c>
      <c r="H255">
        <v>41</v>
      </c>
      <c r="J255" s="73"/>
    </row>
    <row r="256" spans="1:10" hidden="1" x14ac:dyDescent="0.3">
      <c r="A256" s="73" t="str">
        <f t="shared" si="3"/>
        <v>SectionA_SampleQTIA523842</v>
      </c>
      <c r="B256" s="73" t="s">
        <v>865</v>
      </c>
      <c r="C256" s="5" t="s">
        <v>815</v>
      </c>
      <c r="D256" t="s">
        <v>196</v>
      </c>
      <c r="E256">
        <v>5</v>
      </c>
      <c r="F256">
        <v>2</v>
      </c>
      <c r="G256">
        <v>38</v>
      </c>
      <c r="H256">
        <v>42</v>
      </c>
      <c r="J256" s="73"/>
    </row>
    <row r="257" spans="1:10" hidden="1" x14ac:dyDescent="0.3">
      <c r="A257" s="73" t="str">
        <f t="shared" si="3"/>
        <v>SectionB_SampleQTIA1213</v>
      </c>
      <c r="B257" s="73" t="s">
        <v>866</v>
      </c>
      <c r="C257" s="5" t="s">
        <v>828</v>
      </c>
      <c r="D257" t="s">
        <v>196</v>
      </c>
      <c r="E257">
        <v>1</v>
      </c>
      <c r="F257">
        <v>2</v>
      </c>
      <c r="G257">
        <v>1</v>
      </c>
      <c r="H257">
        <v>3</v>
      </c>
      <c r="J257" s="73"/>
    </row>
    <row r="258" spans="1:10" hidden="1" x14ac:dyDescent="0.3">
      <c r="A258" s="73" t="str">
        <f t="shared" si="3"/>
        <v>SectionB_SampleQTIA2213</v>
      </c>
      <c r="B258" s="73" t="s">
        <v>866</v>
      </c>
      <c r="C258" s="5" t="s">
        <v>828</v>
      </c>
      <c r="D258" t="s">
        <v>196</v>
      </c>
      <c r="E258">
        <v>2</v>
      </c>
      <c r="F258">
        <v>2</v>
      </c>
      <c r="G258">
        <v>1</v>
      </c>
      <c r="H258">
        <v>3</v>
      </c>
      <c r="J258" s="73"/>
    </row>
    <row r="259" spans="1:10" hidden="1" x14ac:dyDescent="0.3">
      <c r="A259" s="73" t="str">
        <f t="shared" ref="A259:A322" si="4">B259&amp;D259&amp;E259&amp;F259&amp;G259&amp;H259</f>
        <v>SectionB_SampleQTIA3214</v>
      </c>
      <c r="B259" s="73" t="s">
        <v>866</v>
      </c>
      <c r="C259" s="5" t="s">
        <v>828</v>
      </c>
      <c r="D259" t="s">
        <v>196</v>
      </c>
      <c r="E259">
        <v>3</v>
      </c>
      <c r="F259">
        <v>2</v>
      </c>
      <c r="G259">
        <v>1</v>
      </c>
      <c r="H259">
        <v>4</v>
      </c>
      <c r="J259" s="73"/>
    </row>
    <row r="260" spans="1:10" hidden="1" x14ac:dyDescent="0.3">
      <c r="A260" s="73" t="str">
        <f t="shared" si="4"/>
        <v>SectionB_SampleQTIA4214</v>
      </c>
      <c r="B260" s="73" t="s">
        <v>866</v>
      </c>
      <c r="C260" s="5" t="s">
        <v>828</v>
      </c>
      <c r="D260" t="s">
        <v>196</v>
      </c>
      <c r="E260">
        <v>4</v>
      </c>
      <c r="F260">
        <v>2</v>
      </c>
      <c r="G260">
        <v>1</v>
      </c>
      <c r="H260">
        <v>4</v>
      </c>
      <c r="J260" s="73"/>
    </row>
    <row r="261" spans="1:10" hidden="1" x14ac:dyDescent="0.3">
      <c r="A261" s="73" t="str">
        <f t="shared" si="4"/>
        <v>SectionB_SampleQTIA5225</v>
      </c>
      <c r="B261" s="73" t="s">
        <v>866</v>
      </c>
      <c r="C261" s="5" t="s">
        <v>828</v>
      </c>
      <c r="D261" t="s">
        <v>196</v>
      </c>
      <c r="E261">
        <v>5</v>
      </c>
      <c r="F261">
        <v>2</v>
      </c>
      <c r="G261">
        <v>2</v>
      </c>
      <c r="H261">
        <v>5</v>
      </c>
      <c r="J261" s="73"/>
    </row>
    <row r="262" spans="1:10" hidden="1" x14ac:dyDescent="0.3">
      <c r="A262" s="73" t="str">
        <f t="shared" si="4"/>
        <v>SectionB_SampleQTIA6225</v>
      </c>
      <c r="B262" s="73" t="s">
        <v>866</v>
      </c>
      <c r="C262" s="5" t="s">
        <v>828</v>
      </c>
      <c r="D262" t="s">
        <v>196</v>
      </c>
      <c r="E262">
        <v>6</v>
      </c>
      <c r="F262">
        <v>2</v>
      </c>
      <c r="G262">
        <v>2</v>
      </c>
      <c r="H262">
        <v>5</v>
      </c>
      <c r="J262" s="73"/>
    </row>
    <row r="263" spans="1:10" hidden="1" x14ac:dyDescent="0.3">
      <c r="A263" s="73" t="str">
        <f t="shared" si="4"/>
        <v>SectionB_SampleQTIA7226</v>
      </c>
      <c r="B263" s="73" t="s">
        <v>866</v>
      </c>
      <c r="C263" s="5" t="s">
        <v>828</v>
      </c>
      <c r="D263" t="s">
        <v>196</v>
      </c>
      <c r="E263">
        <v>7</v>
      </c>
      <c r="F263">
        <v>2</v>
      </c>
      <c r="G263">
        <v>2</v>
      </c>
      <c r="H263">
        <v>6</v>
      </c>
      <c r="J263" s="73"/>
    </row>
    <row r="264" spans="1:10" hidden="1" x14ac:dyDescent="0.3">
      <c r="A264" s="73" t="str">
        <f t="shared" si="4"/>
        <v>SectionB_SampleQTIA1279</v>
      </c>
      <c r="B264" s="73" t="s">
        <v>866</v>
      </c>
      <c r="C264" s="5" t="s">
        <v>826</v>
      </c>
      <c r="D264" t="s">
        <v>196</v>
      </c>
      <c r="E264">
        <v>1</v>
      </c>
      <c r="F264">
        <v>2</v>
      </c>
      <c r="G264">
        <v>7</v>
      </c>
      <c r="H264">
        <v>9</v>
      </c>
      <c r="J264" s="73"/>
    </row>
    <row r="265" spans="1:10" hidden="1" x14ac:dyDescent="0.3">
      <c r="A265" s="73" t="str">
        <f t="shared" si="4"/>
        <v>SectionB_SampleQTIA2279</v>
      </c>
      <c r="B265" s="73" t="s">
        <v>866</v>
      </c>
      <c r="C265" s="5" t="s">
        <v>826</v>
      </c>
      <c r="D265" t="s">
        <v>196</v>
      </c>
      <c r="E265">
        <v>2</v>
      </c>
      <c r="F265">
        <v>2</v>
      </c>
      <c r="G265">
        <v>7</v>
      </c>
      <c r="H265">
        <v>9</v>
      </c>
      <c r="J265" s="73"/>
    </row>
    <row r="266" spans="1:10" hidden="1" x14ac:dyDescent="0.3">
      <c r="A266" s="73" t="str">
        <f t="shared" si="4"/>
        <v>SectionB_SampleQTIA32711</v>
      </c>
      <c r="B266" s="73" t="s">
        <v>866</v>
      </c>
      <c r="C266" s="5" t="s">
        <v>826</v>
      </c>
      <c r="D266" t="s">
        <v>196</v>
      </c>
      <c r="E266">
        <v>3</v>
      </c>
      <c r="F266">
        <v>2</v>
      </c>
      <c r="G266">
        <v>7</v>
      </c>
      <c r="H266">
        <v>11</v>
      </c>
      <c r="J266" s="73"/>
    </row>
    <row r="267" spans="1:10" hidden="1" x14ac:dyDescent="0.3">
      <c r="A267" s="73" t="str">
        <f t="shared" si="4"/>
        <v>SectionB_SampleQTIA42812</v>
      </c>
      <c r="B267" s="73" t="s">
        <v>866</v>
      </c>
      <c r="C267" s="5" t="s">
        <v>826</v>
      </c>
      <c r="D267" t="s">
        <v>196</v>
      </c>
      <c r="E267">
        <v>4</v>
      </c>
      <c r="F267">
        <v>2</v>
      </c>
      <c r="G267">
        <v>8</v>
      </c>
      <c r="H267">
        <v>12</v>
      </c>
      <c r="J267" s="73"/>
    </row>
    <row r="268" spans="1:10" hidden="1" x14ac:dyDescent="0.3">
      <c r="A268" s="73" t="str">
        <f t="shared" si="4"/>
        <v>SectionB_SampleQTIA52812</v>
      </c>
      <c r="B268" s="73" t="s">
        <v>866</v>
      </c>
      <c r="C268" s="5" t="s">
        <v>826</v>
      </c>
      <c r="D268" t="s">
        <v>196</v>
      </c>
      <c r="E268">
        <v>5</v>
      </c>
      <c r="F268">
        <v>2</v>
      </c>
      <c r="G268">
        <v>8</v>
      </c>
      <c r="H268">
        <v>12</v>
      </c>
      <c r="J268" s="73"/>
    </row>
    <row r="269" spans="1:10" hidden="1" x14ac:dyDescent="0.3">
      <c r="A269" s="73" t="str">
        <f t="shared" si="4"/>
        <v>SectionB_SampleQTIA62813</v>
      </c>
      <c r="B269" s="73" t="s">
        <v>866</v>
      </c>
      <c r="C269" s="5" t="s">
        <v>826</v>
      </c>
      <c r="D269" t="s">
        <v>196</v>
      </c>
      <c r="E269">
        <v>6</v>
      </c>
      <c r="F269">
        <v>2</v>
      </c>
      <c r="G269">
        <v>8</v>
      </c>
      <c r="H269">
        <v>13</v>
      </c>
      <c r="J269" s="73"/>
    </row>
    <row r="270" spans="1:10" hidden="1" x14ac:dyDescent="0.3">
      <c r="A270" s="73" t="str">
        <f t="shared" si="4"/>
        <v>SectionB_SampleQTIA121617</v>
      </c>
      <c r="B270" s="73" t="s">
        <v>866</v>
      </c>
      <c r="C270" s="5" t="s">
        <v>767</v>
      </c>
      <c r="D270" t="s">
        <v>196</v>
      </c>
      <c r="E270">
        <v>1</v>
      </c>
      <c r="F270">
        <v>2</v>
      </c>
      <c r="G270">
        <v>16</v>
      </c>
      <c r="H270">
        <v>17</v>
      </c>
      <c r="J270" s="73"/>
    </row>
    <row r="271" spans="1:10" hidden="1" x14ac:dyDescent="0.3">
      <c r="A271" s="73" t="str">
        <f t="shared" si="4"/>
        <v>SectionB_SampleQTIA221617</v>
      </c>
      <c r="B271" s="73" t="s">
        <v>866</v>
      </c>
      <c r="C271" s="5" t="s">
        <v>767</v>
      </c>
      <c r="D271" t="s">
        <v>196</v>
      </c>
      <c r="E271">
        <v>2</v>
      </c>
      <c r="F271">
        <v>2</v>
      </c>
      <c r="G271">
        <v>16</v>
      </c>
      <c r="H271">
        <v>17</v>
      </c>
      <c r="J271" s="73"/>
    </row>
    <row r="272" spans="1:10" hidden="1" x14ac:dyDescent="0.3">
      <c r="A272" s="73" t="str">
        <f t="shared" si="4"/>
        <v>SectionB_SampleQTIA121819</v>
      </c>
      <c r="B272" s="73" t="s">
        <v>866</v>
      </c>
      <c r="C272" s="5" t="s">
        <v>775</v>
      </c>
      <c r="D272" t="s">
        <v>196</v>
      </c>
      <c r="E272">
        <v>1</v>
      </c>
      <c r="F272">
        <v>2</v>
      </c>
      <c r="G272">
        <v>18</v>
      </c>
      <c r="H272">
        <v>19</v>
      </c>
      <c r="J272" s="73"/>
    </row>
    <row r="273" spans="1:10" hidden="1" x14ac:dyDescent="0.3">
      <c r="A273" s="73" t="str">
        <f t="shared" si="4"/>
        <v>SectionB_SampleQTIA221820</v>
      </c>
      <c r="B273" s="73" t="s">
        <v>866</v>
      </c>
      <c r="C273" s="5" t="s">
        <v>775</v>
      </c>
      <c r="D273" t="s">
        <v>196</v>
      </c>
      <c r="E273">
        <v>2</v>
      </c>
      <c r="F273">
        <v>2</v>
      </c>
      <c r="G273">
        <v>18</v>
      </c>
      <c r="H273">
        <v>20</v>
      </c>
      <c r="J273" s="73"/>
    </row>
    <row r="274" spans="1:10" hidden="1" x14ac:dyDescent="0.3">
      <c r="A274" s="73" t="str">
        <f t="shared" si="4"/>
        <v>SectionB_SampleQTIA122122</v>
      </c>
      <c r="B274" s="73" t="s">
        <v>866</v>
      </c>
      <c r="C274" s="5" t="s">
        <v>776</v>
      </c>
      <c r="D274" t="s">
        <v>196</v>
      </c>
      <c r="E274">
        <v>1</v>
      </c>
      <c r="F274">
        <v>2</v>
      </c>
      <c r="G274">
        <v>21</v>
      </c>
      <c r="H274">
        <v>22</v>
      </c>
      <c r="J274" s="73"/>
    </row>
    <row r="275" spans="1:10" hidden="1" x14ac:dyDescent="0.3">
      <c r="A275" s="73" t="str">
        <f t="shared" si="4"/>
        <v>SectionC_SampleQTIA1213</v>
      </c>
      <c r="B275" s="73" t="s">
        <v>867</v>
      </c>
      <c r="C275" s="5" t="s">
        <v>818</v>
      </c>
      <c r="D275" t="s">
        <v>196</v>
      </c>
      <c r="E275">
        <v>1</v>
      </c>
      <c r="F275">
        <v>2</v>
      </c>
      <c r="G275">
        <v>1</v>
      </c>
      <c r="H275">
        <v>3</v>
      </c>
      <c r="J275" s="73"/>
    </row>
    <row r="276" spans="1:10" hidden="1" x14ac:dyDescent="0.3">
      <c r="A276" s="73" t="str">
        <f t="shared" si="4"/>
        <v>SectionC_SampleQTIA2213</v>
      </c>
      <c r="B276" s="73" t="s">
        <v>867</v>
      </c>
      <c r="C276" s="5" t="s">
        <v>818</v>
      </c>
      <c r="D276" t="s">
        <v>196</v>
      </c>
      <c r="E276">
        <v>2</v>
      </c>
      <c r="F276">
        <v>2</v>
      </c>
      <c r="G276">
        <v>1</v>
      </c>
      <c r="H276">
        <v>3</v>
      </c>
      <c r="J276" s="73"/>
    </row>
    <row r="277" spans="1:10" hidden="1" x14ac:dyDescent="0.3">
      <c r="A277" s="73" t="str">
        <f t="shared" si="4"/>
        <v>SectionC_SampleQTIA3214</v>
      </c>
      <c r="B277" s="73" t="s">
        <v>867</v>
      </c>
      <c r="C277" s="5" t="s">
        <v>818</v>
      </c>
      <c r="D277" t="s">
        <v>196</v>
      </c>
      <c r="E277">
        <v>3</v>
      </c>
      <c r="F277">
        <v>2</v>
      </c>
      <c r="G277">
        <v>1</v>
      </c>
      <c r="H277">
        <v>4</v>
      </c>
      <c r="J277" s="73"/>
    </row>
    <row r="278" spans="1:10" hidden="1" x14ac:dyDescent="0.3">
      <c r="A278" s="73" t="str">
        <f t="shared" si="4"/>
        <v>SectionC_SampleQTIA4214</v>
      </c>
      <c r="B278" s="73" t="s">
        <v>867</v>
      </c>
      <c r="C278" s="5" t="s">
        <v>818</v>
      </c>
      <c r="D278" t="s">
        <v>196</v>
      </c>
      <c r="E278">
        <v>4</v>
      </c>
      <c r="F278">
        <v>2</v>
      </c>
      <c r="G278">
        <v>1</v>
      </c>
      <c r="H278">
        <v>4</v>
      </c>
      <c r="J278" s="73"/>
    </row>
    <row r="279" spans="1:10" hidden="1" x14ac:dyDescent="0.3">
      <c r="A279" s="73" t="str">
        <f t="shared" si="4"/>
        <v>SectionC_SampleQTIA5225</v>
      </c>
      <c r="B279" s="73" t="s">
        <v>867</v>
      </c>
      <c r="C279" s="5" t="s">
        <v>818</v>
      </c>
      <c r="D279" t="s">
        <v>196</v>
      </c>
      <c r="E279">
        <v>5</v>
      </c>
      <c r="F279">
        <v>2</v>
      </c>
      <c r="G279">
        <v>2</v>
      </c>
      <c r="H279">
        <v>5</v>
      </c>
      <c r="J279" s="73"/>
    </row>
    <row r="280" spans="1:10" hidden="1" x14ac:dyDescent="0.3">
      <c r="A280" s="73" t="str">
        <f t="shared" si="4"/>
        <v>SectionC_SampleQTIA6226</v>
      </c>
      <c r="B280" s="73" t="s">
        <v>867</v>
      </c>
      <c r="C280" s="5" t="s">
        <v>818</v>
      </c>
      <c r="D280" t="s">
        <v>196</v>
      </c>
      <c r="E280">
        <v>6</v>
      </c>
      <c r="F280">
        <v>2</v>
      </c>
      <c r="G280">
        <v>2</v>
      </c>
      <c r="H280">
        <v>6</v>
      </c>
      <c r="J280" s="73"/>
    </row>
    <row r="281" spans="1:10" hidden="1" x14ac:dyDescent="0.3">
      <c r="A281" s="73" t="str">
        <f t="shared" si="4"/>
        <v>SectionC_SampleQTIA7227</v>
      </c>
      <c r="B281" s="73" t="s">
        <v>867</v>
      </c>
      <c r="C281" s="5" t="s">
        <v>818</v>
      </c>
      <c r="D281" t="s">
        <v>196</v>
      </c>
      <c r="E281">
        <v>7</v>
      </c>
      <c r="F281">
        <v>2</v>
      </c>
      <c r="G281">
        <v>2</v>
      </c>
      <c r="H281">
        <v>7</v>
      </c>
      <c r="J281" s="73"/>
    </row>
    <row r="282" spans="1:10" hidden="1" x14ac:dyDescent="0.3">
      <c r="A282" s="73" t="str">
        <f t="shared" si="4"/>
        <v>SectionC_SampleQTIA12810</v>
      </c>
      <c r="B282" s="73" t="s">
        <v>867</v>
      </c>
      <c r="C282" s="5" t="s">
        <v>837</v>
      </c>
      <c r="D282" t="s">
        <v>196</v>
      </c>
      <c r="E282">
        <v>1</v>
      </c>
      <c r="F282">
        <v>2</v>
      </c>
      <c r="G282">
        <v>8</v>
      </c>
      <c r="H282">
        <v>10</v>
      </c>
      <c r="J282" s="73"/>
    </row>
    <row r="283" spans="1:10" hidden="1" x14ac:dyDescent="0.3">
      <c r="A283" s="73" t="str">
        <f t="shared" si="4"/>
        <v>SectionC_SampleQTIA22810</v>
      </c>
      <c r="B283" s="73" t="s">
        <v>867</v>
      </c>
      <c r="C283" s="5" t="s">
        <v>837</v>
      </c>
      <c r="D283" t="s">
        <v>196</v>
      </c>
      <c r="E283">
        <v>2</v>
      </c>
      <c r="F283">
        <v>2</v>
      </c>
      <c r="G283">
        <v>8</v>
      </c>
      <c r="H283">
        <v>10</v>
      </c>
      <c r="J283" s="73"/>
    </row>
    <row r="284" spans="1:10" hidden="1" x14ac:dyDescent="0.3">
      <c r="A284" s="73" t="str">
        <f t="shared" si="4"/>
        <v>SectionC_SampleQTIA32812</v>
      </c>
      <c r="B284" s="73" t="s">
        <v>867</v>
      </c>
      <c r="C284" s="5" t="s">
        <v>837</v>
      </c>
      <c r="D284" t="s">
        <v>196</v>
      </c>
      <c r="E284">
        <v>3</v>
      </c>
      <c r="F284">
        <v>2</v>
      </c>
      <c r="G284">
        <v>8</v>
      </c>
      <c r="H284">
        <v>12</v>
      </c>
      <c r="J284" s="73"/>
    </row>
    <row r="285" spans="1:10" hidden="1" x14ac:dyDescent="0.3">
      <c r="A285" s="73" t="str">
        <f t="shared" si="4"/>
        <v>SectionC_SampleQTIA42913</v>
      </c>
      <c r="B285" s="73" t="s">
        <v>867</v>
      </c>
      <c r="C285" s="5" t="s">
        <v>837</v>
      </c>
      <c r="D285" t="s">
        <v>196</v>
      </c>
      <c r="E285">
        <v>4</v>
      </c>
      <c r="F285">
        <v>2</v>
      </c>
      <c r="G285">
        <v>9</v>
      </c>
      <c r="H285">
        <v>13</v>
      </c>
      <c r="J285" s="73"/>
    </row>
    <row r="286" spans="1:10" hidden="1" x14ac:dyDescent="0.3">
      <c r="A286" s="73" t="str">
        <f t="shared" si="4"/>
        <v>SectionC_SampleQTIA52914</v>
      </c>
      <c r="B286" s="73" t="s">
        <v>867</v>
      </c>
      <c r="C286" s="5" t="s">
        <v>837</v>
      </c>
      <c r="D286" t="s">
        <v>196</v>
      </c>
      <c r="E286">
        <v>5</v>
      </c>
      <c r="F286">
        <v>2</v>
      </c>
      <c r="G286">
        <v>9</v>
      </c>
      <c r="H286">
        <v>14</v>
      </c>
      <c r="J286" s="73"/>
    </row>
    <row r="287" spans="1:10" hidden="1" x14ac:dyDescent="0.3">
      <c r="A287" s="73" t="str">
        <f t="shared" si="4"/>
        <v>SectionC_SampleQTIA62915</v>
      </c>
      <c r="B287" s="73" t="s">
        <v>867</v>
      </c>
      <c r="C287" s="5" t="s">
        <v>837</v>
      </c>
      <c r="D287" t="s">
        <v>196</v>
      </c>
      <c r="E287">
        <v>6</v>
      </c>
      <c r="F287">
        <v>2</v>
      </c>
      <c r="G287">
        <v>9</v>
      </c>
      <c r="H287">
        <v>15</v>
      </c>
      <c r="J287" s="73"/>
    </row>
    <row r="288" spans="1:10" hidden="1" x14ac:dyDescent="0.3">
      <c r="A288" s="73" t="str">
        <f t="shared" si="4"/>
        <v>SectionC_SampleQTIA121617</v>
      </c>
      <c r="B288" s="73" t="s">
        <v>867</v>
      </c>
      <c r="C288" s="5" t="s">
        <v>766</v>
      </c>
      <c r="D288" t="s">
        <v>196</v>
      </c>
      <c r="E288">
        <v>1</v>
      </c>
      <c r="F288">
        <v>2</v>
      </c>
      <c r="G288">
        <v>16</v>
      </c>
      <c r="H288">
        <v>17</v>
      </c>
      <c r="J288" s="73"/>
    </row>
    <row r="289" spans="1:10" hidden="1" x14ac:dyDescent="0.3">
      <c r="A289" s="73" t="str">
        <f t="shared" si="4"/>
        <v>SectionC_SampleQTIA221617</v>
      </c>
      <c r="B289" s="73" t="s">
        <v>867</v>
      </c>
      <c r="C289" s="5" t="s">
        <v>766</v>
      </c>
      <c r="D289" t="s">
        <v>196</v>
      </c>
      <c r="E289">
        <v>2</v>
      </c>
      <c r="F289">
        <v>2</v>
      </c>
      <c r="G289">
        <v>16</v>
      </c>
      <c r="H289">
        <v>17</v>
      </c>
      <c r="J289" s="73"/>
    </row>
    <row r="290" spans="1:10" hidden="1" x14ac:dyDescent="0.3">
      <c r="A290" s="73" t="str">
        <f t="shared" si="4"/>
        <v>SectionC_SampleQTIA321617</v>
      </c>
      <c r="B290" s="73" t="s">
        <v>867</v>
      </c>
      <c r="C290" s="5" t="s">
        <v>766</v>
      </c>
      <c r="D290" t="s">
        <v>196</v>
      </c>
      <c r="E290">
        <v>3</v>
      </c>
      <c r="F290">
        <v>2</v>
      </c>
      <c r="G290">
        <v>16</v>
      </c>
      <c r="H290">
        <v>17</v>
      </c>
      <c r="J290" s="73"/>
    </row>
    <row r="291" spans="1:10" hidden="1" x14ac:dyDescent="0.3">
      <c r="A291" s="73" t="str">
        <f t="shared" si="4"/>
        <v>SectionC_SampleQTIA121921</v>
      </c>
      <c r="B291" s="73" t="s">
        <v>867</v>
      </c>
      <c r="C291" s="5" t="s">
        <v>762</v>
      </c>
      <c r="D291" t="s">
        <v>196</v>
      </c>
      <c r="E291">
        <v>1</v>
      </c>
      <c r="F291">
        <v>2</v>
      </c>
      <c r="G291">
        <v>19</v>
      </c>
      <c r="H291">
        <v>21</v>
      </c>
      <c r="J291" s="73"/>
    </row>
    <row r="292" spans="1:10" hidden="1" x14ac:dyDescent="0.3">
      <c r="A292" s="73" t="str">
        <f t="shared" si="4"/>
        <v>SectionC_SampleQTIA221921</v>
      </c>
      <c r="B292" s="73" t="s">
        <v>867</v>
      </c>
      <c r="C292" s="5" t="s">
        <v>762</v>
      </c>
      <c r="D292" t="s">
        <v>196</v>
      </c>
      <c r="E292">
        <v>2</v>
      </c>
      <c r="F292">
        <v>2</v>
      </c>
      <c r="G292">
        <v>19</v>
      </c>
      <c r="H292">
        <v>21</v>
      </c>
      <c r="J292" s="73"/>
    </row>
    <row r="293" spans="1:10" hidden="1" x14ac:dyDescent="0.3">
      <c r="A293" s="73" t="str">
        <f t="shared" si="4"/>
        <v>SectionC_SampleQTIA321922</v>
      </c>
      <c r="B293" s="73" t="s">
        <v>867</v>
      </c>
      <c r="C293" s="5" t="s">
        <v>762</v>
      </c>
      <c r="D293" t="s">
        <v>196</v>
      </c>
      <c r="E293">
        <v>3</v>
      </c>
      <c r="F293">
        <v>2</v>
      </c>
      <c r="G293">
        <v>19</v>
      </c>
      <c r="H293">
        <v>22</v>
      </c>
      <c r="J293" s="73"/>
    </row>
    <row r="294" spans="1:10" hidden="1" x14ac:dyDescent="0.3">
      <c r="A294" s="73" t="str">
        <f t="shared" si="4"/>
        <v>SectionC_SampleQTIA422023</v>
      </c>
      <c r="B294" s="73" t="s">
        <v>867</v>
      </c>
      <c r="C294" s="5" t="s">
        <v>762</v>
      </c>
      <c r="D294" t="s">
        <v>196</v>
      </c>
      <c r="E294">
        <v>4</v>
      </c>
      <c r="F294">
        <v>2</v>
      </c>
      <c r="G294">
        <v>20</v>
      </c>
      <c r="H294">
        <v>23</v>
      </c>
      <c r="J294" s="73"/>
    </row>
    <row r="295" spans="1:10" hidden="1" x14ac:dyDescent="0.3">
      <c r="A295" s="73" t="str">
        <f t="shared" si="4"/>
        <v>SectionC_SampleQTIA522024</v>
      </c>
      <c r="B295" s="73" t="s">
        <v>867</v>
      </c>
      <c r="C295" s="5" t="s">
        <v>762</v>
      </c>
      <c r="D295" t="s">
        <v>196</v>
      </c>
      <c r="E295">
        <v>5</v>
      </c>
      <c r="F295">
        <v>2</v>
      </c>
      <c r="G295">
        <v>20</v>
      </c>
      <c r="H295">
        <v>24</v>
      </c>
      <c r="J295" s="73"/>
    </row>
    <row r="296" spans="1:10" hidden="1" x14ac:dyDescent="0.3">
      <c r="A296" s="73" t="str">
        <f t="shared" si="4"/>
        <v>SectionC_SampleQTIA122528</v>
      </c>
      <c r="B296" s="73" t="s">
        <v>867</v>
      </c>
      <c r="C296" s="5" t="s">
        <v>770</v>
      </c>
      <c r="D296" t="s">
        <v>196</v>
      </c>
      <c r="E296">
        <v>1</v>
      </c>
      <c r="F296">
        <v>2</v>
      </c>
      <c r="G296">
        <v>25</v>
      </c>
      <c r="H296">
        <v>28</v>
      </c>
      <c r="J296" s="73"/>
    </row>
    <row r="297" spans="1:10" hidden="1" x14ac:dyDescent="0.3">
      <c r="A297" s="73" t="str">
        <f t="shared" si="4"/>
        <v>SectionC_SampleQTIA222529</v>
      </c>
      <c r="B297" s="73" t="s">
        <v>867</v>
      </c>
      <c r="C297" s="5" t="s">
        <v>770</v>
      </c>
      <c r="D297" t="s">
        <v>196</v>
      </c>
      <c r="E297">
        <v>2</v>
      </c>
      <c r="F297">
        <v>2</v>
      </c>
      <c r="G297">
        <v>25</v>
      </c>
      <c r="H297">
        <v>29</v>
      </c>
      <c r="J297" s="73"/>
    </row>
    <row r="298" spans="1:10" hidden="1" x14ac:dyDescent="0.3">
      <c r="A298" s="73" t="str">
        <f t="shared" si="4"/>
        <v>SectionC_SampleQTIA322630</v>
      </c>
      <c r="B298" s="73" t="s">
        <v>867</v>
      </c>
      <c r="C298" s="5" t="s">
        <v>770</v>
      </c>
      <c r="D298" t="s">
        <v>196</v>
      </c>
      <c r="E298">
        <v>3</v>
      </c>
      <c r="F298">
        <v>2</v>
      </c>
      <c r="G298">
        <v>26</v>
      </c>
      <c r="H298">
        <v>30</v>
      </c>
      <c r="J298" s="73"/>
    </row>
    <row r="299" spans="1:10" hidden="1" x14ac:dyDescent="0.3">
      <c r="A299" s="73" t="str">
        <f t="shared" si="4"/>
        <v>SectionC_SampleQTIA422731</v>
      </c>
      <c r="B299" s="73" t="s">
        <v>867</v>
      </c>
      <c r="C299" s="5" t="s">
        <v>770</v>
      </c>
      <c r="D299" t="s">
        <v>196</v>
      </c>
      <c r="E299">
        <v>4</v>
      </c>
      <c r="F299">
        <v>2</v>
      </c>
      <c r="G299">
        <v>27</v>
      </c>
      <c r="H299">
        <v>31</v>
      </c>
      <c r="J299" s="73"/>
    </row>
    <row r="300" spans="1:10" hidden="1" x14ac:dyDescent="0.3">
      <c r="A300" s="73" t="str">
        <f t="shared" si="4"/>
        <v>SectionC_SampleQTIA522732</v>
      </c>
      <c r="B300" s="73" t="s">
        <v>867</v>
      </c>
      <c r="C300" s="5" t="s">
        <v>770</v>
      </c>
      <c r="D300" t="s">
        <v>196</v>
      </c>
      <c r="E300">
        <v>5</v>
      </c>
      <c r="F300">
        <v>2</v>
      </c>
      <c r="G300">
        <v>27</v>
      </c>
      <c r="H300">
        <v>32</v>
      </c>
      <c r="J300" s="73"/>
    </row>
    <row r="301" spans="1:10" hidden="1" x14ac:dyDescent="0.3">
      <c r="A301" s="73" t="str">
        <f t="shared" si="4"/>
        <v>SectionD_SampleQTIA1212</v>
      </c>
      <c r="B301" s="73" t="s">
        <v>868</v>
      </c>
      <c r="C301" s="5" t="s">
        <v>774</v>
      </c>
      <c r="D301" t="s">
        <v>196</v>
      </c>
      <c r="E301">
        <v>1</v>
      </c>
      <c r="F301">
        <v>2</v>
      </c>
      <c r="G301">
        <v>1</v>
      </c>
      <c r="H301">
        <v>2</v>
      </c>
      <c r="J301" s="73"/>
    </row>
    <row r="302" spans="1:10" hidden="1" x14ac:dyDescent="0.3">
      <c r="A302" s="73" t="str">
        <f t="shared" si="4"/>
        <v>SectionD_SampleQTIA2212</v>
      </c>
      <c r="B302" s="73" t="s">
        <v>868</v>
      </c>
      <c r="C302" s="5" t="s">
        <v>774</v>
      </c>
      <c r="D302" t="s">
        <v>196</v>
      </c>
      <c r="E302">
        <v>2</v>
      </c>
      <c r="F302">
        <v>2</v>
      </c>
      <c r="G302">
        <v>1</v>
      </c>
      <c r="H302">
        <v>2</v>
      </c>
      <c r="J302" s="73"/>
    </row>
    <row r="303" spans="1:10" hidden="1" x14ac:dyDescent="0.3">
      <c r="A303" s="73" t="str">
        <f t="shared" si="4"/>
        <v>SectionD_SampleQTIA3212</v>
      </c>
      <c r="B303" s="73" t="s">
        <v>868</v>
      </c>
      <c r="C303" s="5" t="s">
        <v>774</v>
      </c>
      <c r="D303" t="s">
        <v>196</v>
      </c>
      <c r="E303">
        <v>3</v>
      </c>
      <c r="F303">
        <v>2</v>
      </c>
      <c r="G303">
        <v>1</v>
      </c>
      <c r="H303">
        <v>2</v>
      </c>
      <c r="J303" s="73"/>
    </row>
    <row r="304" spans="1:10" hidden="1" x14ac:dyDescent="0.3">
      <c r="A304" s="73" t="str">
        <f t="shared" si="4"/>
        <v>SectionD_SampleQTIA4212</v>
      </c>
      <c r="B304" s="73" t="s">
        <v>868</v>
      </c>
      <c r="C304" s="5" t="s">
        <v>774</v>
      </c>
      <c r="D304" t="s">
        <v>196</v>
      </c>
      <c r="E304">
        <v>4</v>
      </c>
      <c r="F304">
        <v>2</v>
      </c>
      <c r="G304">
        <v>1</v>
      </c>
      <c r="H304">
        <v>2</v>
      </c>
      <c r="J304" s="73"/>
    </row>
    <row r="305" spans="1:10" hidden="1" x14ac:dyDescent="0.3">
      <c r="A305" s="73" t="str">
        <f t="shared" si="4"/>
        <v>SectionD_SampleQTIA5212</v>
      </c>
      <c r="B305" s="73" t="s">
        <v>868</v>
      </c>
      <c r="C305" s="5" t="s">
        <v>774</v>
      </c>
      <c r="D305" t="s">
        <v>196</v>
      </c>
      <c r="E305">
        <v>5</v>
      </c>
      <c r="F305">
        <v>2</v>
      </c>
      <c r="G305">
        <v>1</v>
      </c>
      <c r="H305">
        <v>2</v>
      </c>
      <c r="J305" s="73"/>
    </row>
    <row r="306" spans="1:10" hidden="1" x14ac:dyDescent="0.3">
      <c r="A306" s="73" t="str">
        <f t="shared" si="4"/>
        <v>SectionD_SampleQTIA6213</v>
      </c>
      <c r="B306" s="73" t="s">
        <v>868</v>
      </c>
      <c r="C306" s="5" t="s">
        <v>774</v>
      </c>
      <c r="D306" t="s">
        <v>196</v>
      </c>
      <c r="E306">
        <v>6</v>
      </c>
      <c r="F306">
        <v>2</v>
      </c>
      <c r="G306">
        <v>1</v>
      </c>
      <c r="H306">
        <v>3</v>
      </c>
      <c r="J306" s="73"/>
    </row>
    <row r="307" spans="1:10" hidden="1" x14ac:dyDescent="0.3">
      <c r="A307" s="73" t="str">
        <f t="shared" si="4"/>
        <v>SectionD_SampleQTIA7213</v>
      </c>
      <c r="B307" s="73" t="s">
        <v>868</v>
      </c>
      <c r="C307" s="5" t="s">
        <v>774</v>
      </c>
      <c r="D307" t="s">
        <v>196</v>
      </c>
      <c r="E307">
        <v>7</v>
      </c>
      <c r="F307">
        <v>2</v>
      </c>
      <c r="G307">
        <v>1</v>
      </c>
      <c r="H307">
        <v>3</v>
      </c>
      <c r="J307" s="73"/>
    </row>
    <row r="308" spans="1:10" hidden="1" x14ac:dyDescent="0.3">
      <c r="A308" s="73" t="str">
        <f t="shared" si="4"/>
        <v>SectionD_SampleQTIA1247</v>
      </c>
      <c r="B308" s="73" t="s">
        <v>868</v>
      </c>
      <c r="C308" s="5" t="s">
        <v>768</v>
      </c>
      <c r="D308" t="s">
        <v>196</v>
      </c>
      <c r="E308">
        <v>1</v>
      </c>
      <c r="F308">
        <v>2</v>
      </c>
      <c r="G308">
        <v>4</v>
      </c>
      <c r="H308">
        <v>7</v>
      </c>
      <c r="J308" s="73"/>
    </row>
    <row r="309" spans="1:10" hidden="1" x14ac:dyDescent="0.3">
      <c r="A309" s="73" t="str">
        <f t="shared" si="4"/>
        <v>SectionD_SampleQTIA2247</v>
      </c>
      <c r="B309" s="73" t="s">
        <v>868</v>
      </c>
      <c r="C309" s="5" t="s">
        <v>768</v>
      </c>
      <c r="D309" t="s">
        <v>196</v>
      </c>
      <c r="E309">
        <v>2</v>
      </c>
      <c r="F309">
        <v>2</v>
      </c>
      <c r="G309">
        <v>4</v>
      </c>
      <c r="H309">
        <v>7</v>
      </c>
      <c r="J309" s="73"/>
    </row>
    <row r="310" spans="1:10" hidden="1" x14ac:dyDescent="0.3">
      <c r="A310" s="73" t="str">
        <f t="shared" si="4"/>
        <v>SectionD_SampleQTIA3247</v>
      </c>
      <c r="B310" s="73" t="s">
        <v>868</v>
      </c>
      <c r="C310" s="5" t="s">
        <v>768</v>
      </c>
      <c r="D310" t="s">
        <v>196</v>
      </c>
      <c r="E310">
        <v>3</v>
      </c>
      <c r="F310">
        <v>2</v>
      </c>
      <c r="G310">
        <v>4</v>
      </c>
      <c r="H310">
        <v>7</v>
      </c>
      <c r="J310" s="73"/>
    </row>
    <row r="311" spans="1:10" hidden="1" x14ac:dyDescent="0.3">
      <c r="A311" s="73" t="str">
        <f t="shared" si="4"/>
        <v>SectionD_SampleQTIA4247</v>
      </c>
      <c r="B311" s="73" t="s">
        <v>868</v>
      </c>
      <c r="C311" s="5" t="s">
        <v>768</v>
      </c>
      <c r="D311" t="s">
        <v>196</v>
      </c>
      <c r="E311">
        <v>4</v>
      </c>
      <c r="F311">
        <v>2</v>
      </c>
      <c r="G311">
        <v>4</v>
      </c>
      <c r="H311">
        <v>7</v>
      </c>
      <c r="J311" s="73"/>
    </row>
    <row r="312" spans="1:10" hidden="1" x14ac:dyDescent="0.3">
      <c r="A312" s="73" t="str">
        <f t="shared" si="4"/>
        <v>SectionD_SampleQTIA5248</v>
      </c>
      <c r="B312" s="73" t="s">
        <v>868</v>
      </c>
      <c r="C312" s="5" t="s">
        <v>768</v>
      </c>
      <c r="D312" t="s">
        <v>196</v>
      </c>
      <c r="E312">
        <v>5</v>
      </c>
      <c r="F312">
        <v>2</v>
      </c>
      <c r="G312">
        <v>4</v>
      </c>
      <c r="H312">
        <v>8</v>
      </c>
      <c r="J312" s="73"/>
    </row>
    <row r="313" spans="1:10" hidden="1" x14ac:dyDescent="0.3">
      <c r="A313" s="73" t="str">
        <f t="shared" si="4"/>
        <v>SectionD_SampleQTIA6259</v>
      </c>
      <c r="B313" s="73" t="s">
        <v>868</v>
      </c>
      <c r="C313" s="5" t="s">
        <v>768</v>
      </c>
      <c r="D313" t="s">
        <v>196</v>
      </c>
      <c r="E313">
        <v>6</v>
      </c>
      <c r="F313">
        <v>2</v>
      </c>
      <c r="G313">
        <v>5</v>
      </c>
      <c r="H313">
        <v>9</v>
      </c>
      <c r="J313" s="73"/>
    </row>
    <row r="314" spans="1:10" hidden="1" x14ac:dyDescent="0.3">
      <c r="A314" s="73" t="str">
        <f t="shared" si="4"/>
        <v>SectionD_SampleQTIA7259</v>
      </c>
      <c r="B314" s="73" t="s">
        <v>868</v>
      </c>
      <c r="C314" s="5" t="s">
        <v>768</v>
      </c>
      <c r="D314" t="s">
        <v>196</v>
      </c>
      <c r="E314">
        <v>7</v>
      </c>
      <c r="F314">
        <v>2</v>
      </c>
      <c r="G314">
        <v>5</v>
      </c>
      <c r="H314">
        <v>9</v>
      </c>
      <c r="J314" s="73"/>
    </row>
    <row r="315" spans="1:10" hidden="1" x14ac:dyDescent="0.3">
      <c r="A315" s="73" t="str">
        <f t="shared" si="4"/>
        <v>SectionD_SampleQTIA82510</v>
      </c>
      <c r="B315" s="73" t="s">
        <v>868</v>
      </c>
      <c r="C315" s="5" t="s">
        <v>768</v>
      </c>
      <c r="D315" t="s">
        <v>196</v>
      </c>
      <c r="E315">
        <v>8</v>
      </c>
      <c r="F315">
        <v>2</v>
      </c>
      <c r="G315">
        <v>5</v>
      </c>
      <c r="H315">
        <v>10</v>
      </c>
      <c r="J315" s="73"/>
    </row>
    <row r="316" spans="1:10" hidden="1" x14ac:dyDescent="0.3">
      <c r="A316" s="73" t="str">
        <f t="shared" si="4"/>
        <v>SectionD_SampleQTIA92511</v>
      </c>
      <c r="B316" s="73" t="s">
        <v>868</v>
      </c>
      <c r="C316" s="5" t="s">
        <v>768</v>
      </c>
      <c r="D316" t="s">
        <v>196</v>
      </c>
      <c r="E316">
        <v>9</v>
      </c>
      <c r="F316">
        <v>2</v>
      </c>
      <c r="G316">
        <v>5</v>
      </c>
      <c r="H316">
        <v>11</v>
      </c>
      <c r="J316" s="73"/>
    </row>
    <row r="317" spans="1:10" hidden="1" x14ac:dyDescent="0.3">
      <c r="A317" s="73" t="str">
        <f t="shared" si="4"/>
        <v>SectionD_SampleQTIA102611</v>
      </c>
      <c r="B317" s="73" t="s">
        <v>868</v>
      </c>
      <c r="C317" s="5" t="s">
        <v>768</v>
      </c>
      <c r="D317" t="s">
        <v>196</v>
      </c>
      <c r="E317">
        <v>10</v>
      </c>
      <c r="F317">
        <v>2</v>
      </c>
      <c r="G317">
        <v>6</v>
      </c>
      <c r="H317">
        <v>11</v>
      </c>
      <c r="J317" s="73"/>
    </row>
    <row r="318" spans="1:10" hidden="1" x14ac:dyDescent="0.3">
      <c r="A318" s="73" t="str">
        <f t="shared" si="4"/>
        <v>SectionD_SampleQTIA121415</v>
      </c>
      <c r="B318" s="73" t="s">
        <v>868</v>
      </c>
      <c r="C318" s="5" t="s">
        <v>769</v>
      </c>
      <c r="D318" t="s">
        <v>196</v>
      </c>
      <c r="E318">
        <v>1</v>
      </c>
      <c r="F318">
        <v>2</v>
      </c>
      <c r="G318">
        <v>14</v>
      </c>
      <c r="H318">
        <v>15</v>
      </c>
      <c r="J318" s="73"/>
    </row>
    <row r="319" spans="1:10" hidden="1" x14ac:dyDescent="0.3">
      <c r="A319" s="73" t="str">
        <f t="shared" si="4"/>
        <v>SectionD_SampleQTIA221415</v>
      </c>
      <c r="B319" s="73" t="s">
        <v>868</v>
      </c>
      <c r="C319" s="5" t="s">
        <v>769</v>
      </c>
      <c r="D319" t="s">
        <v>196</v>
      </c>
      <c r="E319">
        <v>2</v>
      </c>
      <c r="F319">
        <v>2</v>
      </c>
      <c r="G319">
        <v>14</v>
      </c>
      <c r="H319">
        <v>15</v>
      </c>
      <c r="J319" s="73"/>
    </row>
    <row r="320" spans="1:10" hidden="1" x14ac:dyDescent="0.3">
      <c r="A320" s="73" t="str">
        <f t="shared" si="4"/>
        <v>SectionD_SampleQTIA321416</v>
      </c>
      <c r="B320" s="73" t="s">
        <v>868</v>
      </c>
      <c r="C320" s="5" t="s">
        <v>769</v>
      </c>
      <c r="D320" t="s">
        <v>196</v>
      </c>
      <c r="E320">
        <v>3</v>
      </c>
      <c r="F320">
        <v>2</v>
      </c>
      <c r="G320">
        <v>14</v>
      </c>
      <c r="H320">
        <v>16</v>
      </c>
      <c r="J320" s="73"/>
    </row>
    <row r="321" spans="1:10" hidden="1" x14ac:dyDescent="0.3">
      <c r="A321" s="73" t="str">
        <f t="shared" si="4"/>
        <v>SectionD_SampleQTIA121719</v>
      </c>
      <c r="B321" s="73" t="s">
        <v>868</v>
      </c>
      <c r="C321" s="5" t="s">
        <v>777</v>
      </c>
      <c r="D321" t="s">
        <v>196</v>
      </c>
      <c r="E321">
        <v>1</v>
      </c>
      <c r="F321">
        <v>2</v>
      </c>
      <c r="G321">
        <v>17</v>
      </c>
      <c r="H321">
        <v>19</v>
      </c>
      <c r="J321" s="73"/>
    </row>
    <row r="322" spans="1:10" hidden="1" x14ac:dyDescent="0.3">
      <c r="A322" s="73" t="str">
        <f t="shared" si="4"/>
        <v>SectionD_SampleQTIA221719</v>
      </c>
      <c r="B322" s="73" t="s">
        <v>868</v>
      </c>
      <c r="C322" s="5" t="s">
        <v>777</v>
      </c>
      <c r="D322" t="s">
        <v>196</v>
      </c>
      <c r="E322">
        <v>2</v>
      </c>
      <c r="F322">
        <v>2</v>
      </c>
      <c r="G322">
        <v>17</v>
      </c>
      <c r="H322">
        <v>19</v>
      </c>
      <c r="J322" s="73"/>
    </row>
    <row r="323" spans="1:10" hidden="1" x14ac:dyDescent="0.3">
      <c r="A323" s="73" t="str">
        <f t="shared" ref="A323:A355" si="5">B323&amp;D323&amp;E323&amp;F323&amp;G323&amp;H323</f>
        <v>SectionD_SampleQTIA321719</v>
      </c>
      <c r="B323" s="73" t="s">
        <v>868</v>
      </c>
      <c r="C323" s="5" t="s">
        <v>777</v>
      </c>
      <c r="D323" t="s">
        <v>196</v>
      </c>
      <c r="E323">
        <v>3</v>
      </c>
      <c r="F323">
        <v>2</v>
      </c>
      <c r="G323">
        <v>17</v>
      </c>
      <c r="H323">
        <v>19</v>
      </c>
      <c r="J323" s="73"/>
    </row>
    <row r="324" spans="1:10" hidden="1" x14ac:dyDescent="0.3">
      <c r="A324" s="73" t="str">
        <f t="shared" si="5"/>
        <v>SectionD_SampleQTIA421720</v>
      </c>
      <c r="B324" s="73" t="s">
        <v>868</v>
      </c>
      <c r="C324" s="5" t="s">
        <v>777</v>
      </c>
      <c r="D324" t="s">
        <v>196</v>
      </c>
      <c r="E324">
        <v>4</v>
      </c>
      <c r="F324">
        <v>2</v>
      </c>
      <c r="G324">
        <v>17</v>
      </c>
      <c r="H324">
        <v>20</v>
      </c>
      <c r="J324" s="73"/>
    </row>
    <row r="325" spans="1:10" hidden="1" x14ac:dyDescent="0.3">
      <c r="A325" s="73" t="str">
        <f t="shared" si="5"/>
        <v>SectionD_SampleQTIA521820</v>
      </c>
      <c r="B325" s="73" t="s">
        <v>868</v>
      </c>
      <c r="C325" s="5" t="s">
        <v>777</v>
      </c>
      <c r="D325" t="s">
        <v>196</v>
      </c>
      <c r="E325">
        <v>5</v>
      </c>
      <c r="F325">
        <v>2</v>
      </c>
      <c r="G325">
        <v>18</v>
      </c>
      <c r="H325">
        <v>20</v>
      </c>
      <c r="J325" s="73"/>
    </row>
    <row r="326" spans="1:10" hidden="1" x14ac:dyDescent="0.3">
      <c r="A326" s="73" t="str">
        <f t="shared" si="5"/>
        <v>SectionD_SampleQTIA621820</v>
      </c>
      <c r="B326" s="73" t="s">
        <v>868</v>
      </c>
      <c r="C326" s="5" t="s">
        <v>777</v>
      </c>
      <c r="D326" t="s">
        <v>196</v>
      </c>
      <c r="E326">
        <v>6</v>
      </c>
      <c r="F326">
        <v>2</v>
      </c>
      <c r="G326">
        <v>18</v>
      </c>
      <c r="H326">
        <v>20</v>
      </c>
      <c r="J326" s="73"/>
    </row>
    <row r="327" spans="1:10" hidden="1" x14ac:dyDescent="0.3">
      <c r="A327" s="73" t="str">
        <f t="shared" si="5"/>
        <v>SectionD_SampleQTIA721821</v>
      </c>
      <c r="B327" s="73" t="s">
        <v>868</v>
      </c>
      <c r="C327" s="5" t="s">
        <v>777</v>
      </c>
      <c r="D327" t="s">
        <v>196</v>
      </c>
      <c r="E327">
        <v>7</v>
      </c>
      <c r="F327">
        <v>2</v>
      </c>
      <c r="G327">
        <v>18</v>
      </c>
      <c r="H327">
        <v>21</v>
      </c>
      <c r="J327" s="73"/>
    </row>
    <row r="328" spans="1:10" hidden="1" x14ac:dyDescent="0.3">
      <c r="A328" s="73" t="str">
        <f t="shared" si="5"/>
        <v>SectionD_SampleQTIA821821</v>
      </c>
      <c r="B328" s="73" t="s">
        <v>868</v>
      </c>
      <c r="C328" s="5" t="s">
        <v>777</v>
      </c>
      <c r="D328" t="s">
        <v>196</v>
      </c>
      <c r="E328">
        <v>8</v>
      </c>
      <c r="F328">
        <v>2</v>
      </c>
      <c r="G328">
        <v>18</v>
      </c>
      <c r="H328">
        <v>21</v>
      </c>
      <c r="J328" s="73"/>
    </row>
    <row r="329" spans="1:10" hidden="1" x14ac:dyDescent="0.3">
      <c r="A329" s="73" t="str">
        <f t="shared" si="5"/>
        <v>SectionD_SampleQTIA921821</v>
      </c>
      <c r="B329" s="73" t="s">
        <v>868</v>
      </c>
      <c r="C329" s="5" t="s">
        <v>777</v>
      </c>
      <c r="D329" t="s">
        <v>196</v>
      </c>
      <c r="E329">
        <v>9</v>
      </c>
      <c r="F329">
        <v>2</v>
      </c>
      <c r="G329">
        <v>18</v>
      </c>
      <c r="H329">
        <v>21</v>
      </c>
      <c r="J329" s="73"/>
    </row>
    <row r="330" spans="1:10" hidden="1" x14ac:dyDescent="0.3">
      <c r="A330" s="73" t="str">
        <f t="shared" si="5"/>
        <v>SectionD_SampleQTIA122330</v>
      </c>
      <c r="B330" s="73" t="s">
        <v>868</v>
      </c>
      <c r="C330" s="5" t="s">
        <v>780</v>
      </c>
      <c r="D330" t="s">
        <v>196</v>
      </c>
      <c r="E330">
        <v>1</v>
      </c>
      <c r="F330">
        <v>2</v>
      </c>
      <c r="G330">
        <v>23</v>
      </c>
      <c r="H330">
        <v>30</v>
      </c>
      <c r="J330" s="73"/>
    </row>
    <row r="331" spans="1:10" hidden="1" x14ac:dyDescent="0.3">
      <c r="A331" s="73" t="str">
        <f t="shared" si="5"/>
        <v>SectionD_SampleQTIA222331</v>
      </c>
      <c r="B331" s="73" t="s">
        <v>868</v>
      </c>
      <c r="C331" s="5" t="s">
        <v>780</v>
      </c>
      <c r="D331" t="s">
        <v>196</v>
      </c>
      <c r="E331">
        <v>2</v>
      </c>
      <c r="F331">
        <v>2</v>
      </c>
      <c r="G331">
        <v>23</v>
      </c>
      <c r="H331">
        <v>31</v>
      </c>
      <c r="J331" s="73"/>
    </row>
    <row r="332" spans="1:10" hidden="1" x14ac:dyDescent="0.3">
      <c r="A332" s="73" t="str">
        <f t="shared" si="5"/>
        <v>SectionD_SampleQTIA322331</v>
      </c>
      <c r="B332" s="73" t="s">
        <v>868</v>
      </c>
      <c r="C332" s="5" t="s">
        <v>780</v>
      </c>
      <c r="D332" t="s">
        <v>196</v>
      </c>
      <c r="E332">
        <v>3</v>
      </c>
      <c r="F332">
        <v>2</v>
      </c>
      <c r="G332">
        <v>23</v>
      </c>
      <c r="H332">
        <v>31</v>
      </c>
      <c r="J332" s="73"/>
    </row>
    <row r="333" spans="1:10" hidden="1" x14ac:dyDescent="0.3">
      <c r="A333" s="73" t="str">
        <f t="shared" si="5"/>
        <v>SectionD_SampleQTIA422432</v>
      </c>
      <c r="B333" s="73" t="s">
        <v>868</v>
      </c>
      <c r="C333" s="5" t="s">
        <v>780</v>
      </c>
      <c r="D333" t="s">
        <v>196</v>
      </c>
      <c r="E333">
        <v>4</v>
      </c>
      <c r="F333">
        <v>2</v>
      </c>
      <c r="G333">
        <v>24</v>
      </c>
      <c r="H333">
        <v>32</v>
      </c>
      <c r="J333" s="73"/>
    </row>
    <row r="334" spans="1:10" hidden="1" x14ac:dyDescent="0.3">
      <c r="A334" s="73" t="str">
        <f t="shared" si="5"/>
        <v>SectionD_SampleQTIA522432</v>
      </c>
      <c r="B334" s="73" t="s">
        <v>868</v>
      </c>
      <c r="C334" s="5" t="s">
        <v>780</v>
      </c>
      <c r="D334" t="s">
        <v>196</v>
      </c>
      <c r="E334">
        <v>5</v>
      </c>
      <c r="F334">
        <v>2</v>
      </c>
      <c r="G334">
        <v>24</v>
      </c>
      <c r="H334">
        <v>32</v>
      </c>
      <c r="J334" s="73"/>
    </row>
    <row r="335" spans="1:10" hidden="1" x14ac:dyDescent="0.3">
      <c r="A335" s="73" t="str">
        <f t="shared" si="5"/>
        <v>SectionD_SampleQTIA622433</v>
      </c>
      <c r="B335" s="73" t="s">
        <v>868</v>
      </c>
      <c r="C335" s="5" t="s">
        <v>780</v>
      </c>
      <c r="D335" t="s">
        <v>196</v>
      </c>
      <c r="E335">
        <v>6</v>
      </c>
      <c r="F335">
        <v>2</v>
      </c>
      <c r="G335">
        <v>24</v>
      </c>
      <c r="H335">
        <v>33</v>
      </c>
      <c r="J335" s="73"/>
    </row>
    <row r="336" spans="1:10" hidden="1" x14ac:dyDescent="0.3">
      <c r="A336" s="73" t="str">
        <f t="shared" si="5"/>
        <v>SectionD_SampleQTIA722433</v>
      </c>
      <c r="B336" s="73" t="s">
        <v>868</v>
      </c>
      <c r="C336" s="5" t="s">
        <v>780</v>
      </c>
      <c r="D336" t="s">
        <v>196</v>
      </c>
      <c r="E336">
        <v>7</v>
      </c>
      <c r="F336">
        <v>2</v>
      </c>
      <c r="G336">
        <v>24</v>
      </c>
      <c r="H336">
        <v>33</v>
      </c>
      <c r="J336" s="73"/>
    </row>
    <row r="337" spans="1:10" hidden="1" x14ac:dyDescent="0.3">
      <c r="A337" s="73" t="str">
        <f t="shared" si="5"/>
        <v>SectionD_SampleQTIA822534</v>
      </c>
      <c r="B337" s="73" t="s">
        <v>868</v>
      </c>
      <c r="C337" s="5" t="s">
        <v>780</v>
      </c>
      <c r="D337" t="s">
        <v>196</v>
      </c>
      <c r="E337">
        <v>8</v>
      </c>
      <c r="F337">
        <v>2</v>
      </c>
      <c r="G337">
        <v>25</v>
      </c>
      <c r="H337">
        <v>34</v>
      </c>
      <c r="J337" s="73"/>
    </row>
    <row r="338" spans="1:10" hidden="1" x14ac:dyDescent="0.3">
      <c r="A338" s="73" t="str">
        <f t="shared" si="5"/>
        <v>SectionD_SampleQTIA922636</v>
      </c>
      <c r="B338" s="73" t="s">
        <v>868</v>
      </c>
      <c r="C338" s="5" t="s">
        <v>780</v>
      </c>
      <c r="D338" t="s">
        <v>196</v>
      </c>
      <c r="E338">
        <v>9</v>
      </c>
      <c r="F338">
        <v>2</v>
      </c>
      <c r="G338">
        <v>26</v>
      </c>
      <c r="H338">
        <v>36</v>
      </c>
      <c r="J338" s="73"/>
    </row>
    <row r="339" spans="1:10" hidden="1" x14ac:dyDescent="0.3">
      <c r="A339" s="73" t="str">
        <f t="shared" si="5"/>
        <v>SectionD_SampleQTIA1022737</v>
      </c>
      <c r="B339" s="73" t="s">
        <v>868</v>
      </c>
      <c r="C339" s="5" t="s">
        <v>780</v>
      </c>
      <c r="D339" t="s">
        <v>196</v>
      </c>
      <c r="E339">
        <v>10</v>
      </c>
      <c r="F339">
        <v>2</v>
      </c>
      <c r="G339">
        <v>27</v>
      </c>
      <c r="H339">
        <v>37</v>
      </c>
      <c r="J339" s="73"/>
    </row>
    <row r="340" spans="1:10" hidden="1" x14ac:dyDescent="0.3">
      <c r="A340" s="73" t="str">
        <f t="shared" si="5"/>
        <v>SectionD_SampleQTIA1122839</v>
      </c>
      <c r="B340" s="73" t="s">
        <v>868</v>
      </c>
      <c r="C340" s="5" t="s">
        <v>780</v>
      </c>
      <c r="D340" t="s">
        <v>196</v>
      </c>
      <c r="E340">
        <v>11</v>
      </c>
      <c r="F340">
        <v>2</v>
      </c>
      <c r="G340">
        <v>28</v>
      </c>
      <c r="H340">
        <v>39</v>
      </c>
      <c r="J340" s="73"/>
    </row>
    <row r="341" spans="1:10" hidden="1" x14ac:dyDescent="0.3">
      <c r="A341" s="73" t="str">
        <f t="shared" si="5"/>
        <v>SectionD_SampleQTIA1222940</v>
      </c>
      <c r="B341" s="73" t="s">
        <v>868</v>
      </c>
      <c r="C341" s="5" t="s">
        <v>780</v>
      </c>
      <c r="D341" t="s">
        <v>196</v>
      </c>
      <c r="E341">
        <v>12</v>
      </c>
      <c r="F341">
        <v>2</v>
      </c>
      <c r="G341">
        <v>29</v>
      </c>
      <c r="H341">
        <v>40</v>
      </c>
      <c r="J341" s="73"/>
    </row>
    <row r="342" spans="1:10" hidden="1" x14ac:dyDescent="0.3">
      <c r="A342" s="73" t="str">
        <f t="shared" si="5"/>
        <v>SectionD_SampleQTIA124144</v>
      </c>
      <c r="B342" s="73" t="s">
        <v>868</v>
      </c>
      <c r="C342" s="5" t="s">
        <v>773</v>
      </c>
      <c r="D342" t="s">
        <v>196</v>
      </c>
      <c r="E342">
        <v>1</v>
      </c>
      <c r="F342">
        <v>2</v>
      </c>
      <c r="G342">
        <v>41</v>
      </c>
      <c r="H342">
        <v>44</v>
      </c>
      <c r="J342" s="73"/>
    </row>
    <row r="343" spans="1:10" hidden="1" x14ac:dyDescent="0.3">
      <c r="A343" s="73" t="str">
        <f t="shared" si="5"/>
        <v>SectionD_SampleQTIA224144</v>
      </c>
      <c r="B343" s="73" t="s">
        <v>868</v>
      </c>
      <c r="C343" s="5" t="s">
        <v>773</v>
      </c>
      <c r="D343" t="s">
        <v>196</v>
      </c>
      <c r="E343">
        <v>2</v>
      </c>
      <c r="F343">
        <v>2</v>
      </c>
      <c r="G343">
        <v>41</v>
      </c>
      <c r="H343">
        <v>44</v>
      </c>
      <c r="J343" s="73"/>
    </row>
    <row r="344" spans="1:10" hidden="1" x14ac:dyDescent="0.3">
      <c r="A344" s="73" t="str">
        <f t="shared" si="5"/>
        <v>SectionD_SampleQTIA324145</v>
      </c>
      <c r="B344" s="73" t="s">
        <v>868</v>
      </c>
      <c r="C344" s="5" t="s">
        <v>773</v>
      </c>
      <c r="D344" t="s">
        <v>196</v>
      </c>
      <c r="E344">
        <v>3</v>
      </c>
      <c r="F344">
        <v>2</v>
      </c>
      <c r="G344">
        <v>41</v>
      </c>
      <c r="H344">
        <v>45</v>
      </c>
      <c r="J344" s="73"/>
    </row>
    <row r="345" spans="1:10" hidden="1" x14ac:dyDescent="0.3">
      <c r="A345" s="73" t="str">
        <f t="shared" si="5"/>
        <v>SectionD_SampleQTIA424246</v>
      </c>
      <c r="B345" s="73" t="s">
        <v>868</v>
      </c>
      <c r="C345" s="5" t="s">
        <v>773</v>
      </c>
      <c r="D345" t="s">
        <v>196</v>
      </c>
      <c r="E345">
        <v>4</v>
      </c>
      <c r="F345">
        <v>2</v>
      </c>
      <c r="G345">
        <v>42</v>
      </c>
      <c r="H345">
        <v>46</v>
      </c>
      <c r="J345" s="73"/>
    </row>
    <row r="346" spans="1:10" hidden="1" x14ac:dyDescent="0.3">
      <c r="A346" s="73" t="str">
        <f t="shared" si="5"/>
        <v>SectionD_SampleQTIA524348</v>
      </c>
      <c r="B346" s="73" t="s">
        <v>868</v>
      </c>
      <c r="C346" s="5" t="s">
        <v>773</v>
      </c>
      <c r="D346" t="s">
        <v>196</v>
      </c>
      <c r="E346">
        <v>5</v>
      </c>
      <c r="F346">
        <v>2</v>
      </c>
      <c r="G346">
        <v>43</v>
      </c>
      <c r="H346">
        <v>48</v>
      </c>
      <c r="J346" s="73"/>
    </row>
    <row r="347" spans="1:10" hidden="1" x14ac:dyDescent="0.3">
      <c r="A347" s="73" t="str">
        <f t="shared" si="5"/>
        <v>SectionD_SampleQTIA125052</v>
      </c>
      <c r="B347" s="73" t="s">
        <v>868</v>
      </c>
      <c r="C347" s="5" t="s">
        <v>772</v>
      </c>
      <c r="D347" t="s">
        <v>196</v>
      </c>
      <c r="E347">
        <v>1</v>
      </c>
      <c r="F347">
        <v>2</v>
      </c>
      <c r="G347">
        <v>50</v>
      </c>
      <c r="H347">
        <v>52</v>
      </c>
      <c r="J347" s="73"/>
    </row>
    <row r="348" spans="1:10" hidden="1" x14ac:dyDescent="0.3">
      <c r="A348" s="73" t="str">
        <f t="shared" si="5"/>
        <v>SectionD_SampleQTIA225052</v>
      </c>
      <c r="B348" s="73" t="s">
        <v>868</v>
      </c>
      <c r="C348" s="5" t="s">
        <v>772</v>
      </c>
      <c r="D348" t="s">
        <v>196</v>
      </c>
      <c r="E348">
        <v>2</v>
      </c>
      <c r="F348">
        <v>2</v>
      </c>
      <c r="G348">
        <v>50</v>
      </c>
      <c r="H348">
        <v>52</v>
      </c>
      <c r="J348" s="73"/>
    </row>
    <row r="349" spans="1:10" hidden="1" x14ac:dyDescent="0.3">
      <c r="A349" s="73" t="str">
        <f t="shared" si="5"/>
        <v>SectionD_SampleQTIA325052</v>
      </c>
      <c r="B349" s="73" t="s">
        <v>868</v>
      </c>
      <c r="C349" s="5" t="s">
        <v>772</v>
      </c>
      <c r="D349" t="s">
        <v>196</v>
      </c>
      <c r="E349">
        <v>3</v>
      </c>
      <c r="F349">
        <v>2</v>
      </c>
      <c r="G349">
        <v>50</v>
      </c>
      <c r="H349">
        <v>52</v>
      </c>
      <c r="J349" s="73"/>
    </row>
    <row r="350" spans="1:10" hidden="1" x14ac:dyDescent="0.3">
      <c r="A350" s="73" t="str">
        <f t="shared" si="5"/>
        <v>SectionD_SampleQTIA425052</v>
      </c>
      <c r="B350" s="73" t="s">
        <v>868</v>
      </c>
      <c r="C350" s="5" t="s">
        <v>772</v>
      </c>
      <c r="D350" t="s">
        <v>196</v>
      </c>
      <c r="E350">
        <v>4</v>
      </c>
      <c r="F350">
        <v>2</v>
      </c>
      <c r="G350">
        <v>50</v>
      </c>
      <c r="H350">
        <v>52</v>
      </c>
      <c r="J350" s="73"/>
    </row>
    <row r="351" spans="1:10" hidden="1" x14ac:dyDescent="0.3">
      <c r="A351" s="73" t="str">
        <f t="shared" si="5"/>
        <v>SectionD_SampleQTIA525052</v>
      </c>
      <c r="B351" s="73" t="s">
        <v>868</v>
      </c>
      <c r="C351" s="5" t="s">
        <v>772</v>
      </c>
      <c r="D351" t="s">
        <v>196</v>
      </c>
      <c r="E351">
        <v>5</v>
      </c>
      <c r="F351">
        <v>2</v>
      </c>
      <c r="G351">
        <v>50</v>
      </c>
      <c r="H351">
        <v>52</v>
      </c>
      <c r="J351" s="73"/>
    </row>
    <row r="352" spans="1:10" hidden="1" x14ac:dyDescent="0.3">
      <c r="A352" s="73" t="str">
        <f t="shared" si="5"/>
        <v>SectionD_SampleQTIA625053</v>
      </c>
      <c r="B352" s="73" t="s">
        <v>868</v>
      </c>
      <c r="C352" s="5" t="s">
        <v>772</v>
      </c>
      <c r="D352" t="s">
        <v>196</v>
      </c>
      <c r="E352">
        <v>6</v>
      </c>
      <c r="F352">
        <v>2</v>
      </c>
      <c r="G352">
        <v>50</v>
      </c>
      <c r="H352">
        <v>53</v>
      </c>
      <c r="J352" s="73"/>
    </row>
    <row r="353" spans="1:10" hidden="1" x14ac:dyDescent="0.3">
      <c r="A353" s="73" t="str">
        <f t="shared" si="5"/>
        <v>SectionD_SampleQTIA725153</v>
      </c>
      <c r="B353" s="73" t="s">
        <v>868</v>
      </c>
      <c r="C353" s="5" t="s">
        <v>772</v>
      </c>
      <c r="D353" t="s">
        <v>196</v>
      </c>
      <c r="E353">
        <v>7</v>
      </c>
      <c r="F353">
        <v>2</v>
      </c>
      <c r="G353">
        <v>51</v>
      </c>
      <c r="H353">
        <v>53</v>
      </c>
      <c r="J353" s="73"/>
    </row>
    <row r="354" spans="1:10" hidden="1" x14ac:dyDescent="0.3">
      <c r="A354" s="73" t="str">
        <f t="shared" si="5"/>
        <v>SectionD_SampleQTIA825154</v>
      </c>
      <c r="B354" s="73" t="s">
        <v>868</v>
      </c>
      <c r="C354" s="5" t="s">
        <v>772</v>
      </c>
      <c r="D354" t="s">
        <v>196</v>
      </c>
      <c r="E354">
        <v>8</v>
      </c>
      <c r="F354">
        <v>2</v>
      </c>
      <c r="G354">
        <v>51</v>
      </c>
      <c r="H354">
        <v>54</v>
      </c>
      <c r="J354" s="73"/>
    </row>
    <row r="355" spans="1:10" hidden="1" x14ac:dyDescent="0.3">
      <c r="A355" s="73" t="str">
        <f t="shared" si="5"/>
        <v>SectionD_SampleQTIA925154</v>
      </c>
      <c r="B355" s="73" t="s">
        <v>868</v>
      </c>
      <c r="C355" s="5" t="s">
        <v>772</v>
      </c>
      <c r="D355" t="s">
        <v>196</v>
      </c>
      <c r="E355">
        <v>9</v>
      </c>
      <c r="F355">
        <v>2</v>
      </c>
      <c r="G355">
        <v>51</v>
      </c>
      <c r="H355">
        <v>54</v>
      </c>
      <c r="J355" s="73"/>
    </row>
    <row r="356" spans="1:10" hidden="1" x14ac:dyDescent="0.3">
      <c r="A356" s="73" t="str">
        <f t="shared" ref="A356:A419" si="6">B356&amp;D356&amp;E356&amp;F356&amp;G356&amp;H356</f>
        <v>SectionA_Exam200331.517</v>
      </c>
      <c r="B356" s="73" t="s">
        <v>863</v>
      </c>
      <c r="C356" t="s">
        <v>817</v>
      </c>
      <c r="D356">
        <v>2003</v>
      </c>
      <c r="E356">
        <v>3</v>
      </c>
      <c r="F356">
        <v>1.5</v>
      </c>
      <c r="G356">
        <v>1</v>
      </c>
      <c r="H356">
        <v>7</v>
      </c>
      <c r="J356" s="73"/>
    </row>
    <row r="357" spans="1:10" hidden="1" x14ac:dyDescent="0.3">
      <c r="A357" s="73" t="str">
        <f t="shared" si="6"/>
        <v>SectionA_Exam20034118</v>
      </c>
      <c r="B357" s="73" t="s">
        <v>863</v>
      </c>
      <c r="C357" t="s">
        <v>817</v>
      </c>
      <c r="D357">
        <v>2003</v>
      </c>
      <c r="E357">
        <v>4</v>
      </c>
      <c r="F357">
        <v>1</v>
      </c>
      <c r="G357">
        <v>1</v>
      </c>
      <c r="H357">
        <v>8</v>
      </c>
      <c r="J357" s="73"/>
    </row>
    <row r="358" spans="1:10" hidden="1" x14ac:dyDescent="0.3">
      <c r="A358" s="73" t="str">
        <f t="shared" si="6"/>
        <v>SectionA_Exam20043328</v>
      </c>
      <c r="B358" s="73" t="s">
        <v>863</v>
      </c>
      <c r="C358" t="s">
        <v>817</v>
      </c>
      <c r="D358">
        <v>2004</v>
      </c>
      <c r="E358">
        <v>3</v>
      </c>
      <c r="F358">
        <v>3</v>
      </c>
      <c r="G358">
        <v>2</v>
      </c>
      <c r="H358">
        <v>8</v>
      </c>
      <c r="J358" s="73"/>
    </row>
    <row r="359" spans="1:10" hidden="1" x14ac:dyDescent="0.3">
      <c r="A359" s="73" t="str">
        <f t="shared" si="6"/>
        <v>SectionA_Exam200541.7529</v>
      </c>
      <c r="B359" s="73" t="s">
        <v>863</v>
      </c>
      <c r="C359" t="s">
        <v>817</v>
      </c>
      <c r="D359">
        <v>2005</v>
      </c>
      <c r="E359">
        <v>4</v>
      </c>
      <c r="F359">
        <v>1.75</v>
      </c>
      <c r="G359">
        <v>2</v>
      </c>
      <c r="H359">
        <v>9</v>
      </c>
      <c r="J359" s="73"/>
    </row>
    <row r="360" spans="1:10" hidden="1" x14ac:dyDescent="0.3">
      <c r="A360" s="73" t="str">
        <f t="shared" si="6"/>
        <v>SectionA_Exam20064229</v>
      </c>
      <c r="B360" s="73" t="s">
        <v>863</v>
      </c>
      <c r="C360" t="s">
        <v>817</v>
      </c>
      <c r="D360">
        <v>2006</v>
      </c>
      <c r="E360">
        <v>4</v>
      </c>
      <c r="F360">
        <v>2</v>
      </c>
      <c r="G360">
        <v>2</v>
      </c>
      <c r="H360">
        <v>9</v>
      </c>
      <c r="J360" s="73"/>
    </row>
    <row r="361" spans="1:10" hidden="1" x14ac:dyDescent="0.3">
      <c r="A361" s="73" t="str">
        <f t="shared" si="6"/>
        <v>SectionA_Exam200711.5310</v>
      </c>
      <c r="B361" s="73" t="s">
        <v>863</v>
      </c>
      <c r="C361" t="s">
        <v>817</v>
      </c>
      <c r="D361">
        <v>2007</v>
      </c>
      <c r="E361">
        <v>1</v>
      </c>
      <c r="F361">
        <v>1.5</v>
      </c>
      <c r="G361">
        <v>3</v>
      </c>
      <c r="H361">
        <v>10</v>
      </c>
      <c r="J361" s="73"/>
    </row>
    <row r="362" spans="1:10" hidden="1" x14ac:dyDescent="0.3">
      <c r="A362" s="73" t="str">
        <f t="shared" si="6"/>
        <v>SectionA_Exam200911.75311</v>
      </c>
      <c r="B362" s="73" t="s">
        <v>863</v>
      </c>
      <c r="C362" t="s">
        <v>817</v>
      </c>
      <c r="D362">
        <v>2009</v>
      </c>
      <c r="E362">
        <v>1</v>
      </c>
      <c r="F362">
        <v>1.75</v>
      </c>
      <c r="G362">
        <v>3</v>
      </c>
      <c r="H362">
        <v>11</v>
      </c>
      <c r="J362" s="73"/>
    </row>
    <row r="363" spans="1:10" hidden="1" x14ac:dyDescent="0.3">
      <c r="A363" s="73" t="str">
        <f t="shared" si="6"/>
        <v>SectionA_Exam201021.25311</v>
      </c>
      <c r="B363" s="73" t="s">
        <v>863</v>
      </c>
      <c r="C363" t="s">
        <v>817</v>
      </c>
      <c r="D363">
        <v>2010</v>
      </c>
      <c r="E363">
        <v>2</v>
      </c>
      <c r="F363">
        <v>1.25</v>
      </c>
      <c r="G363">
        <v>3</v>
      </c>
      <c r="H363">
        <v>11</v>
      </c>
      <c r="J363" s="73"/>
    </row>
    <row r="364" spans="1:10" hidden="1" x14ac:dyDescent="0.3">
      <c r="A364" s="73" t="str">
        <f t="shared" si="6"/>
        <v>SectionA_Exam201031.75412</v>
      </c>
      <c r="B364" s="73" t="s">
        <v>863</v>
      </c>
      <c r="C364" t="s">
        <v>817</v>
      </c>
      <c r="D364">
        <v>2010</v>
      </c>
      <c r="E364">
        <v>3</v>
      </c>
      <c r="F364">
        <v>1.75</v>
      </c>
      <c r="G364">
        <v>4</v>
      </c>
      <c r="H364">
        <v>12</v>
      </c>
      <c r="J364" s="73"/>
    </row>
    <row r="365" spans="1:10" hidden="1" x14ac:dyDescent="0.3">
      <c r="A365" s="73" t="str">
        <f t="shared" si="6"/>
        <v>SectionA_Exam201112.25412</v>
      </c>
      <c r="B365" s="73" t="s">
        <v>863</v>
      </c>
      <c r="C365" t="s">
        <v>817</v>
      </c>
      <c r="D365">
        <v>2011</v>
      </c>
      <c r="E365">
        <v>1</v>
      </c>
      <c r="F365">
        <v>2.25</v>
      </c>
      <c r="G365">
        <v>4</v>
      </c>
      <c r="H365">
        <v>12</v>
      </c>
      <c r="J365" s="73"/>
    </row>
    <row r="366" spans="1:10" hidden="1" x14ac:dyDescent="0.3">
      <c r="A366" s="73" t="str">
        <f t="shared" si="6"/>
        <v>SectionA_Exam201213513</v>
      </c>
      <c r="B366" s="73" t="s">
        <v>863</v>
      </c>
      <c r="C366" t="s">
        <v>817</v>
      </c>
      <c r="D366">
        <v>2012</v>
      </c>
      <c r="E366">
        <v>1</v>
      </c>
      <c r="F366">
        <v>3</v>
      </c>
      <c r="G366">
        <v>5</v>
      </c>
      <c r="H366">
        <v>13</v>
      </c>
      <c r="J366" s="73"/>
    </row>
    <row r="367" spans="1:10" hidden="1" x14ac:dyDescent="0.3">
      <c r="A367" s="73" t="str">
        <f t="shared" si="6"/>
        <v>SectionA_Exam201311.5514</v>
      </c>
      <c r="B367" s="73" t="s">
        <v>863</v>
      </c>
      <c r="C367" t="s">
        <v>817</v>
      </c>
      <c r="D367">
        <v>2013</v>
      </c>
      <c r="E367">
        <v>1</v>
      </c>
      <c r="F367">
        <v>1.5</v>
      </c>
      <c r="G367">
        <v>5</v>
      </c>
      <c r="H367">
        <v>14</v>
      </c>
      <c r="J367" s="73"/>
    </row>
    <row r="368" spans="1:10" x14ac:dyDescent="0.3">
      <c r="A368" s="73" t="str">
        <f t="shared" si="6"/>
        <v>SectionA_Exam201411.25615</v>
      </c>
      <c r="B368" s="73" t="s">
        <v>863</v>
      </c>
      <c r="C368" t="s">
        <v>817</v>
      </c>
      <c r="D368">
        <v>2014</v>
      </c>
      <c r="E368">
        <v>1</v>
      </c>
      <c r="F368">
        <v>1.25</v>
      </c>
      <c r="G368">
        <v>6</v>
      </c>
      <c r="H368">
        <v>15</v>
      </c>
      <c r="J368" s="73"/>
    </row>
    <row r="369" spans="1:10" x14ac:dyDescent="0.3">
      <c r="A369" s="73" t="str">
        <f t="shared" si="6"/>
        <v>SectionA_Exam201421.5616</v>
      </c>
      <c r="B369" s="73" t="s">
        <v>863</v>
      </c>
      <c r="C369" t="s">
        <v>817</v>
      </c>
      <c r="D369">
        <v>2014</v>
      </c>
      <c r="E369">
        <v>2</v>
      </c>
      <c r="F369">
        <v>1.5</v>
      </c>
      <c r="G369">
        <v>6</v>
      </c>
      <c r="H369">
        <v>16</v>
      </c>
      <c r="J369" s="73"/>
    </row>
    <row r="370" spans="1:10" hidden="1" x14ac:dyDescent="0.3">
      <c r="A370" s="73" t="str">
        <f t="shared" si="6"/>
        <v>SectionA_Exam2000821825</v>
      </c>
      <c r="B370" s="73" t="s">
        <v>863</v>
      </c>
      <c r="C370" t="s">
        <v>819</v>
      </c>
      <c r="D370">
        <v>2000</v>
      </c>
      <c r="E370">
        <v>8</v>
      </c>
      <c r="F370">
        <v>2</v>
      </c>
      <c r="G370">
        <v>18</v>
      </c>
      <c r="H370">
        <v>25</v>
      </c>
      <c r="J370" s="73"/>
    </row>
    <row r="371" spans="1:10" hidden="1" x14ac:dyDescent="0.3">
      <c r="A371" s="73" t="str">
        <f t="shared" si="6"/>
        <v>SectionA_Exam20011021825</v>
      </c>
      <c r="B371" s="73" t="s">
        <v>863</v>
      </c>
      <c r="C371" t="s">
        <v>819</v>
      </c>
      <c r="D371">
        <v>2001</v>
      </c>
      <c r="E371">
        <v>10</v>
      </c>
      <c r="F371">
        <v>2</v>
      </c>
      <c r="G371">
        <v>18</v>
      </c>
      <c r="H371">
        <v>25</v>
      </c>
      <c r="J371" s="73"/>
    </row>
    <row r="372" spans="1:10" hidden="1" x14ac:dyDescent="0.3">
      <c r="A372" s="73" t="str">
        <f t="shared" si="6"/>
        <v>SectionA_Exam200271.51826</v>
      </c>
      <c r="B372" s="73" t="s">
        <v>863</v>
      </c>
      <c r="C372" t="s">
        <v>819</v>
      </c>
      <c r="D372">
        <v>2002</v>
      </c>
      <c r="E372">
        <v>7</v>
      </c>
      <c r="F372">
        <v>1.5</v>
      </c>
      <c r="G372">
        <v>18</v>
      </c>
      <c r="H372">
        <v>26</v>
      </c>
      <c r="J372" s="73"/>
    </row>
    <row r="373" spans="1:10" hidden="1" x14ac:dyDescent="0.3">
      <c r="A373" s="73" t="str">
        <f t="shared" si="6"/>
        <v>SectionA_Exam20021311927</v>
      </c>
      <c r="B373" s="73" t="s">
        <v>863</v>
      </c>
      <c r="C373" t="s">
        <v>819</v>
      </c>
      <c r="D373">
        <v>2002</v>
      </c>
      <c r="E373">
        <v>13</v>
      </c>
      <c r="F373">
        <v>1</v>
      </c>
      <c r="G373">
        <v>19</v>
      </c>
      <c r="H373">
        <v>27</v>
      </c>
      <c r="J373" s="73"/>
    </row>
    <row r="374" spans="1:10" hidden="1" x14ac:dyDescent="0.3">
      <c r="A374" s="73" t="str">
        <f t="shared" si="6"/>
        <v>SectionA_Exam2003541927</v>
      </c>
      <c r="B374" s="73" t="s">
        <v>863</v>
      </c>
      <c r="C374" t="s">
        <v>819</v>
      </c>
      <c r="D374">
        <v>2003</v>
      </c>
      <c r="E374">
        <v>5</v>
      </c>
      <c r="F374">
        <v>4</v>
      </c>
      <c r="G374">
        <v>19</v>
      </c>
      <c r="H374">
        <v>27</v>
      </c>
      <c r="J374" s="73"/>
    </row>
    <row r="375" spans="1:10" hidden="1" x14ac:dyDescent="0.3">
      <c r="A375" s="73" t="str">
        <f t="shared" si="6"/>
        <v>SectionA_Exam200371.51928</v>
      </c>
      <c r="B375" s="73" t="s">
        <v>863</v>
      </c>
      <c r="C375" t="s">
        <v>819</v>
      </c>
      <c r="D375">
        <v>2003</v>
      </c>
      <c r="E375">
        <v>7</v>
      </c>
      <c r="F375">
        <v>1.5</v>
      </c>
      <c r="G375">
        <v>19</v>
      </c>
      <c r="H375">
        <v>28</v>
      </c>
      <c r="J375" s="73"/>
    </row>
    <row r="376" spans="1:10" hidden="1" x14ac:dyDescent="0.3">
      <c r="A376" s="73" t="str">
        <f t="shared" si="6"/>
        <v>SectionA_Exam200443.52028</v>
      </c>
      <c r="B376" s="73" t="s">
        <v>863</v>
      </c>
      <c r="C376" t="s">
        <v>819</v>
      </c>
      <c r="D376">
        <v>2004</v>
      </c>
      <c r="E376">
        <v>4</v>
      </c>
      <c r="F376">
        <v>3.5</v>
      </c>
      <c r="G376">
        <v>20</v>
      </c>
      <c r="H376">
        <v>28</v>
      </c>
      <c r="J376" s="73"/>
    </row>
    <row r="377" spans="1:10" hidden="1" x14ac:dyDescent="0.3">
      <c r="A377" s="73" t="str">
        <f t="shared" si="6"/>
        <v>SectionA_Exam2005532029</v>
      </c>
      <c r="B377" s="73" t="s">
        <v>863</v>
      </c>
      <c r="C377" t="s">
        <v>819</v>
      </c>
      <c r="D377">
        <v>2005</v>
      </c>
      <c r="E377">
        <v>5</v>
      </c>
      <c r="F377">
        <v>3</v>
      </c>
      <c r="G377">
        <v>20</v>
      </c>
      <c r="H377">
        <v>29</v>
      </c>
      <c r="J377" s="73"/>
    </row>
    <row r="378" spans="1:10" hidden="1" x14ac:dyDescent="0.3">
      <c r="A378" s="73" t="str">
        <f t="shared" si="6"/>
        <v>SectionA_Exam2005612130</v>
      </c>
      <c r="B378" s="73" t="s">
        <v>863</v>
      </c>
      <c r="C378" t="s">
        <v>819</v>
      </c>
      <c r="D378">
        <v>2005</v>
      </c>
      <c r="E378">
        <v>6</v>
      </c>
      <c r="F378">
        <v>1</v>
      </c>
      <c r="G378">
        <v>21</v>
      </c>
      <c r="H378">
        <v>30</v>
      </c>
      <c r="J378" s="73"/>
    </row>
    <row r="379" spans="1:10" hidden="1" x14ac:dyDescent="0.3">
      <c r="A379" s="73" t="str">
        <f t="shared" si="6"/>
        <v>SectionA_Exam200651.52131</v>
      </c>
      <c r="B379" s="73" t="s">
        <v>863</v>
      </c>
      <c r="C379" t="s">
        <v>819</v>
      </c>
      <c r="D379">
        <v>2006</v>
      </c>
      <c r="E379">
        <v>5</v>
      </c>
      <c r="F379">
        <v>1.5</v>
      </c>
      <c r="G379">
        <v>21</v>
      </c>
      <c r="H379">
        <v>31</v>
      </c>
      <c r="J379" s="73"/>
    </row>
    <row r="380" spans="1:10" hidden="1" x14ac:dyDescent="0.3">
      <c r="A380" s="73" t="str">
        <f t="shared" si="6"/>
        <v>SectionA_Exam200722.52131</v>
      </c>
      <c r="B380" s="73" t="s">
        <v>863</v>
      </c>
      <c r="C380" t="s">
        <v>819</v>
      </c>
      <c r="D380">
        <v>2007</v>
      </c>
      <c r="E380">
        <v>2</v>
      </c>
      <c r="F380">
        <v>2.5</v>
      </c>
      <c r="G380">
        <v>21</v>
      </c>
      <c r="H380">
        <v>31</v>
      </c>
      <c r="J380" s="73"/>
    </row>
    <row r="381" spans="1:10" hidden="1" x14ac:dyDescent="0.3">
      <c r="A381" s="73" t="str">
        <f t="shared" si="6"/>
        <v>SectionA_Exam2007312232</v>
      </c>
      <c r="B381" s="73" t="s">
        <v>863</v>
      </c>
      <c r="C381" t="s">
        <v>819</v>
      </c>
      <c r="D381">
        <v>2007</v>
      </c>
      <c r="E381">
        <v>3</v>
      </c>
      <c r="F381">
        <v>1</v>
      </c>
      <c r="G381">
        <v>22</v>
      </c>
      <c r="H381">
        <v>32</v>
      </c>
      <c r="J381" s="73"/>
    </row>
    <row r="382" spans="1:10" hidden="1" x14ac:dyDescent="0.3">
      <c r="A382" s="73" t="str">
        <f t="shared" si="6"/>
        <v>SectionA_Exam2008132232</v>
      </c>
      <c r="B382" s="73" t="s">
        <v>863</v>
      </c>
      <c r="C382" t="s">
        <v>819</v>
      </c>
      <c r="D382">
        <v>2008</v>
      </c>
      <c r="E382">
        <v>1</v>
      </c>
      <c r="F382">
        <v>3</v>
      </c>
      <c r="G382">
        <v>22</v>
      </c>
      <c r="H382">
        <v>32</v>
      </c>
      <c r="J382" s="73"/>
    </row>
    <row r="383" spans="1:10" hidden="1" x14ac:dyDescent="0.3">
      <c r="A383" s="73" t="str">
        <f t="shared" si="6"/>
        <v>SectionA_Exam200922.252333</v>
      </c>
      <c r="B383" s="73" t="s">
        <v>863</v>
      </c>
      <c r="C383" t="s">
        <v>819</v>
      </c>
      <c r="D383">
        <v>2009</v>
      </c>
      <c r="E383">
        <v>2</v>
      </c>
      <c r="F383">
        <v>2.25</v>
      </c>
      <c r="G383">
        <v>23</v>
      </c>
      <c r="H383">
        <v>33</v>
      </c>
      <c r="J383" s="73"/>
    </row>
    <row r="384" spans="1:10" hidden="1" x14ac:dyDescent="0.3">
      <c r="A384" s="73" t="str">
        <f t="shared" si="6"/>
        <v>SectionA_Exam200931.752334</v>
      </c>
      <c r="B384" s="73" t="s">
        <v>863</v>
      </c>
      <c r="C384" t="s">
        <v>819</v>
      </c>
      <c r="D384">
        <v>2009</v>
      </c>
      <c r="E384">
        <v>3</v>
      </c>
      <c r="F384">
        <v>1.75</v>
      </c>
      <c r="G384">
        <v>23</v>
      </c>
      <c r="H384">
        <v>34</v>
      </c>
      <c r="J384" s="73"/>
    </row>
    <row r="385" spans="1:10" hidden="1" x14ac:dyDescent="0.3">
      <c r="A385" s="73" t="str">
        <f t="shared" si="6"/>
        <v>SectionA_Exam2013212335</v>
      </c>
      <c r="B385" s="73" t="s">
        <v>863</v>
      </c>
      <c r="C385" t="s">
        <v>819</v>
      </c>
      <c r="D385">
        <v>2013</v>
      </c>
      <c r="E385">
        <v>2</v>
      </c>
      <c r="F385">
        <v>1</v>
      </c>
      <c r="G385">
        <v>23</v>
      </c>
      <c r="H385">
        <v>35</v>
      </c>
      <c r="J385" s="73"/>
    </row>
    <row r="386" spans="1:10" x14ac:dyDescent="0.3">
      <c r="A386" s="73" t="str">
        <f t="shared" si="6"/>
        <v>SectionA_Exam201452.752435</v>
      </c>
      <c r="B386" s="73" t="s">
        <v>863</v>
      </c>
      <c r="C386" t="s">
        <v>819</v>
      </c>
      <c r="D386">
        <v>2014</v>
      </c>
      <c r="E386">
        <v>5</v>
      </c>
      <c r="F386">
        <v>2.75</v>
      </c>
      <c r="G386">
        <v>24</v>
      </c>
      <c r="H386">
        <v>35</v>
      </c>
      <c r="J386" s="73"/>
    </row>
    <row r="387" spans="1:10" hidden="1" x14ac:dyDescent="0.3">
      <c r="A387" s="73" t="str">
        <f t="shared" si="6"/>
        <v>SectionA_Exam201512.252436</v>
      </c>
      <c r="B387" s="73" t="s">
        <v>863</v>
      </c>
      <c r="C387" t="s">
        <v>819</v>
      </c>
      <c r="D387">
        <v>2015</v>
      </c>
      <c r="E387">
        <v>1</v>
      </c>
      <c r="F387">
        <v>2.25</v>
      </c>
      <c r="G387">
        <v>24</v>
      </c>
      <c r="H387">
        <v>36</v>
      </c>
      <c r="J387" s="73"/>
    </row>
    <row r="388" spans="1:10" hidden="1" x14ac:dyDescent="0.3">
      <c r="A388" s="73" t="str">
        <f t="shared" si="6"/>
        <v>SectionA_Exam2003121.53841</v>
      </c>
      <c r="B388" s="73" t="s">
        <v>863</v>
      </c>
      <c r="C388" t="s">
        <v>813</v>
      </c>
      <c r="D388">
        <v>2003</v>
      </c>
      <c r="E388">
        <v>12</v>
      </c>
      <c r="F388">
        <v>1.5</v>
      </c>
      <c r="G388">
        <v>38</v>
      </c>
      <c r="H388">
        <v>41</v>
      </c>
      <c r="J388" s="73"/>
    </row>
    <row r="389" spans="1:10" hidden="1" x14ac:dyDescent="0.3">
      <c r="A389" s="73" t="str">
        <f t="shared" si="6"/>
        <v>SectionA_Exam200482.253841</v>
      </c>
      <c r="B389" s="73" t="s">
        <v>863</v>
      </c>
      <c r="C389" t="s">
        <v>813</v>
      </c>
      <c r="D389">
        <v>2004</v>
      </c>
      <c r="E389">
        <v>8</v>
      </c>
      <c r="F389">
        <v>2.25</v>
      </c>
      <c r="G389">
        <v>38</v>
      </c>
      <c r="H389">
        <v>41</v>
      </c>
      <c r="J389" s="73"/>
    </row>
    <row r="390" spans="1:10" hidden="1" x14ac:dyDescent="0.3">
      <c r="A390" s="73" t="str">
        <f t="shared" si="6"/>
        <v>SectionA_Exam201333.253942</v>
      </c>
      <c r="B390" s="73" t="s">
        <v>863</v>
      </c>
      <c r="C390" t="s">
        <v>813</v>
      </c>
      <c r="D390">
        <v>2013</v>
      </c>
      <c r="E390">
        <v>3</v>
      </c>
      <c r="F390">
        <v>3.25</v>
      </c>
      <c r="G390">
        <v>39</v>
      </c>
      <c r="H390">
        <v>42</v>
      </c>
      <c r="J390" s="73"/>
    </row>
    <row r="391" spans="1:10" x14ac:dyDescent="0.3">
      <c r="A391" s="73" t="str">
        <f t="shared" si="6"/>
        <v>SectionA_Exam201441.53944</v>
      </c>
      <c r="B391" s="73" t="s">
        <v>863</v>
      </c>
      <c r="C391" t="s">
        <v>813</v>
      </c>
      <c r="D391">
        <v>2014</v>
      </c>
      <c r="E391">
        <v>4</v>
      </c>
      <c r="F391">
        <v>1.5</v>
      </c>
      <c r="G391">
        <v>39</v>
      </c>
      <c r="H391">
        <v>44</v>
      </c>
      <c r="J391" s="73"/>
    </row>
    <row r="392" spans="1:10" hidden="1" x14ac:dyDescent="0.3">
      <c r="A392" s="73" t="str">
        <f t="shared" si="6"/>
        <v>SectionA_Exam201531.54044</v>
      </c>
      <c r="B392" s="73" t="s">
        <v>863</v>
      </c>
      <c r="C392" t="s">
        <v>813</v>
      </c>
      <c r="D392">
        <v>2015</v>
      </c>
      <c r="E392">
        <v>3</v>
      </c>
      <c r="F392">
        <v>1.5</v>
      </c>
      <c r="G392">
        <v>40</v>
      </c>
      <c r="H392">
        <v>44</v>
      </c>
      <c r="J392" s="73"/>
    </row>
    <row r="393" spans="1:10" hidden="1" x14ac:dyDescent="0.3">
      <c r="A393" s="73" t="str">
        <f t="shared" si="6"/>
        <v>SectionA_Exam20021114653</v>
      </c>
      <c r="B393" s="73" t="s">
        <v>863</v>
      </c>
      <c r="C393" t="s">
        <v>820</v>
      </c>
      <c r="D393">
        <v>2002</v>
      </c>
      <c r="E393">
        <v>11</v>
      </c>
      <c r="F393">
        <v>1</v>
      </c>
      <c r="G393">
        <v>46</v>
      </c>
      <c r="H393">
        <v>53</v>
      </c>
      <c r="J393" s="73"/>
    </row>
    <row r="394" spans="1:10" hidden="1" x14ac:dyDescent="0.3">
      <c r="A394" s="73" t="str">
        <f t="shared" si="6"/>
        <v>SectionA_Exam20031014653</v>
      </c>
      <c r="B394" s="73" t="s">
        <v>863</v>
      </c>
      <c r="C394" t="s">
        <v>820</v>
      </c>
      <c r="D394">
        <v>2003</v>
      </c>
      <c r="E394">
        <v>10</v>
      </c>
      <c r="F394">
        <v>1</v>
      </c>
      <c r="G394">
        <v>46</v>
      </c>
      <c r="H394">
        <v>53</v>
      </c>
      <c r="J394" s="73"/>
    </row>
    <row r="395" spans="1:10" hidden="1" x14ac:dyDescent="0.3">
      <c r="A395" s="73" t="str">
        <f t="shared" si="6"/>
        <v>SectionA_Exam20031124653</v>
      </c>
      <c r="B395" s="73" t="s">
        <v>863</v>
      </c>
      <c r="C395" t="s">
        <v>820</v>
      </c>
      <c r="D395">
        <v>2003</v>
      </c>
      <c r="E395">
        <v>11</v>
      </c>
      <c r="F395">
        <v>2</v>
      </c>
      <c r="G395">
        <v>46</v>
      </c>
      <c r="H395">
        <v>53</v>
      </c>
      <c r="J395" s="73"/>
    </row>
    <row r="396" spans="1:10" hidden="1" x14ac:dyDescent="0.3">
      <c r="A396" s="73" t="str">
        <f t="shared" si="6"/>
        <v>SectionA_Exam2004524654</v>
      </c>
      <c r="B396" s="73" t="s">
        <v>863</v>
      </c>
      <c r="C396" t="s">
        <v>820</v>
      </c>
      <c r="D396">
        <v>2004</v>
      </c>
      <c r="E396">
        <v>5</v>
      </c>
      <c r="F396">
        <v>2</v>
      </c>
      <c r="G396">
        <v>46</v>
      </c>
      <c r="H396">
        <v>54</v>
      </c>
      <c r="J396" s="73"/>
    </row>
    <row r="397" spans="1:10" hidden="1" x14ac:dyDescent="0.3">
      <c r="A397" s="73" t="str">
        <f t="shared" si="6"/>
        <v>SectionA_Exam2004614755</v>
      </c>
      <c r="B397" s="73" t="s">
        <v>863</v>
      </c>
      <c r="C397" t="s">
        <v>820</v>
      </c>
      <c r="D397">
        <v>2004</v>
      </c>
      <c r="E397">
        <v>6</v>
      </c>
      <c r="F397">
        <v>1</v>
      </c>
      <c r="G397">
        <v>47</v>
      </c>
      <c r="H397">
        <v>55</v>
      </c>
      <c r="J397" s="73"/>
    </row>
    <row r="398" spans="1:10" hidden="1" x14ac:dyDescent="0.3">
      <c r="A398" s="73" t="str">
        <f t="shared" si="6"/>
        <v>SectionA_Exam2004724755</v>
      </c>
      <c r="B398" s="73" t="s">
        <v>863</v>
      </c>
      <c r="C398" t="s">
        <v>820</v>
      </c>
      <c r="D398">
        <v>2004</v>
      </c>
      <c r="E398">
        <v>7</v>
      </c>
      <c r="F398">
        <v>2</v>
      </c>
      <c r="G398">
        <v>47</v>
      </c>
      <c r="H398">
        <v>55</v>
      </c>
      <c r="J398" s="73"/>
    </row>
    <row r="399" spans="1:10" hidden="1" x14ac:dyDescent="0.3">
      <c r="A399" s="73" t="str">
        <f t="shared" si="6"/>
        <v>SectionA_Exam2005824756</v>
      </c>
      <c r="B399" s="73" t="s">
        <v>863</v>
      </c>
      <c r="C399" t="s">
        <v>820</v>
      </c>
      <c r="D399">
        <v>2005</v>
      </c>
      <c r="E399">
        <v>8</v>
      </c>
      <c r="F399">
        <v>2</v>
      </c>
      <c r="G399">
        <v>47</v>
      </c>
      <c r="H399">
        <v>56</v>
      </c>
      <c r="J399" s="73"/>
    </row>
    <row r="400" spans="1:10" hidden="1" x14ac:dyDescent="0.3">
      <c r="A400" s="73" t="str">
        <f t="shared" si="6"/>
        <v>SectionA_Exam20051214856</v>
      </c>
      <c r="B400" s="73" t="s">
        <v>863</v>
      </c>
      <c r="C400" t="s">
        <v>820</v>
      </c>
      <c r="D400">
        <v>2005</v>
      </c>
      <c r="E400">
        <v>12</v>
      </c>
      <c r="F400">
        <v>1</v>
      </c>
      <c r="G400">
        <v>48</v>
      </c>
      <c r="H400">
        <v>56</v>
      </c>
      <c r="J400" s="73"/>
    </row>
    <row r="401" spans="1:10" hidden="1" x14ac:dyDescent="0.3">
      <c r="A401" s="73" t="str">
        <f t="shared" si="6"/>
        <v>SectionA_Exam200662.54857</v>
      </c>
      <c r="B401" s="73" t="s">
        <v>863</v>
      </c>
      <c r="C401" t="s">
        <v>820</v>
      </c>
      <c r="D401">
        <v>2006</v>
      </c>
      <c r="E401">
        <v>6</v>
      </c>
      <c r="F401">
        <v>2.5</v>
      </c>
      <c r="G401">
        <v>48</v>
      </c>
      <c r="H401">
        <v>57</v>
      </c>
      <c r="J401" s="73"/>
    </row>
    <row r="402" spans="1:10" hidden="1" x14ac:dyDescent="0.3">
      <c r="A402" s="73" t="str">
        <f t="shared" si="6"/>
        <v>SectionA_Exam200831.54959</v>
      </c>
      <c r="B402" s="73" t="s">
        <v>863</v>
      </c>
      <c r="C402" t="s">
        <v>820</v>
      </c>
      <c r="D402">
        <v>2008</v>
      </c>
      <c r="E402">
        <v>3</v>
      </c>
      <c r="F402">
        <v>1.5</v>
      </c>
      <c r="G402">
        <v>49</v>
      </c>
      <c r="H402">
        <v>59</v>
      </c>
      <c r="J402" s="73"/>
    </row>
    <row r="403" spans="1:10" hidden="1" x14ac:dyDescent="0.3">
      <c r="A403" s="73" t="str">
        <f t="shared" si="6"/>
        <v>SectionA_Exam201041.255060</v>
      </c>
      <c r="B403" s="73" t="s">
        <v>863</v>
      </c>
      <c r="C403" t="s">
        <v>820</v>
      </c>
      <c r="D403">
        <v>2010</v>
      </c>
      <c r="E403">
        <v>4</v>
      </c>
      <c r="F403">
        <v>1.25</v>
      </c>
      <c r="G403">
        <v>50</v>
      </c>
      <c r="H403">
        <v>60</v>
      </c>
      <c r="J403" s="73"/>
    </row>
    <row r="404" spans="1:10" hidden="1" x14ac:dyDescent="0.3">
      <c r="A404" s="73" t="str">
        <f t="shared" si="6"/>
        <v>SectionA_Exam201130.755061</v>
      </c>
      <c r="B404" s="73" t="s">
        <v>863</v>
      </c>
      <c r="C404" t="s">
        <v>820</v>
      </c>
      <c r="D404">
        <v>2011</v>
      </c>
      <c r="E404">
        <v>3</v>
      </c>
      <c r="F404">
        <v>0.75</v>
      </c>
      <c r="G404">
        <v>50</v>
      </c>
      <c r="H404">
        <v>61</v>
      </c>
      <c r="J404" s="73"/>
    </row>
    <row r="405" spans="1:10" hidden="1" x14ac:dyDescent="0.3">
      <c r="A405" s="73" t="str">
        <f t="shared" si="6"/>
        <v>SectionA_Exam201141.55162</v>
      </c>
      <c r="B405" s="73" t="s">
        <v>863</v>
      </c>
      <c r="C405" t="s">
        <v>820</v>
      </c>
      <c r="D405">
        <v>2011</v>
      </c>
      <c r="E405">
        <v>4</v>
      </c>
      <c r="F405">
        <v>1.5</v>
      </c>
      <c r="G405">
        <v>51</v>
      </c>
      <c r="H405">
        <v>62</v>
      </c>
      <c r="J405" s="73"/>
    </row>
    <row r="406" spans="1:10" hidden="1" x14ac:dyDescent="0.3">
      <c r="A406" s="73" t="str">
        <f t="shared" si="6"/>
        <v>SectionA_Exam2013415163</v>
      </c>
      <c r="B406" s="73" t="s">
        <v>863</v>
      </c>
      <c r="C406" t="s">
        <v>820</v>
      </c>
      <c r="D406">
        <v>2013</v>
      </c>
      <c r="E406">
        <v>4</v>
      </c>
      <c r="F406">
        <v>1</v>
      </c>
      <c r="G406">
        <v>51</v>
      </c>
      <c r="H406">
        <v>63</v>
      </c>
      <c r="J406" s="73"/>
    </row>
    <row r="407" spans="1:10" x14ac:dyDescent="0.3">
      <c r="A407" s="73" t="str">
        <f t="shared" si="6"/>
        <v>SectionA_Exam2014325163</v>
      </c>
      <c r="B407" s="73" t="s">
        <v>863</v>
      </c>
      <c r="C407" t="s">
        <v>820</v>
      </c>
      <c r="D407">
        <v>2014</v>
      </c>
      <c r="E407">
        <v>3</v>
      </c>
      <c r="F407">
        <v>2</v>
      </c>
      <c r="G407">
        <v>51</v>
      </c>
      <c r="H407">
        <v>63</v>
      </c>
      <c r="J407" s="73"/>
    </row>
    <row r="408" spans="1:10" hidden="1" x14ac:dyDescent="0.3">
      <c r="A408" s="73" t="str">
        <f t="shared" si="6"/>
        <v>SectionA_Exam201542.755264</v>
      </c>
      <c r="B408" s="73" t="s">
        <v>863</v>
      </c>
      <c r="C408" t="s">
        <v>820</v>
      </c>
      <c r="D408">
        <v>2015</v>
      </c>
      <c r="E408">
        <v>4</v>
      </c>
      <c r="F408">
        <v>2.75</v>
      </c>
      <c r="G408">
        <v>52</v>
      </c>
      <c r="H408">
        <v>64</v>
      </c>
      <c r="J408" s="73"/>
    </row>
    <row r="409" spans="1:10" hidden="1" x14ac:dyDescent="0.3">
      <c r="A409" s="73" t="str">
        <f t="shared" si="6"/>
        <v>SectionA_Exam201551.55266</v>
      </c>
      <c r="B409" s="73" t="s">
        <v>863</v>
      </c>
      <c r="C409" t="s">
        <v>820</v>
      </c>
      <c r="D409">
        <v>2015</v>
      </c>
      <c r="E409">
        <v>5</v>
      </c>
      <c r="F409">
        <v>1.5</v>
      </c>
      <c r="G409">
        <v>52</v>
      </c>
      <c r="H409">
        <v>66</v>
      </c>
      <c r="J409" s="73"/>
    </row>
    <row r="410" spans="1:10" hidden="1" x14ac:dyDescent="0.3">
      <c r="A410" s="73" t="str">
        <f t="shared" si="6"/>
        <v>SectionA_Exam20001326872</v>
      </c>
      <c r="B410" s="73" t="s">
        <v>863</v>
      </c>
      <c r="C410" t="s">
        <v>814</v>
      </c>
      <c r="D410">
        <v>2000</v>
      </c>
      <c r="E410">
        <v>13</v>
      </c>
      <c r="F410">
        <v>2</v>
      </c>
      <c r="G410">
        <v>68</v>
      </c>
      <c r="H410">
        <v>72</v>
      </c>
      <c r="J410" s="73"/>
    </row>
    <row r="411" spans="1:10" hidden="1" x14ac:dyDescent="0.3">
      <c r="A411" s="73" t="str">
        <f t="shared" si="6"/>
        <v>SectionA_Exam20013236872</v>
      </c>
      <c r="B411" s="73" t="s">
        <v>863</v>
      </c>
      <c r="C411" t="s">
        <v>814</v>
      </c>
      <c r="D411">
        <v>2001</v>
      </c>
      <c r="E411">
        <v>32</v>
      </c>
      <c r="F411">
        <v>3</v>
      </c>
      <c r="G411">
        <v>68</v>
      </c>
      <c r="H411">
        <v>72</v>
      </c>
      <c r="J411" s="73"/>
    </row>
    <row r="412" spans="1:10" hidden="1" x14ac:dyDescent="0.3">
      <c r="A412" s="73" t="str">
        <f t="shared" si="6"/>
        <v>SectionA_Exam2003131.56973</v>
      </c>
      <c r="B412" s="73" t="s">
        <v>863</v>
      </c>
      <c r="C412" t="s">
        <v>814</v>
      </c>
      <c r="D412">
        <v>2003</v>
      </c>
      <c r="E412">
        <v>13</v>
      </c>
      <c r="F412">
        <v>1.5</v>
      </c>
      <c r="G412">
        <v>69</v>
      </c>
      <c r="H412">
        <v>73</v>
      </c>
      <c r="J412" s="73"/>
    </row>
    <row r="413" spans="1:10" hidden="1" x14ac:dyDescent="0.3">
      <c r="A413" s="73" t="str">
        <f t="shared" si="6"/>
        <v>SectionA_Exam200492.56974</v>
      </c>
      <c r="B413" s="73" t="s">
        <v>863</v>
      </c>
      <c r="C413" t="s">
        <v>814</v>
      </c>
      <c r="D413">
        <v>2004</v>
      </c>
      <c r="E413">
        <v>9</v>
      </c>
      <c r="F413">
        <v>2.5</v>
      </c>
      <c r="G413">
        <v>69</v>
      </c>
      <c r="H413">
        <v>74</v>
      </c>
      <c r="J413" s="73"/>
    </row>
    <row r="414" spans="1:10" hidden="1" x14ac:dyDescent="0.3">
      <c r="A414" s="73" t="str">
        <f t="shared" si="6"/>
        <v>SectionA_Exam200671.56974</v>
      </c>
      <c r="B414" s="73" t="s">
        <v>863</v>
      </c>
      <c r="C414" t="s">
        <v>814</v>
      </c>
      <c r="D414">
        <v>2006</v>
      </c>
      <c r="E414">
        <v>7</v>
      </c>
      <c r="F414">
        <v>1.5</v>
      </c>
      <c r="G414">
        <v>69</v>
      </c>
      <c r="H414">
        <v>74</v>
      </c>
      <c r="J414" s="73"/>
    </row>
    <row r="415" spans="1:10" hidden="1" x14ac:dyDescent="0.3">
      <c r="A415" s="73" t="str">
        <f t="shared" si="6"/>
        <v>SectionA_Exam2006917075</v>
      </c>
      <c r="B415" s="73" t="s">
        <v>863</v>
      </c>
      <c r="C415" t="s">
        <v>814</v>
      </c>
      <c r="D415">
        <v>2006</v>
      </c>
      <c r="E415">
        <v>9</v>
      </c>
      <c r="F415">
        <v>1</v>
      </c>
      <c r="G415">
        <v>70</v>
      </c>
      <c r="H415">
        <v>75</v>
      </c>
      <c r="J415" s="73"/>
    </row>
    <row r="416" spans="1:10" hidden="1" x14ac:dyDescent="0.3">
      <c r="A416" s="73" t="str">
        <f t="shared" si="6"/>
        <v>SectionA_Exam200841.57075</v>
      </c>
      <c r="B416" s="73" t="s">
        <v>863</v>
      </c>
      <c r="C416" t="s">
        <v>814</v>
      </c>
      <c r="D416">
        <v>2008</v>
      </c>
      <c r="E416">
        <v>4</v>
      </c>
      <c r="F416">
        <v>1.5</v>
      </c>
      <c r="G416">
        <v>70</v>
      </c>
      <c r="H416">
        <v>75</v>
      </c>
      <c r="J416" s="73"/>
    </row>
    <row r="417" spans="1:10" hidden="1" x14ac:dyDescent="0.3">
      <c r="A417" s="73" t="str">
        <f t="shared" si="6"/>
        <v>SectionA_Exam2009417076</v>
      </c>
      <c r="B417" s="73" t="s">
        <v>863</v>
      </c>
      <c r="C417" t="s">
        <v>814</v>
      </c>
      <c r="D417">
        <v>2009</v>
      </c>
      <c r="E417">
        <v>4</v>
      </c>
      <c r="F417">
        <v>1</v>
      </c>
      <c r="G417">
        <v>70</v>
      </c>
      <c r="H417">
        <v>76</v>
      </c>
      <c r="J417" s="73"/>
    </row>
    <row r="418" spans="1:10" hidden="1" x14ac:dyDescent="0.3">
      <c r="A418" s="73" t="str">
        <f t="shared" si="6"/>
        <v>SectionA_Exam201121.57076</v>
      </c>
      <c r="B418" s="73" t="s">
        <v>863</v>
      </c>
      <c r="C418" t="s">
        <v>814</v>
      </c>
      <c r="D418">
        <v>2011</v>
      </c>
      <c r="E418">
        <v>2</v>
      </c>
      <c r="F418">
        <v>1.5</v>
      </c>
      <c r="G418">
        <v>70</v>
      </c>
      <c r="H418">
        <v>76</v>
      </c>
      <c r="J418" s="73"/>
    </row>
    <row r="419" spans="1:10" hidden="1" x14ac:dyDescent="0.3">
      <c r="A419" s="73" t="str">
        <f t="shared" si="6"/>
        <v>SectionA_Exam201562.257177</v>
      </c>
      <c r="B419" s="73" t="s">
        <v>863</v>
      </c>
      <c r="C419" t="s">
        <v>814</v>
      </c>
      <c r="D419">
        <v>2015</v>
      </c>
      <c r="E419">
        <v>6</v>
      </c>
      <c r="F419">
        <v>2.25</v>
      </c>
      <c r="G419">
        <v>71</v>
      </c>
      <c r="H419">
        <v>77</v>
      </c>
      <c r="J419" s="73"/>
    </row>
    <row r="420" spans="1:10" hidden="1" x14ac:dyDescent="0.3">
      <c r="A420" s="73" t="str">
        <f t="shared" ref="A420:A483" si="7">B420&amp;D420&amp;E420&amp;F420&amp;G420&amp;H420</f>
        <v>SectionA_Exam2003141.57983</v>
      </c>
      <c r="B420" s="73" t="s">
        <v>863</v>
      </c>
      <c r="C420" t="s">
        <v>821</v>
      </c>
      <c r="D420">
        <v>2003</v>
      </c>
      <c r="E420">
        <v>14</v>
      </c>
      <c r="F420">
        <v>1.5</v>
      </c>
      <c r="G420">
        <v>79</v>
      </c>
      <c r="H420">
        <v>83</v>
      </c>
      <c r="J420" s="73"/>
    </row>
    <row r="421" spans="1:10" hidden="1" x14ac:dyDescent="0.3">
      <c r="A421" s="73" t="str">
        <f t="shared" si="7"/>
        <v>SectionA_Exam2003151.57983</v>
      </c>
      <c r="B421" s="73" t="s">
        <v>863</v>
      </c>
      <c r="C421" t="s">
        <v>821</v>
      </c>
      <c r="D421">
        <v>2003</v>
      </c>
      <c r="E421">
        <v>15</v>
      </c>
      <c r="F421">
        <v>1.5</v>
      </c>
      <c r="G421">
        <v>79</v>
      </c>
      <c r="H421">
        <v>83</v>
      </c>
      <c r="J421" s="73"/>
    </row>
    <row r="422" spans="1:10" hidden="1" x14ac:dyDescent="0.3">
      <c r="A422" s="73" t="str">
        <f t="shared" si="7"/>
        <v>SectionA_Exam2004102.57983</v>
      </c>
      <c r="B422" s="73" t="s">
        <v>863</v>
      </c>
      <c r="C422" t="s">
        <v>821</v>
      </c>
      <c r="D422">
        <v>2004</v>
      </c>
      <c r="E422">
        <v>10</v>
      </c>
      <c r="F422">
        <v>2.5</v>
      </c>
      <c r="G422">
        <v>79</v>
      </c>
      <c r="H422">
        <v>83</v>
      </c>
      <c r="J422" s="73"/>
    </row>
    <row r="423" spans="1:10" hidden="1" x14ac:dyDescent="0.3">
      <c r="A423" s="73" t="str">
        <f t="shared" si="7"/>
        <v>SectionA_Exam2006827984</v>
      </c>
      <c r="B423" s="73" t="s">
        <v>863</v>
      </c>
      <c r="C423" t="s">
        <v>821</v>
      </c>
      <c r="D423">
        <v>2006</v>
      </c>
      <c r="E423">
        <v>8</v>
      </c>
      <c r="F423">
        <v>2</v>
      </c>
      <c r="G423">
        <v>79</v>
      </c>
      <c r="H423">
        <v>84</v>
      </c>
      <c r="J423" s="73"/>
    </row>
    <row r="424" spans="1:10" hidden="1" x14ac:dyDescent="0.3">
      <c r="A424" s="73" t="str">
        <f t="shared" si="7"/>
        <v>SectionA_Exam2007527984</v>
      </c>
      <c r="B424" s="73" t="s">
        <v>863</v>
      </c>
      <c r="C424" t="s">
        <v>821</v>
      </c>
      <c r="D424">
        <v>2007</v>
      </c>
      <c r="E424">
        <v>5</v>
      </c>
      <c r="F424">
        <v>2</v>
      </c>
      <c r="G424">
        <v>79</v>
      </c>
      <c r="H424">
        <v>84</v>
      </c>
      <c r="J424" s="73"/>
    </row>
    <row r="425" spans="1:10" hidden="1" x14ac:dyDescent="0.3">
      <c r="A425" s="73" t="str">
        <f t="shared" si="7"/>
        <v>SectionA_Exam200852.258085</v>
      </c>
      <c r="B425" s="73" t="s">
        <v>863</v>
      </c>
      <c r="C425" t="s">
        <v>821</v>
      </c>
      <c r="D425">
        <v>2008</v>
      </c>
      <c r="E425">
        <v>5</v>
      </c>
      <c r="F425">
        <v>2.25</v>
      </c>
      <c r="G425">
        <v>80</v>
      </c>
      <c r="H425">
        <v>85</v>
      </c>
      <c r="J425" s="73"/>
    </row>
    <row r="426" spans="1:10" hidden="1" x14ac:dyDescent="0.3">
      <c r="A426" s="73" t="str">
        <f t="shared" si="7"/>
        <v>SectionA_Exam200871.58085</v>
      </c>
      <c r="B426" s="73" t="s">
        <v>863</v>
      </c>
      <c r="C426" t="s">
        <v>821</v>
      </c>
      <c r="D426">
        <v>2008</v>
      </c>
      <c r="E426">
        <v>7</v>
      </c>
      <c r="F426">
        <v>1.5</v>
      </c>
      <c r="G426">
        <v>80</v>
      </c>
      <c r="H426">
        <v>85</v>
      </c>
      <c r="J426" s="73"/>
    </row>
    <row r="427" spans="1:10" hidden="1" x14ac:dyDescent="0.3">
      <c r="A427" s="73" t="str">
        <f t="shared" si="7"/>
        <v>SectionA_Exam201011.58086</v>
      </c>
      <c r="B427" s="73" t="s">
        <v>863</v>
      </c>
      <c r="C427" t="s">
        <v>821</v>
      </c>
      <c r="D427">
        <v>2010</v>
      </c>
      <c r="E427">
        <v>1</v>
      </c>
      <c r="F427">
        <v>1.5</v>
      </c>
      <c r="G427">
        <v>80</v>
      </c>
      <c r="H427">
        <v>86</v>
      </c>
      <c r="J427" s="73"/>
    </row>
    <row r="428" spans="1:10" hidden="1" x14ac:dyDescent="0.3">
      <c r="A428" s="73" t="str">
        <f t="shared" si="7"/>
        <v>SectionA_Exam2012338186</v>
      </c>
      <c r="B428" s="73" t="s">
        <v>863</v>
      </c>
      <c r="C428" t="s">
        <v>821</v>
      </c>
      <c r="D428">
        <v>2012</v>
      </c>
      <c r="E428">
        <v>3</v>
      </c>
      <c r="F428">
        <v>3</v>
      </c>
      <c r="G428">
        <v>81</v>
      </c>
      <c r="H428">
        <v>86</v>
      </c>
      <c r="J428" s="73"/>
    </row>
    <row r="429" spans="1:10" x14ac:dyDescent="0.3">
      <c r="A429" s="73" t="str">
        <f t="shared" si="7"/>
        <v>SectionA_Exam2014628287</v>
      </c>
      <c r="B429" s="73" t="s">
        <v>863</v>
      </c>
      <c r="C429" t="s">
        <v>821</v>
      </c>
      <c r="D429">
        <v>2014</v>
      </c>
      <c r="E429">
        <v>6</v>
      </c>
      <c r="F429">
        <v>2</v>
      </c>
      <c r="G429">
        <v>82</v>
      </c>
      <c r="H429">
        <v>87</v>
      </c>
      <c r="J429" s="73"/>
    </row>
    <row r="430" spans="1:10" hidden="1" x14ac:dyDescent="0.3">
      <c r="A430" s="73" t="str">
        <f t="shared" si="7"/>
        <v>SectionA_Exam200772.258991</v>
      </c>
      <c r="B430" s="73" t="s">
        <v>863</v>
      </c>
      <c r="C430" t="s">
        <v>823</v>
      </c>
      <c r="D430">
        <v>2007</v>
      </c>
      <c r="E430">
        <v>7</v>
      </c>
      <c r="F430">
        <v>2.25</v>
      </c>
      <c r="G430">
        <v>89</v>
      </c>
      <c r="H430">
        <v>91</v>
      </c>
      <c r="J430" s="73"/>
    </row>
    <row r="431" spans="1:10" hidden="1" x14ac:dyDescent="0.3">
      <c r="A431" s="73" t="str">
        <f t="shared" si="7"/>
        <v>SectionA_Exam200861.58991</v>
      </c>
      <c r="B431" s="73" t="s">
        <v>863</v>
      </c>
      <c r="C431" t="s">
        <v>823</v>
      </c>
      <c r="D431">
        <v>2008</v>
      </c>
      <c r="E431">
        <v>6</v>
      </c>
      <c r="F431">
        <v>1.5</v>
      </c>
      <c r="G431">
        <v>89</v>
      </c>
      <c r="H431">
        <v>91</v>
      </c>
      <c r="J431" s="73"/>
    </row>
    <row r="432" spans="1:10" hidden="1" x14ac:dyDescent="0.3">
      <c r="A432" s="73" t="str">
        <f t="shared" si="7"/>
        <v>SectionA_Exam201352.59092</v>
      </c>
      <c r="B432" s="73" t="s">
        <v>863</v>
      </c>
      <c r="C432" t="s">
        <v>823</v>
      </c>
      <c r="D432">
        <v>2013</v>
      </c>
      <c r="E432">
        <v>5</v>
      </c>
      <c r="F432">
        <v>2.5</v>
      </c>
      <c r="G432">
        <v>90</v>
      </c>
      <c r="H432">
        <v>92</v>
      </c>
      <c r="J432" s="73"/>
    </row>
    <row r="433" spans="1:10" hidden="1" x14ac:dyDescent="0.3">
      <c r="A433" s="73" t="str">
        <f t="shared" si="7"/>
        <v>SectionA_Exam2000123.59395</v>
      </c>
      <c r="B433" s="73" t="s">
        <v>863</v>
      </c>
      <c r="C433" t="s">
        <v>815</v>
      </c>
      <c r="D433">
        <v>2000</v>
      </c>
      <c r="E433">
        <v>12</v>
      </c>
      <c r="F433">
        <v>3.5</v>
      </c>
      <c r="G433">
        <v>93</v>
      </c>
      <c r="H433">
        <v>95</v>
      </c>
      <c r="J433" s="73"/>
    </row>
    <row r="434" spans="1:10" hidden="1" x14ac:dyDescent="0.3">
      <c r="A434" s="73" t="str">
        <f t="shared" si="7"/>
        <v>SectionA_Exam2001110.59396</v>
      </c>
      <c r="B434" s="73" t="s">
        <v>863</v>
      </c>
      <c r="C434" t="s">
        <v>815</v>
      </c>
      <c r="D434">
        <v>2001</v>
      </c>
      <c r="E434">
        <v>11</v>
      </c>
      <c r="F434">
        <v>0.5</v>
      </c>
      <c r="G434">
        <v>93</v>
      </c>
      <c r="H434">
        <v>96</v>
      </c>
      <c r="J434" s="73"/>
    </row>
    <row r="435" spans="1:10" hidden="1" x14ac:dyDescent="0.3">
      <c r="A435" s="73" t="str">
        <f t="shared" si="7"/>
        <v>SectionA_Exam2003161.59396</v>
      </c>
      <c r="B435" s="73" t="s">
        <v>863</v>
      </c>
      <c r="C435" t="s">
        <v>815</v>
      </c>
      <c r="D435">
        <v>2003</v>
      </c>
      <c r="E435">
        <v>16</v>
      </c>
      <c r="F435">
        <v>1.5</v>
      </c>
      <c r="G435">
        <v>93</v>
      </c>
      <c r="H435">
        <v>96</v>
      </c>
      <c r="J435" s="73"/>
    </row>
    <row r="436" spans="1:10" hidden="1" x14ac:dyDescent="0.3">
      <c r="A436" s="73" t="str">
        <f t="shared" si="7"/>
        <v>SectionA_Exam20041119496</v>
      </c>
      <c r="B436" s="73" t="s">
        <v>863</v>
      </c>
      <c r="C436" t="s">
        <v>815</v>
      </c>
      <c r="D436">
        <v>2004</v>
      </c>
      <c r="E436">
        <v>11</v>
      </c>
      <c r="F436">
        <v>1</v>
      </c>
      <c r="G436">
        <v>94</v>
      </c>
      <c r="H436">
        <v>96</v>
      </c>
      <c r="J436" s="73"/>
    </row>
    <row r="437" spans="1:10" hidden="1" x14ac:dyDescent="0.3">
      <c r="A437" s="73" t="str">
        <f t="shared" si="7"/>
        <v>SectionA_Exam20051029497</v>
      </c>
      <c r="B437" s="73" t="s">
        <v>863</v>
      </c>
      <c r="C437" t="s">
        <v>815</v>
      </c>
      <c r="D437">
        <v>2005</v>
      </c>
      <c r="E437">
        <v>10</v>
      </c>
      <c r="F437">
        <v>2</v>
      </c>
      <c r="G437">
        <v>94</v>
      </c>
      <c r="H437">
        <v>97</v>
      </c>
      <c r="J437" s="73"/>
    </row>
    <row r="438" spans="1:10" hidden="1" x14ac:dyDescent="0.3">
      <c r="A438" s="73" t="str">
        <f t="shared" si="7"/>
        <v>SectionA_Exam201052.59497</v>
      </c>
      <c r="B438" s="73" t="s">
        <v>863</v>
      </c>
      <c r="C438" t="s">
        <v>815</v>
      </c>
      <c r="D438">
        <v>2010</v>
      </c>
      <c r="E438">
        <v>5</v>
      </c>
      <c r="F438">
        <v>2.5</v>
      </c>
      <c r="G438">
        <v>94</v>
      </c>
      <c r="H438">
        <v>97</v>
      </c>
      <c r="J438" s="73"/>
    </row>
    <row r="439" spans="1:10" hidden="1" x14ac:dyDescent="0.3">
      <c r="A439" s="73" t="str">
        <f t="shared" si="7"/>
        <v>SectionA_Exam201571.259498</v>
      </c>
      <c r="B439" s="73" t="s">
        <v>863</v>
      </c>
      <c r="C439" t="s">
        <v>815</v>
      </c>
      <c r="D439">
        <v>2015</v>
      </c>
      <c r="E439">
        <v>7</v>
      </c>
      <c r="F439">
        <v>1.25</v>
      </c>
      <c r="G439">
        <v>94</v>
      </c>
      <c r="H439">
        <v>98</v>
      </c>
      <c r="J439" s="73"/>
    </row>
    <row r="440" spans="1:10" hidden="1" x14ac:dyDescent="0.3">
      <c r="A440" s="73" t="str">
        <f t="shared" si="7"/>
        <v>SectionB_Exam2000162111</v>
      </c>
      <c r="B440" s="73" t="s">
        <v>869</v>
      </c>
      <c r="C440" t="s">
        <v>828</v>
      </c>
      <c r="D440">
        <v>2000</v>
      </c>
      <c r="E440">
        <v>16</v>
      </c>
      <c r="F440">
        <v>2</v>
      </c>
      <c r="G440">
        <v>1</v>
      </c>
      <c r="H440">
        <v>11</v>
      </c>
      <c r="J440" s="73"/>
    </row>
    <row r="441" spans="1:10" hidden="1" x14ac:dyDescent="0.3">
      <c r="A441" s="73" t="str">
        <f t="shared" si="7"/>
        <v>SectionB_Exam2001162111</v>
      </c>
      <c r="B441" s="73" t="s">
        <v>869</v>
      </c>
      <c r="C441" t="s">
        <v>828</v>
      </c>
      <c r="D441">
        <v>2001</v>
      </c>
      <c r="E441">
        <v>16</v>
      </c>
      <c r="F441">
        <v>2</v>
      </c>
      <c r="G441">
        <v>1</v>
      </c>
      <c r="H441">
        <v>11</v>
      </c>
      <c r="J441" s="73"/>
    </row>
    <row r="442" spans="1:10" hidden="1" x14ac:dyDescent="0.3">
      <c r="A442" s="73" t="str">
        <f t="shared" si="7"/>
        <v>SectionB_Exam2001272112</v>
      </c>
      <c r="B442" s="73" t="s">
        <v>869</v>
      </c>
      <c r="C442" t="s">
        <v>828</v>
      </c>
      <c r="D442">
        <v>2001</v>
      </c>
      <c r="E442">
        <v>27</v>
      </c>
      <c r="F442">
        <v>2</v>
      </c>
      <c r="G442">
        <v>1</v>
      </c>
      <c r="H442">
        <v>12</v>
      </c>
      <c r="J442" s="73"/>
    </row>
    <row r="443" spans="1:10" hidden="1" x14ac:dyDescent="0.3">
      <c r="A443" s="73" t="str">
        <f t="shared" si="7"/>
        <v>SectionB_Exam2002242.5212</v>
      </c>
      <c r="B443" s="73" t="s">
        <v>869</v>
      </c>
      <c r="C443" t="s">
        <v>828</v>
      </c>
      <c r="D443">
        <v>2002</v>
      </c>
      <c r="E443">
        <v>24</v>
      </c>
      <c r="F443">
        <v>2.5</v>
      </c>
      <c r="G443">
        <v>2</v>
      </c>
      <c r="H443">
        <v>12</v>
      </c>
      <c r="J443" s="73"/>
    </row>
    <row r="444" spans="1:10" hidden="1" x14ac:dyDescent="0.3">
      <c r="A444" s="73" t="str">
        <f t="shared" si="7"/>
        <v>SectionB_Exam2003251.5213</v>
      </c>
      <c r="B444" s="73" t="s">
        <v>869</v>
      </c>
      <c r="C444" t="s">
        <v>828</v>
      </c>
      <c r="D444">
        <v>2003</v>
      </c>
      <c r="E444">
        <v>25</v>
      </c>
      <c r="F444">
        <v>1.5</v>
      </c>
      <c r="G444">
        <v>2</v>
      </c>
      <c r="H444">
        <v>13</v>
      </c>
      <c r="J444" s="73"/>
    </row>
    <row r="445" spans="1:10" hidden="1" x14ac:dyDescent="0.3">
      <c r="A445" s="73" t="str">
        <f t="shared" si="7"/>
        <v>SectionB_Exam2003262314</v>
      </c>
      <c r="B445" s="73" t="s">
        <v>869</v>
      </c>
      <c r="C445" t="s">
        <v>828</v>
      </c>
      <c r="D445">
        <v>2003</v>
      </c>
      <c r="E445">
        <v>26</v>
      </c>
      <c r="F445">
        <v>2</v>
      </c>
      <c r="G445">
        <v>3</v>
      </c>
      <c r="H445">
        <v>14</v>
      </c>
      <c r="J445" s="73"/>
    </row>
    <row r="446" spans="1:10" hidden="1" x14ac:dyDescent="0.3">
      <c r="A446" s="73" t="str">
        <f t="shared" si="7"/>
        <v>SectionB_Exam2003274.5314</v>
      </c>
      <c r="B446" s="73" t="s">
        <v>869</v>
      </c>
      <c r="C446" t="s">
        <v>828</v>
      </c>
      <c r="D446">
        <v>2003</v>
      </c>
      <c r="E446">
        <v>27</v>
      </c>
      <c r="F446">
        <v>4.5</v>
      </c>
      <c r="G446">
        <v>3</v>
      </c>
      <c r="H446">
        <v>14</v>
      </c>
      <c r="J446" s="73"/>
    </row>
    <row r="447" spans="1:10" hidden="1" x14ac:dyDescent="0.3">
      <c r="A447" s="73" t="str">
        <f t="shared" si="7"/>
        <v>SectionB_Exam2004154415</v>
      </c>
      <c r="B447" s="73" t="s">
        <v>869</v>
      </c>
      <c r="C447" t="s">
        <v>828</v>
      </c>
      <c r="D447">
        <v>2004</v>
      </c>
      <c r="E447">
        <v>15</v>
      </c>
      <c r="F447">
        <v>4</v>
      </c>
      <c r="G447">
        <v>4</v>
      </c>
      <c r="H447">
        <v>15</v>
      </c>
      <c r="J447" s="73"/>
    </row>
    <row r="448" spans="1:10" hidden="1" x14ac:dyDescent="0.3">
      <c r="A448" s="73" t="str">
        <f t="shared" si="7"/>
        <v>SectionB_Exam2004163416</v>
      </c>
      <c r="B448" s="73" t="s">
        <v>869</v>
      </c>
      <c r="C448" t="s">
        <v>828</v>
      </c>
      <c r="D448">
        <v>2004</v>
      </c>
      <c r="E448">
        <v>16</v>
      </c>
      <c r="F448">
        <v>3</v>
      </c>
      <c r="G448">
        <v>4</v>
      </c>
      <c r="H448">
        <v>16</v>
      </c>
      <c r="J448" s="73"/>
    </row>
    <row r="449" spans="1:10" hidden="1" x14ac:dyDescent="0.3">
      <c r="A449" s="73" t="str">
        <f t="shared" si="7"/>
        <v>SectionB_Exam2004171416</v>
      </c>
      <c r="B449" s="73" t="s">
        <v>869</v>
      </c>
      <c r="C449" t="s">
        <v>828</v>
      </c>
      <c r="D449">
        <v>2004</v>
      </c>
      <c r="E449">
        <v>17</v>
      </c>
      <c r="F449">
        <v>1</v>
      </c>
      <c r="G449">
        <v>4</v>
      </c>
      <c r="H449">
        <v>16</v>
      </c>
      <c r="J449" s="73"/>
    </row>
    <row r="450" spans="1:10" hidden="1" x14ac:dyDescent="0.3">
      <c r="A450" s="73" t="str">
        <f t="shared" si="7"/>
        <v>SectionB_Exam200591517</v>
      </c>
      <c r="B450" s="73" t="s">
        <v>869</v>
      </c>
      <c r="C450" t="s">
        <v>828</v>
      </c>
      <c r="D450">
        <v>2005</v>
      </c>
      <c r="E450">
        <v>9</v>
      </c>
      <c r="F450">
        <v>1</v>
      </c>
      <c r="G450">
        <v>5</v>
      </c>
      <c r="H450">
        <v>17</v>
      </c>
      <c r="J450" s="73"/>
    </row>
    <row r="451" spans="1:10" hidden="1" x14ac:dyDescent="0.3">
      <c r="A451" s="73" t="str">
        <f t="shared" si="7"/>
        <v>SectionB_Exam2005141517</v>
      </c>
      <c r="B451" s="73" t="s">
        <v>869</v>
      </c>
      <c r="C451" t="s">
        <v>828</v>
      </c>
      <c r="D451">
        <v>2005</v>
      </c>
      <c r="E451">
        <v>14</v>
      </c>
      <c r="F451">
        <v>1</v>
      </c>
      <c r="G451">
        <v>5</v>
      </c>
      <c r="H451">
        <v>17</v>
      </c>
      <c r="J451" s="73"/>
    </row>
    <row r="452" spans="1:10" hidden="1" x14ac:dyDescent="0.3">
      <c r="A452" s="73" t="str">
        <f t="shared" si="7"/>
        <v>SectionB_Exam2006111517</v>
      </c>
      <c r="B452" s="73" t="s">
        <v>869</v>
      </c>
      <c r="C452" t="s">
        <v>828</v>
      </c>
      <c r="D452">
        <v>2006</v>
      </c>
      <c r="E452">
        <v>11</v>
      </c>
      <c r="F452">
        <v>1</v>
      </c>
      <c r="G452">
        <v>5</v>
      </c>
      <c r="H452">
        <v>17</v>
      </c>
      <c r="J452" s="73"/>
    </row>
    <row r="453" spans="1:10" hidden="1" x14ac:dyDescent="0.3">
      <c r="A453" s="73" t="str">
        <f t="shared" si="7"/>
        <v>SectionB_Exam2006123517</v>
      </c>
      <c r="B453" s="73" t="s">
        <v>869</v>
      </c>
      <c r="C453" t="s">
        <v>828</v>
      </c>
      <c r="D453">
        <v>2006</v>
      </c>
      <c r="E453">
        <v>12</v>
      </c>
      <c r="F453">
        <v>3</v>
      </c>
      <c r="G453">
        <v>5</v>
      </c>
      <c r="H453">
        <v>17</v>
      </c>
      <c r="J453" s="73"/>
    </row>
    <row r="454" spans="1:10" hidden="1" x14ac:dyDescent="0.3">
      <c r="A454" s="73" t="str">
        <f t="shared" si="7"/>
        <v>SectionB_Exam2007102518</v>
      </c>
      <c r="B454" s="73" t="s">
        <v>869</v>
      </c>
      <c r="C454" t="s">
        <v>828</v>
      </c>
      <c r="D454">
        <v>2007</v>
      </c>
      <c r="E454">
        <v>10</v>
      </c>
      <c r="F454">
        <v>2</v>
      </c>
      <c r="G454">
        <v>5</v>
      </c>
      <c r="H454">
        <v>18</v>
      </c>
      <c r="J454" s="73"/>
    </row>
    <row r="455" spans="1:10" hidden="1" x14ac:dyDescent="0.3">
      <c r="A455" s="73" t="str">
        <f t="shared" si="7"/>
        <v>SectionB_Exam2008122619</v>
      </c>
      <c r="B455" s="73" t="s">
        <v>869</v>
      </c>
      <c r="C455" t="s">
        <v>828</v>
      </c>
      <c r="D455">
        <v>2008</v>
      </c>
      <c r="E455">
        <v>12</v>
      </c>
      <c r="F455">
        <v>2</v>
      </c>
      <c r="G455">
        <v>6</v>
      </c>
      <c r="H455">
        <v>19</v>
      </c>
      <c r="J455" s="73"/>
    </row>
    <row r="456" spans="1:10" hidden="1" x14ac:dyDescent="0.3">
      <c r="A456" s="73" t="str">
        <f t="shared" si="7"/>
        <v>SectionB_Exam200961.25619</v>
      </c>
      <c r="B456" s="73" t="s">
        <v>869</v>
      </c>
      <c r="C456" t="s">
        <v>828</v>
      </c>
      <c r="D456">
        <v>2009</v>
      </c>
      <c r="E456">
        <v>6</v>
      </c>
      <c r="F456">
        <v>1.25</v>
      </c>
      <c r="G456">
        <v>6</v>
      </c>
      <c r="H456">
        <v>19</v>
      </c>
      <c r="J456" s="73"/>
    </row>
    <row r="457" spans="1:10" hidden="1" x14ac:dyDescent="0.3">
      <c r="A457" s="73" t="str">
        <f t="shared" si="7"/>
        <v>SectionB_Exam200992.25620</v>
      </c>
      <c r="B457" s="73" t="s">
        <v>869</v>
      </c>
      <c r="C457" t="s">
        <v>828</v>
      </c>
      <c r="D457">
        <v>2009</v>
      </c>
      <c r="E457">
        <v>9</v>
      </c>
      <c r="F457">
        <v>2.25</v>
      </c>
      <c r="G457">
        <v>6</v>
      </c>
      <c r="H457">
        <v>20</v>
      </c>
      <c r="J457" s="73"/>
    </row>
    <row r="458" spans="1:10" hidden="1" x14ac:dyDescent="0.3">
      <c r="A458" s="73" t="str">
        <f t="shared" si="7"/>
        <v>SectionB_Exam2009102720</v>
      </c>
      <c r="B458" s="73" t="s">
        <v>869</v>
      </c>
      <c r="C458" t="s">
        <v>828</v>
      </c>
      <c r="D458">
        <v>2009</v>
      </c>
      <c r="E458">
        <v>10</v>
      </c>
      <c r="F458">
        <v>2</v>
      </c>
      <c r="G458">
        <v>7</v>
      </c>
      <c r="H458">
        <v>20</v>
      </c>
      <c r="J458" s="73"/>
    </row>
    <row r="459" spans="1:10" hidden="1" x14ac:dyDescent="0.3">
      <c r="A459" s="73" t="str">
        <f t="shared" si="7"/>
        <v>SectionB_Exam201071.5721</v>
      </c>
      <c r="B459" s="73" t="s">
        <v>869</v>
      </c>
      <c r="C459" t="s">
        <v>828</v>
      </c>
      <c r="D459">
        <v>2010</v>
      </c>
      <c r="E459">
        <v>7</v>
      </c>
      <c r="F459">
        <v>1.5</v>
      </c>
      <c r="G459">
        <v>7</v>
      </c>
      <c r="H459">
        <v>21</v>
      </c>
      <c r="J459" s="73"/>
    </row>
    <row r="460" spans="1:10" hidden="1" x14ac:dyDescent="0.3">
      <c r="A460" s="73" t="str">
        <f t="shared" si="7"/>
        <v>SectionB_Exam201222822</v>
      </c>
      <c r="B460" s="73" t="s">
        <v>869</v>
      </c>
      <c r="C460" t="s">
        <v>828</v>
      </c>
      <c r="D460">
        <v>2012</v>
      </c>
      <c r="E460">
        <v>2</v>
      </c>
      <c r="F460">
        <v>2</v>
      </c>
      <c r="G460">
        <v>8</v>
      </c>
      <c r="H460">
        <v>22</v>
      </c>
      <c r="J460" s="73"/>
    </row>
    <row r="461" spans="1:10" hidden="1" x14ac:dyDescent="0.3">
      <c r="A461" s="73" t="str">
        <f t="shared" si="7"/>
        <v>SectionB_Exam201361.5823</v>
      </c>
      <c r="B461" s="73" t="s">
        <v>869</v>
      </c>
      <c r="C461" t="s">
        <v>828</v>
      </c>
      <c r="D461">
        <v>2013</v>
      </c>
      <c r="E461">
        <v>6</v>
      </c>
      <c r="F461">
        <v>1.5</v>
      </c>
      <c r="G461">
        <v>8</v>
      </c>
      <c r="H461">
        <v>23</v>
      </c>
      <c r="J461" s="73"/>
    </row>
    <row r="462" spans="1:10" x14ac:dyDescent="0.3">
      <c r="A462" s="73" t="str">
        <f t="shared" si="7"/>
        <v>SectionB_Exam201471.5924</v>
      </c>
      <c r="B462" s="73" t="s">
        <v>869</v>
      </c>
      <c r="C462" t="s">
        <v>828</v>
      </c>
      <c r="D462">
        <v>2014</v>
      </c>
      <c r="E462">
        <v>7</v>
      </c>
      <c r="F462">
        <v>1.5</v>
      </c>
      <c r="G462">
        <v>9</v>
      </c>
      <c r="H462">
        <v>24</v>
      </c>
      <c r="J462" s="73"/>
    </row>
    <row r="463" spans="1:10" x14ac:dyDescent="0.3">
      <c r="A463" s="73" t="str">
        <f t="shared" si="7"/>
        <v>SectionB_Exam201482925</v>
      </c>
      <c r="B463" s="73" t="s">
        <v>869</v>
      </c>
      <c r="C463" t="s">
        <v>828</v>
      </c>
      <c r="D463">
        <v>2014</v>
      </c>
      <c r="E463">
        <v>8</v>
      </c>
      <c r="F463">
        <v>2</v>
      </c>
      <c r="G463">
        <v>9</v>
      </c>
      <c r="H463">
        <v>25</v>
      </c>
      <c r="J463" s="73"/>
    </row>
    <row r="464" spans="1:10" hidden="1" x14ac:dyDescent="0.3">
      <c r="A464" s="73" t="str">
        <f t="shared" si="7"/>
        <v>SectionB_Exam201582.751026</v>
      </c>
      <c r="B464" s="73" t="s">
        <v>869</v>
      </c>
      <c r="C464" t="s">
        <v>828</v>
      </c>
      <c r="D464">
        <v>2015</v>
      </c>
      <c r="E464">
        <v>8</v>
      </c>
      <c r="F464">
        <v>2.75</v>
      </c>
      <c r="G464">
        <v>10</v>
      </c>
      <c r="H464">
        <v>26</v>
      </c>
      <c r="J464" s="73"/>
    </row>
    <row r="465" spans="1:18" hidden="1" x14ac:dyDescent="0.3">
      <c r="A465" s="73" t="str">
        <f t="shared" si="7"/>
        <v>SectionB_Exam20001442840</v>
      </c>
      <c r="B465" s="73" t="s">
        <v>869</v>
      </c>
      <c r="C465" t="s">
        <v>826</v>
      </c>
      <c r="D465">
        <v>2000</v>
      </c>
      <c r="E465">
        <v>14</v>
      </c>
      <c r="F465">
        <v>4</v>
      </c>
      <c r="G465">
        <v>28</v>
      </c>
      <c r="H465">
        <v>40</v>
      </c>
      <c r="J465" s="73"/>
    </row>
    <row r="466" spans="1:18" hidden="1" x14ac:dyDescent="0.3">
      <c r="A466" s="73" t="str">
        <f t="shared" si="7"/>
        <v>SectionB_Exam2002532841</v>
      </c>
      <c r="B466" s="73" t="s">
        <v>869</v>
      </c>
      <c r="C466" t="s">
        <v>826</v>
      </c>
      <c r="D466">
        <v>2002</v>
      </c>
      <c r="E466">
        <v>5</v>
      </c>
      <c r="F466">
        <v>3</v>
      </c>
      <c r="G466">
        <v>28</v>
      </c>
      <c r="H466">
        <v>41</v>
      </c>
      <c r="J466" s="73"/>
    </row>
    <row r="467" spans="1:18" hidden="1" x14ac:dyDescent="0.3">
      <c r="A467" s="73" t="str">
        <f t="shared" si="7"/>
        <v>SectionB_Exam2003632841</v>
      </c>
      <c r="B467" s="73" t="s">
        <v>869</v>
      </c>
      <c r="C467" t="s">
        <v>826</v>
      </c>
      <c r="D467">
        <v>2003</v>
      </c>
      <c r="E467">
        <v>6</v>
      </c>
      <c r="F467">
        <v>3</v>
      </c>
      <c r="G467">
        <v>28</v>
      </c>
      <c r="H467">
        <v>41</v>
      </c>
      <c r="J467" s="73"/>
    </row>
    <row r="468" spans="1:18" hidden="1" x14ac:dyDescent="0.3">
      <c r="A468" s="73" t="str">
        <f t="shared" si="7"/>
        <v>SectionB_Exam200392.52942</v>
      </c>
      <c r="B468" s="73" t="s">
        <v>869</v>
      </c>
      <c r="C468" t="s">
        <v>826</v>
      </c>
      <c r="D468">
        <v>2003</v>
      </c>
      <c r="E468">
        <v>9</v>
      </c>
      <c r="F468">
        <v>2.5</v>
      </c>
      <c r="G468">
        <v>29</v>
      </c>
      <c r="H468">
        <v>42</v>
      </c>
      <c r="J468" s="73"/>
    </row>
    <row r="469" spans="1:18" hidden="1" x14ac:dyDescent="0.3">
      <c r="A469" s="73" t="str">
        <f t="shared" si="7"/>
        <v>SectionB_Exam20033432943</v>
      </c>
      <c r="B469" s="73" t="s">
        <v>869</v>
      </c>
      <c r="C469" t="s">
        <v>826</v>
      </c>
      <c r="D469">
        <v>2003</v>
      </c>
      <c r="E469">
        <v>34</v>
      </c>
      <c r="F469">
        <v>3</v>
      </c>
      <c r="G469">
        <v>29</v>
      </c>
      <c r="H469">
        <v>43</v>
      </c>
      <c r="J469" s="73"/>
    </row>
    <row r="470" spans="1:18" hidden="1" x14ac:dyDescent="0.3">
      <c r="A470" s="73" t="str">
        <f t="shared" si="7"/>
        <v>SectionB_Exam20033523044</v>
      </c>
      <c r="B470" s="73" t="s">
        <v>869</v>
      </c>
      <c r="C470" t="s">
        <v>826</v>
      </c>
      <c r="D470">
        <v>2003</v>
      </c>
      <c r="E470">
        <v>35</v>
      </c>
      <c r="F470">
        <v>2</v>
      </c>
      <c r="G470">
        <v>30</v>
      </c>
      <c r="H470">
        <v>44</v>
      </c>
      <c r="J470" s="73"/>
    </row>
    <row r="471" spans="1:18" hidden="1" x14ac:dyDescent="0.3">
      <c r="A471" s="73" t="str">
        <f t="shared" si="7"/>
        <v>SectionB_Exam20043213045</v>
      </c>
      <c r="B471" s="73" t="s">
        <v>869</v>
      </c>
      <c r="C471" t="s">
        <v>826</v>
      </c>
      <c r="D471">
        <v>2004</v>
      </c>
      <c r="E471">
        <v>32</v>
      </c>
      <c r="F471">
        <v>1</v>
      </c>
      <c r="G471">
        <v>30</v>
      </c>
      <c r="H471">
        <v>45</v>
      </c>
      <c r="J471" s="73"/>
    </row>
    <row r="472" spans="1:18" hidden="1" x14ac:dyDescent="0.3">
      <c r="A472" s="73" t="str">
        <f t="shared" si="7"/>
        <v>SectionB_Exam20052523045</v>
      </c>
      <c r="B472" s="73" t="s">
        <v>869</v>
      </c>
      <c r="C472" t="s">
        <v>826</v>
      </c>
      <c r="D472">
        <v>2005</v>
      </c>
      <c r="E472">
        <v>25</v>
      </c>
      <c r="F472">
        <v>2</v>
      </c>
      <c r="G472">
        <v>30</v>
      </c>
      <c r="H472">
        <v>45</v>
      </c>
      <c r="J472" s="73"/>
    </row>
    <row r="473" spans="1:18" hidden="1" x14ac:dyDescent="0.3">
      <c r="A473" s="73" t="str">
        <f t="shared" si="7"/>
        <v>SectionB_Exam2005342.53146</v>
      </c>
      <c r="B473" s="73" t="s">
        <v>869</v>
      </c>
      <c r="C473" t="s">
        <v>826</v>
      </c>
      <c r="D473">
        <v>2005</v>
      </c>
      <c r="E473">
        <v>34</v>
      </c>
      <c r="F473">
        <v>2.5</v>
      </c>
      <c r="G473">
        <v>31</v>
      </c>
      <c r="H473">
        <v>46</v>
      </c>
      <c r="J473" s="73"/>
    </row>
    <row r="474" spans="1:18" hidden="1" x14ac:dyDescent="0.3">
      <c r="A474" s="73" t="str">
        <f t="shared" si="7"/>
        <v>SectionB_Exam20062023146</v>
      </c>
      <c r="B474" s="73" t="s">
        <v>869</v>
      </c>
      <c r="C474" t="s">
        <v>826</v>
      </c>
      <c r="D474">
        <v>2006</v>
      </c>
      <c r="E474">
        <v>20</v>
      </c>
      <c r="F474">
        <v>2</v>
      </c>
      <c r="G474">
        <v>31</v>
      </c>
      <c r="H474">
        <v>46</v>
      </c>
      <c r="J474" s="73"/>
    </row>
    <row r="475" spans="1:18" hidden="1" x14ac:dyDescent="0.3">
      <c r="A475" s="73" t="str">
        <f t="shared" si="7"/>
        <v>SectionB_Exam20062223147</v>
      </c>
      <c r="B475" s="73" t="s">
        <v>869</v>
      </c>
      <c r="C475" t="s">
        <v>826</v>
      </c>
      <c r="D475">
        <v>2006</v>
      </c>
      <c r="E475">
        <v>22</v>
      </c>
      <c r="F475">
        <v>2</v>
      </c>
      <c r="G475">
        <v>31</v>
      </c>
      <c r="H475">
        <v>47</v>
      </c>
      <c r="J475" s="73"/>
    </row>
    <row r="476" spans="1:18" hidden="1" x14ac:dyDescent="0.3">
      <c r="A476" s="73" t="str">
        <f t="shared" si="7"/>
        <v>SectionB_Exam20063123247</v>
      </c>
      <c r="B476" s="73" t="s">
        <v>869</v>
      </c>
      <c r="C476" t="s">
        <v>826</v>
      </c>
      <c r="D476">
        <v>2006</v>
      </c>
      <c r="E476">
        <v>31</v>
      </c>
      <c r="F476">
        <v>2</v>
      </c>
      <c r="G476">
        <v>32</v>
      </c>
      <c r="H476">
        <v>47</v>
      </c>
      <c r="J476" s="73"/>
    </row>
    <row r="477" spans="1:18" hidden="1" x14ac:dyDescent="0.3">
      <c r="A477" s="73" t="str">
        <f t="shared" si="7"/>
        <v>SectionB_Exam2007181.53248</v>
      </c>
      <c r="B477" s="73" t="s">
        <v>869</v>
      </c>
      <c r="C477" t="s">
        <v>826</v>
      </c>
      <c r="D477">
        <v>2007</v>
      </c>
      <c r="E477">
        <v>18</v>
      </c>
      <c r="F477">
        <v>1.5</v>
      </c>
      <c r="G477">
        <v>32</v>
      </c>
      <c r="H477">
        <v>48</v>
      </c>
      <c r="J477" s="73"/>
      <c r="R477">
        <f>EXP(-0.08*0.25)</f>
        <v>0.98019867330675525</v>
      </c>
    </row>
    <row r="478" spans="1:18" hidden="1" x14ac:dyDescent="0.3">
      <c r="A478" s="73" t="str">
        <f t="shared" si="7"/>
        <v>SectionB_Exam20071923249</v>
      </c>
      <c r="B478" s="73" t="s">
        <v>869</v>
      </c>
      <c r="C478" t="s">
        <v>826</v>
      </c>
      <c r="D478">
        <v>2007</v>
      </c>
      <c r="E478">
        <v>19</v>
      </c>
      <c r="F478">
        <v>2</v>
      </c>
      <c r="G478">
        <v>32</v>
      </c>
      <c r="H478">
        <v>49</v>
      </c>
      <c r="J478" s="73"/>
    </row>
    <row r="479" spans="1:18" hidden="1" x14ac:dyDescent="0.3">
      <c r="A479" s="73" t="str">
        <f t="shared" si="7"/>
        <v>SectionB_Exam2008202.53349</v>
      </c>
      <c r="B479" s="73" t="s">
        <v>869</v>
      </c>
      <c r="C479" t="s">
        <v>826</v>
      </c>
      <c r="D479">
        <v>2008</v>
      </c>
      <c r="E479">
        <v>20</v>
      </c>
      <c r="F479">
        <v>2.5</v>
      </c>
      <c r="G479">
        <v>33</v>
      </c>
      <c r="H479">
        <v>49</v>
      </c>
      <c r="J479" s="73"/>
    </row>
    <row r="480" spans="1:18" hidden="1" x14ac:dyDescent="0.3">
      <c r="A480" s="73" t="str">
        <f t="shared" si="7"/>
        <v>SectionB_Exam2008211.53350</v>
      </c>
      <c r="B480" s="73" t="s">
        <v>869</v>
      </c>
      <c r="C480" t="s">
        <v>826</v>
      </c>
      <c r="D480">
        <v>2008</v>
      </c>
      <c r="E480">
        <v>21</v>
      </c>
      <c r="F480">
        <v>1.5</v>
      </c>
      <c r="G480">
        <v>33</v>
      </c>
      <c r="H480">
        <v>50</v>
      </c>
      <c r="J480" s="73"/>
    </row>
    <row r="481" spans="1:10" hidden="1" x14ac:dyDescent="0.3">
      <c r="A481" s="73" t="str">
        <f t="shared" si="7"/>
        <v>SectionB_Exam2008301.53451</v>
      </c>
      <c r="B481" s="73" t="s">
        <v>869</v>
      </c>
      <c r="C481" t="s">
        <v>826</v>
      </c>
      <c r="D481">
        <v>2008</v>
      </c>
      <c r="E481">
        <v>30</v>
      </c>
      <c r="F481">
        <v>1.5</v>
      </c>
      <c r="G481">
        <v>34</v>
      </c>
      <c r="H481">
        <v>51</v>
      </c>
      <c r="J481" s="73"/>
    </row>
    <row r="482" spans="1:10" hidden="1" x14ac:dyDescent="0.3">
      <c r="A482" s="73" t="str">
        <f t="shared" si="7"/>
        <v>SectionB_Exam20091823451</v>
      </c>
      <c r="B482" s="73" t="s">
        <v>869</v>
      </c>
      <c r="C482" t="s">
        <v>826</v>
      </c>
      <c r="D482">
        <v>2009</v>
      </c>
      <c r="E482">
        <v>18</v>
      </c>
      <c r="F482">
        <v>2</v>
      </c>
      <c r="G482">
        <v>34</v>
      </c>
      <c r="H482">
        <v>51</v>
      </c>
      <c r="J482" s="73"/>
    </row>
    <row r="483" spans="1:10" hidden="1" x14ac:dyDescent="0.3">
      <c r="A483" s="73" t="str">
        <f t="shared" si="7"/>
        <v>SectionB_Exam20101123552</v>
      </c>
      <c r="B483" s="73" t="s">
        <v>869</v>
      </c>
      <c r="C483" t="s">
        <v>826</v>
      </c>
      <c r="D483">
        <v>2010</v>
      </c>
      <c r="E483">
        <v>11</v>
      </c>
      <c r="F483">
        <v>2</v>
      </c>
      <c r="G483">
        <v>35</v>
      </c>
      <c r="H483">
        <v>52</v>
      </c>
      <c r="J483" s="73"/>
    </row>
    <row r="484" spans="1:10" hidden="1" x14ac:dyDescent="0.3">
      <c r="A484" s="73" t="str">
        <f t="shared" ref="A484:A547" si="8">B484&amp;D484&amp;E484&amp;F484&amp;G484&amp;H484</f>
        <v>SectionB_Exam20102223553</v>
      </c>
      <c r="B484" s="73" t="s">
        <v>869</v>
      </c>
      <c r="C484" t="s">
        <v>826</v>
      </c>
      <c r="D484">
        <v>2010</v>
      </c>
      <c r="E484">
        <v>22</v>
      </c>
      <c r="F484">
        <v>2</v>
      </c>
      <c r="G484">
        <v>35</v>
      </c>
      <c r="H484">
        <v>53</v>
      </c>
      <c r="J484" s="73"/>
    </row>
    <row r="485" spans="1:10" hidden="1" x14ac:dyDescent="0.3">
      <c r="A485" s="73" t="str">
        <f t="shared" si="8"/>
        <v>SectionB_Exam201152.253654</v>
      </c>
      <c r="B485" s="73" t="s">
        <v>869</v>
      </c>
      <c r="C485" t="s">
        <v>826</v>
      </c>
      <c r="D485">
        <v>2011</v>
      </c>
      <c r="E485">
        <v>5</v>
      </c>
      <c r="F485">
        <v>2.25</v>
      </c>
      <c r="G485">
        <v>36</v>
      </c>
      <c r="H485">
        <v>54</v>
      </c>
      <c r="J485" s="73"/>
    </row>
    <row r="486" spans="1:10" hidden="1" x14ac:dyDescent="0.3">
      <c r="A486" s="73" t="str">
        <f t="shared" si="8"/>
        <v>SectionB_Exam201171.253655</v>
      </c>
      <c r="B486" s="73" t="s">
        <v>869</v>
      </c>
      <c r="C486" t="s">
        <v>826</v>
      </c>
      <c r="D486">
        <v>2011</v>
      </c>
      <c r="E486">
        <v>7</v>
      </c>
      <c r="F486">
        <v>1.25</v>
      </c>
      <c r="G486">
        <v>36</v>
      </c>
      <c r="H486">
        <v>55</v>
      </c>
      <c r="J486" s="73"/>
    </row>
    <row r="487" spans="1:10" hidden="1" x14ac:dyDescent="0.3">
      <c r="A487" s="73" t="str">
        <f t="shared" si="8"/>
        <v>SectionB_Exam201180.753756</v>
      </c>
      <c r="B487" s="73" t="s">
        <v>869</v>
      </c>
      <c r="C487" t="s">
        <v>826</v>
      </c>
      <c r="D487">
        <v>2011</v>
      </c>
      <c r="E487">
        <v>8</v>
      </c>
      <c r="F487">
        <v>0.75</v>
      </c>
      <c r="G487">
        <v>37</v>
      </c>
      <c r="H487">
        <v>56</v>
      </c>
      <c r="J487" s="73"/>
    </row>
    <row r="488" spans="1:10" hidden="1" x14ac:dyDescent="0.3">
      <c r="A488" s="73" t="str">
        <f t="shared" si="8"/>
        <v>SectionB_Exam201261.53756</v>
      </c>
      <c r="B488" s="73" t="s">
        <v>869</v>
      </c>
      <c r="C488" t="s">
        <v>826</v>
      </c>
      <c r="D488">
        <v>2012</v>
      </c>
      <c r="E488">
        <v>6</v>
      </c>
      <c r="F488">
        <v>1.5</v>
      </c>
      <c r="G488">
        <v>37</v>
      </c>
      <c r="H488">
        <v>56</v>
      </c>
      <c r="J488" s="73"/>
    </row>
    <row r="489" spans="1:10" hidden="1" x14ac:dyDescent="0.3">
      <c r="A489" s="73" t="str">
        <f t="shared" si="8"/>
        <v>SectionB_Exam201372.53757</v>
      </c>
      <c r="B489" s="73" t="s">
        <v>869</v>
      </c>
      <c r="C489" t="s">
        <v>826</v>
      </c>
      <c r="D489">
        <v>2013</v>
      </c>
      <c r="E489">
        <v>7</v>
      </c>
      <c r="F489">
        <v>2.5</v>
      </c>
      <c r="G489">
        <v>37</v>
      </c>
      <c r="H489">
        <v>57</v>
      </c>
      <c r="J489" s="73"/>
    </row>
    <row r="490" spans="1:10" x14ac:dyDescent="0.3">
      <c r="A490" s="73" t="str">
        <f t="shared" si="8"/>
        <v>SectionB_Exam201492.53857</v>
      </c>
      <c r="B490" s="73" t="s">
        <v>869</v>
      </c>
      <c r="C490" t="s">
        <v>826</v>
      </c>
      <c r="D490">
        <v>2014</v>
      </c>
      <c r="E490">
        <v>9</v>
      </c>
      <c r="F490">
        <v>2.5</v>
      </c>
      <c r="G490">
        <v>38</v>
      </c>
      <c r="H490">
        <v>57</v>
      </c>
      <c r="J490" s="73"/>
    </row>
    <row r="491" spans="1:10" hidden="1" x14ac:dyDescent="0.3">
      <c r="A491" s="73" t="str">
        <f t="shared" si="8"/>
        <v>SectionB_Exam2015923859</v>
      </c>
      <c r="B491" s="73" t="s">
        <v>869</v>
      </c>
      <c r="C491" t="s">
        <v>826</v>
      </c>
      <c r="D491">
        <v>2015</v>
      </c>
      <c r="E491">
        <v>9</v>
      </c>
      <c r="F491">
        <v>2</v>
      </c>
      <c r="G491">
        <v>38</v>
      </c>
      <c r="H491">
        <v>59</v>
      </c>
      <c r="J491" s="73"/>
    </row>
    <row r="492" spans="1:10" hidden="1" x14ac:dyDescent="0.3">
      <c r="A492" s="73" t="str">
        <f t="shared" si="8"/>
        <v>SectionB_Exam2015112.253959</v>
      </c>
      <c r="B492" s="73" t="s">
        <v>869</v>
      </c>
      <c r="C492" t="s">
        <v>826</v>
      </c>
      <c r="D492">
        <v>2015</v>
      </c>
      <c r="E492">
        <v>11</v>
      </c>
      <c r="F492">
        <v>2.25</v>
      </c>
      <c r="G492">
        <v>39</v>
      </c>
      <c r="H492">
        <v>59</v>
      </c>
      <c r="J492" s="73"/>
    </row>
    <row r="493" spans="1:10" hidden="1" x14ac:dyDescent="0.3">
      <c r="A493" s="73" t="str">
        <f t="shared" si="8"/>
        <v>SectionB_Exam20003936168</v>
      </c>
      <c r="B493" s="73" t="s">
        <v>869</v>
      </c>
      <c r="C493" t="s">
        <v>767</v>
      </c>
      <c r="D493">
        <v>2000</v>
      </c>
      <c r="E493">
        <v>39</v>
      </c>
      <c r="F493">
        <v>3</v>
      </c>
      <c r="G493">
        <v>61</v>
      </c>
      <c r="H493">
        <v>68</v>
      </c>
      <c r="J493" s="73"/>
    </row>
    <row r="494" spans="1:10" hidden="1" x14ac:dyDescent="0.3">
      <c r="A494" s="73" t="str">
        <f t="shared" si="8"/>
        <v>SectionB_Exam20014236168</v>
      </c>
      <c r="B494" s="73" t="s">
        <v>869</v>
      </c>
      <c r="C494" t="s">
        <v>767</v>
      </c>
      <c r="D494">
        <v>2001</v>
      </c>
      <c r="E494">
        <v>42</v>
      </c>
      <c r="F494">
        <v>3</v>
      </c>
      <c r="G494">
        <v>61</v>
      </c>
      <c r="H494">
        <v>68</v>
      </c>
      <c r="J494" s="73"/>
    </row>
    <row r="495" spans="1:10" hidden="1" x14ac:dyDescent="0.3">
      <c r="A495" s="73" t="str">
        <f t="shared" si="8"/>
        <v>SectionB_Exam20023746269</v>
      </c>
      <c r="B495" s="73" t="s">
        <v>869</v>
      </c>
      <c r="C495" t="s">
        <v>767</v>
      </c>
      <c r="D495">
        <v>2002</v>
      </c>
      <c r="E495">
        <v>37</v>
      </c>
      <c r="F495">
        <v>4</v>
      </c>
      <c r="G495">
        <v>62</v>
      </c>
      <c r="H495">
        <v>69</v>
      </c>
      <c r="J495" s="73"/>
    </row>
    <row r="496" spans="1:10" hidden="1" x14ac:dyDescent="0.3">
      <c r="A496" s="73" t="str">
        <f t="shared" si="8"/>
        <v>SectionB_Exam20043326370</v>
      </c>
      <c r="B496" s="73" t="s">
        <v>869</v>
      </c>
      <c r="C496" t="s">
        <v>767</v>
      </c>
      <c r="D496">
        <v>2004</v>
      </c>
      <c r="E496">
        <v>33</v>
      </c>
      <c r="F496">
        <v>2</v>
      </c>
      <c r="G496">
        <v>63</v>
      </c>
      <c r="H496">
        <v>70</v>
      </c>
      <c r="J496" s="73"/>
    </row>
    <row r="497" spans="1:10" hidden="1" x14ac:dyDescent="0.3">
      <c r="A497" s="73" t="str">
        <f t="shared" si="8"/>
        <v>SectionB_Exam20063226371</v>
      </c>
      <c r="B497" s="73" t="s">
        <v>869</v>
      </c>
      <c r="C497" t="s">
        <v>767</v>
      </c>
      <c r="D497">
        <v>2006</v>
      </c>
      <c r="E497">
        <v>32</v>
      </c>
      <c r="F497">
        <v>2</v>
      </c>
      <c r="G497">
        <v>63</v>
      </c>
      <c r="H497">
        <v>71</v>
      </c>
      <c r="J497" s="73"/>
    </row>
    <row r="498" spans="1:10" hidden="1" x14ac:dyDescent="0.3">
      <c r="A498" s="73" t="str">
        <f t="shared" si="8"/>
        <v>SectionB_Exam20072836372</v>
      </c>
      <c r="B498" s="73" t="s">
        <v>869</v>
      </c>
      <c r="C498" t="s">
        <v>767</v>
      </c>
      <c r="D498">
        <v>2007</v>
      </c>
      <c r="E498">
        <v>28</v>
      </c>
      <c r="F498">
        <v>3</v>
      </c>
      <c r="G498">
        <v>63</v>
      </c>
      <c r="H498">
        <v>72</v>
      </c>
      <c r="J498" s="73"/>
    </row>
    <row r="499" spans="1:10" hidden="1" x14ac:dyDescent="0.3">
      <c r="A499" s="73" t="str">
        <f t="shared" si="8"/>
        <v>SectionB_Exam2008311.756372</v>
      </c>
      <c r="B499" s="73" t="s">
        <v>869</v>
      </c>
      <c r="C499" t="s">
        <v>767</v>
      </c>
      <c r="D499">
        <v>2008</v>
      </c>
      <c r="E499">
        <v>31</v>
      </c>
      <c r="F499">
        <v>1.75</v>
      </c>
      <c r="G499">
        <v>63</v>
      </c>
      <c r="H499">
        <v>72</v>
      </c>
      <c r="J499" s="73"/>
    </row>
    <row r="500" spans="1:10" hidden="1" x14ac:dyDescent="0.3">
      <c r="A500" s="73" t="str">
        <f t="shared" si="8"/>
        <v>SectionB_Exam2009261.256473</v>
      </c>
      <c r="B500" s="73" t="s">
        <v>869</v>
      </c>
      <c r="C500" t="s">
        <v>767</v>
      </c>
      <c r="D500">
        <v>2009</v>
      </c>
      <c r="E500">
        <v>26</v>
      </c>
      <c r="F500">
        <v>1.25</v>
      </c>
      <c r="G500">
        <v>64</v>
      </c>
      <c r="H500">
        <v>73</v>
      </c>
      <c r="J500" s="73"/>
    </row>
    <row r="501" spans="1:10" hidden="1" x14ac:dyDescent="0.3">
      <c r="A501" s="73" t="str">
        <f t="shared" si="8"/>
        <v>SectionB_Exam2009271.256473</v>
      </c>
      <c r="B501" s="73" t="s">
        <v>869</v>
      </c>
      <c r="C501" t="s">
        <v>767</v>
      </c>
      <c r="D501">
        <v>2009</v>
      </c>
      <c r="E501">
        <v>27</v>
      </c>
      <c r="F501">
        <v>1.25</v>
      </c>
      <c r="G501">
        <v>64</v>
      </c>
      <c r="H501">
        <v>73</v>
      </c>
      <c r="J501" s="73"/>
    </row>
    <row r="502" spans="1:10" hidden="1" x14ac:dyDescent="0.3">
      <c r="A502" s="73" t="str">
        <f t="shared" si="8"/>
        <v>SectionB_Exam2010211.256574</v>
      </c>
      <c r="B502" s="73" t="s">
        <v>869</v>
      </c>
      <c r="C502" t="s">
        <v>767</v>
      </c>
      <c r="D502">
        <v>2010</v>
      </c>
      <c r="E502">
        <v>21</v>
      </c>
      <c r="F502">
        <v>1.25</v>
      </c>
      <c r="G502">
        <v>65</v>
      </c>
      <c r="H502">
        <v>74</v>
      </c>
      <c r="J502" s="73"/>
    </row>
    <row r="503" spans="1:10" hidden="1" x14ac:dyDescent="0.3">
      <c r="A503" s="73" t="str">
        <f t="shared" si="8"/>
        <v>SectionB_Exam201241.756574</v>
      </c>
      <c r="B503" s="73" t="s">
        <v>869</v>
      </c>
      <c r="C503" t="s">
        <v>767</v>
      </c>
      <c r="D503">
        <v>2012</v>
      </c>
      <c r="E503">
        <v>4</v>
      </c>
      <c r="F503">
        <v>1.75</v>
      </c>
      <c r="G503">
        <v>65</v>
      </c>
      <c r="H503">
        <v>74</v>
      </c>
      <c r="J503" s="73"/>
    </row>
    <row r="504" spans="1:10" x14ac:dyDescent="0.3">
      <c r="A504" s="73" t="str">
        <f t="shared" si="8"/>
        <v>SectionB_Exam2014112.56676</v>
      </c>
      <c r="B504" s="73" t="s">
        <v>869</v>
      </c>
      <c r="C504" t="s">
        <v>767</v>
      </c>
      <c r="D504">
        <v>2014</v>
      </c>
      <c r="E504">
        <v>11</v>
      </c>
      <c r="F504">
        <v>2.5</v>
      </c>
      <c r="G504">
        <v>66</v>
      </c>
      <c r="H504">
        <v>76</v>
      </c>
      <c r="J504" s="73"/>
    </row>
    <row r="505" spans="1:10" hidden="1" x14ac:dyDescent="0.3">
      <c r="A505" s="73" t="str">
        <f t="shared" si="8"/>
        <v>SectionB_Exam2015102.256778</v>
      </c>
      <c r="B505" s="73" t="s">
        <v>869</v>
      </c>
      <c r="C505" t="s">
        <v>767</v>
      </c>
      <c r="D505">
        <v>2015</v>
      </c>
      <c r="E505">
        <v>10</v>
      </c>
      <c r="F505">
        <v>2.25</v>
      </c>
      <c r="G505">
        <v>67</v>
      </c>
      <c r="H505">
        <v>78</v>
      </c>
      <c r="J505" s="73"/>
    </row>
    <row r="506" spans="1:10" hidden="1" x14ac:dyDescent="0.3">
      <c r="A506" s="73" t="str">
        <f t="shared" si="8"/>
        <v>SectionB_Exam20004028083</v>
      </c>
      <c r="B506" s="73" t="s">
        <v>869</v>
      </c>
      <c r="C506" t="s">
        <v>775</v>
      </c>
      <c r="D506">
        <v>2000</v>
      </c>
      <c r="E506">
        <v>40</v>
      </c>
      <c r="F506">
        <v>2</v>
      </c>
      <c r="G506">
        <v>80</v>
      </c>
      <c r="H506">
        <v>83</v>
      </c>
      <c r="J506" s="73"/>
    </row>
    <row r="507" spans="1:10" hidden="1" x14ac:dyDescent="0.3">
      <c r="A507" s="73" t="str">
        <f t="shared" si="8"/>
        <v>SectionB_Exam20014238084</v>
      </c>
      <c r="B507" s="73" t="s">
        <v>869</v>
      </c>
      <c r="C507" t="s">
        <v>775</v>
      </c>
      <c r="D507">
        <v>2001</v>
      </c>
      <c r="E507">
        <v>42</v>
      </c>
      <c r="F507">
        <v>3</v>
      </c>
      <c r="G507">
        <v>80</v>
      </c>
      <c r="H507">
        <v>84</v>
      </c>
      <c r="J507" s="73"/>
    </row>
    <row r="508" spans="1:10" hidden="1" x14ac:dyDescent="0.3">
      <c r="A508" s="73" t="str">
        <f t="shared" si="8"/>
        <v>SectionB_Exam20023428184</v>
      </c>
      <c r="B508" s="73" t="s">
        <v>869</v>
      </c>
      <c r="C508" t="s">
        <v>775</v>
      </c>
      <c r="D508">
        <v>2002</v>
      </c>
      <c r="E508">
        <v>34</v>
      </c>
      <c r="F508">
        <v>2</v>
      </c>
      <c r="G508">
        <v>81</v>
      </c>
      <c r="H508">
        <v>84</v>
      </c>
      <c r="J508" s="73"/>
    </row>
    <row r="509" spans="1:10" hidden="1" x14ac:dyDescent="0.3">
      <c r="A509" s="73" t="str">
        <f t="shared" si="8"/>
        <v>SectionB_Exam2007272.58185</v>
      </c>
      <c r="B509" s="73" t="s">
        <v>869</v>
      </c>
      <c r="C509" t="s">
        <v>775</v>
      </c>
      <c r="D509">
        <v>2007</v>
      </c>
      <c r="E509">
        <v>27</v>
      </c>
      <c r="F509">
        <v>2.5</v>
      </c>
      <c r="G509">
        <v>81</v>
      </c>
      <c r="H509">
        <v>85</v>
      </c>
      <c r="J509" s="73"/>
    </row>
    <row r="510" spans="1:10" hidden="1" x14ac:dyDescent="0.3">
      <c r="A510" s="73" t="str">
        <f t="shared" si="8"/>
        <v>SectionB_Exam201161.258186</v>
      </c>
      <c r="B510" s="73" t="s">
        <v>869</v>
      </c>
      <c r="C510" t="s">
        <v>775</v>
      </c>
      <c r="D510">
        <v>2011</v>
      </c>
      <c r="E510">
        <v>6</v>
      </c>
      <c r="F510">
        <v>1.25</v>
      </c>
      <c r="G510">
        <v>81</v>
      </c>
      <c r="H510">
        <v>86</v>
      </c>
      <c r="J510" s="73"/>
    </row>
    <row r="511" spans="1:10" hidden="1" x14ac:dyDescent="0.3">
      <c r="A511" s="73" t="str">
        <f t="shared" si="8"/>
        <v>SectionB_Exam201383.58287</v>
      </c>
      <c r="B511" s="73" t="s">
        <v>869</v>
      </c>
      <c r="C511" t="s">
        <v>775</v>
      </c>
      <c r="D511">
        <v>2013</v>
      </c>
      <c r="E511">
        <v>8</v>
      </c>
      <c r="F511">
        <v>3.5</v>
      </c>
      <c r="G511">
        <v>82</v>
      </c>
      <c r="H511">
        <v>87</v>
      </c>
      <c r="J511" s="73"/>
    </row>
    <row r="512" spans="1:10" hidden="1" x14ac:dyDescent="0.3">
      <c r="A512" s="73" t="str">
        <f t="shared" si="8"/>
        <v>SectionB_Exam20072938993</v>
      </c>
      <c r="B512" s="73" t="s">
        <v>869</v>
      </c>
      <c r="C512" t="s">
        <v>776</v>
      </c>
      <c r="D512">
        <v>2007</v>
      </c>
      <c r="E512">
        <v>29</v>
      </c>
      <c r="F512">
        <v>3</v>
      </c>
      <c r="G512">
        <v>89</v>
      </c>
      <c r="H512">
        <v>93</v>
      </c>
      <c r="J512" s="73"/>
    </row>
    <row r="513" spans="1:10" hidden="1" x14ac:dyDescent="0.3">
      <c r="A513" s="73" t="str">
        <f t="shared" si="8"/>
        <v>SectionB_Exam20092528994</v>
      </c>
      <c r="B513" s="73" t="s">
        <v>869</v>
      </c>
      <c r="C513" t="s">
        <v>776</v>
      </c>
      <c r="D513">
        <v>2009</v>
      </c>
      <c r="E513">
        <v>25</v>
      </c>
      <c r="F513">
        <v>2</v>
      </c>
      <c r="G513">
        <v>89</v>
      </c>
      <c r="H513">
        <v>94</v>
      </c>
      <c r="J513" s="73"/>
    </row>
    <row r="514" spans="1:10" hidden="1" x14ac:dyDescent="0.3">
      <c r="A514" s="73" t="str">
        <f t="shared" si="8"/>
        <v>SectionB_Exam20102459094</v>
      </c>
      <c r="B514" s="73" t="s">
        <v>869</v>
      </c>
      <c r="C514" t="s">
        <v>776</v>
      </c>
      <c r="D514">
        <v>2010</v>
      </c>
      <c r="E514">
        <v>24</v>
      </c>
      <c r="F514">
        <v>5</v>
      </c>
      <c r="G514">
        <v>90</v>
      </c>
      <c r="H514">
        <v>94</v>
      </c>
      <c r="J514" s="73"/>
    </row>
    <row r="515" spans="1:10" hidden="1" x14ac:dyDescent="0.3">
      <c r="A515" s="73" t="str">
        <f t="shared" si="8"/>
        <v>SectionB_Exam201253.759195</v>
      </c>
      <c r="B515" s="73" t="s">
        <v>869</v>
      </c>
      <c r="C515" t="s">
        <v>776</v>
      </c>
      <c r="D515">
        <v>2012</v>
      </c>
      <c r="E515">
        <v>5</v>
      </c>
      <c r="F515">
        <v>3.75</v>
      </c>
      <c r="G515">
        <v>91</v>
      </c>
      <c r="H515">
        <v>95</v>
      </c>
      <c r="J515" s="73"/>
    </row>
    <row r="516" spans="1:10" hidden="1" x14ac:dyDescent="0.3">
      <c r="A516" s="73" t="str">
        <f t="shared" si="8"/>
        <v>SectionB_Exam201391.59197</v>
      </c>
      <c r="B516" s="73" t="s">
        <v>869</v>
      </c>
      <c r="C516" t="s">
        <v>776</v>
      </c>
      <c r="D516">
        <v>2013</v>
      </c>
      <c r="E516">
        <v>9</v>
      </c>
      <c r="F516">
        <v>1.5</v>
      </c>
      <c r="G516">
        <v>91</v>
      </c>
      <c r="H516">
        <v>97</v>
      </c>
      <c r="J516" s="73"/>
    </row>
    <row r="517" spans="1:10" x14ac:dyDescent="0.3">
      <c r="A517" s="73" t="str">
        <f t="shared" si="8"/>
        <v>SectionB_Exam20141029297</v>
      </c>
      <c r="B517" s="73" t="s">
        <v>869</v>
      </c>
      <c r="C517" t="s">
        <v>776</v>
      </c>
      <c r="D517">
        <v>2014</v>
      </c>
      <c r="E517">
        <v>10</v>
      </c>
      <c r="F517">
        <v>2</v>
      </c>
      <c r="G517">
        <v>92</v>
      </c>
      <c r="H517">
        <v>97</v>
      </c>
      <c r="J517" s="73"/>
    </row>
    <row r="518" spans="1:10" hidden="1" x14ac:dyDescent="0.3">
      <c r="A518" s="73" t="str">
        <f t="shared" si="8"/>
        <v>SectionC_Exam200517219</v>
      </c>
      <c r="B518" s="73" t="s">
        <v>870</v>
      </c>
      <c r="C518" t="s">
        <v>818</v>
      </c>
      <c r="D518">
        <v>2005</v>
      </c>
      <c r="E518">
        <v>17</v>
      </c>
      <c r="F518">
        <v>2</v>
      </c>
      <c r="G518">
        <v>1</v>
      </c>
      <c r="H518">
        <v>9</v>
      </c>
      <c r="J518" s="73"/>
    </row>
    <row r="519" spans="1:10" hidden="1" x14ac:dyDescent="0.3">
      <c r="A519" s="73" t="str">
        <f t="shared" si="8"/>
        <v>SectionC_Exam200519219</v>
      </c>
      <c r="B519" s="73" t="s">
        <v>870</v>
      </c>
      <c r="C519" t="s">
        <v>818</v>
      </c>
      <c r="D519">
        <v>2005</v>
      </c>
      <c r="E519">
        <v>19</v>
      </c>
      <c r="F519">
        <v>2</v>
      </c>
      <c r="G519">
        <v>1</v>
      </c>
      <c r="H519">
        <v>9</v>
      </c>
      <c r="J519" s="73"/>
    </row>
    <row r="520" spans="1:10" hidden="1" x14ac:dyDescent="0.3">
      <c r="A520" s="73" t="str">
        <f t="shared" si="8"/>
        <v>SectionC_Exam2006151110</v>
      </c>
      <c r="B520" s="73" t="s">
        <v>870</v>
      </c>
      <c r="C520" t="s">
        <v>818</v>
      </c>
      <c r="D520">
        <v>2006</v>
      </c>
      <c r="E520">
        <v>15</v>
      </c>
      <c r="F520">
        <v>1</v>
      </c>
      <c r="G520">
        <v>1</v>
      </c>
      <c r="H520">
        <v>10</v>
      </c>
      <c r="J520" s="73"/>
    </row>
    <row r="521" spans="1:10" hidden="1" x14ac:dyDescent="0.3">
      <c r="A521" s="73" t="str">
        <f t="shared" si="8"/>
        <v>SectionC_Exam2006342110</v>
      </c>
      <c r="B521" s="73" t="s">
        <v>870</v>
      </c>
      <c r="C521" t="s">
        <v>818</v>
      </c>
      <c r="D521">
        <v>2006</v>
      </c>
      <c r="E521">
        <v>34</v>
      </c>
      <c r="F521">
        <v>2</v>
      </c>
      <c r="G521">
        <v>1</v>
      </c>
      <c r="H521">
        <v>10</v>
      </c>
      <c r="J521" s="73"/>
    </row>
    <row r="522" spans="1:10" hidden="1" x14ac:dyDescent="0.3">
      <c r="A522" s="73" t="str">
        <f t="shared" si="8"/>
        <v>SectionC_Exam2007131.5210</v>
      </c>
      <c r="B522" s="73" t="s">
        <v>870</v>
      </c>
      <c r="C522" t="s">
        <v>818</v>
      </c>
      <c r="D522">
        <v>2007</v>
      </c>
      <c r="E522">
        <v>13</v>
      </c>
      <c r="F522">
        <v>1.5</v>
      </c>
      <c r="G522">
        <v>2</v>
      </c>
      <c r="H522">
        <v>10</v>
      </c>
      <c r="J522" s="73"/>
    </row>
    <row r="523" spans="1:10" hidden="1" x14ac:dyDescent="0.3">
      <c r="A523" s="73" t="str">
        <f t="shared" si="8"/>
        <v>SectionC_Exam2007321.5211</v>
      </c>
      <c r="B523" s="73" t="s">
        <v>870</v>
      </c>
      <c r="C523" t="s">
        <v>818</v>
      </c>
      <c r="D523">
        <v>2007</v>
      </c>
      <c r="E523">
        <v>32</v>
      </c>
      <c r="F523">
        <v>1.5</v>
      </c>
      <c r="G523">
        <v>2</v>
      </c>
      <c r="H523">
        <v>11</v>
      </c>
      <c r="J523" s="73"/>
    </row>
    <row r="524" spans="1:10" hidden="1" x14ac:dyDescent="0.3">
      <c r="A524" s="73" t="str">
        <f t="shared" si="8"/>
        <v>SectionC_Exam2008141.5312</v>
      </c>
      <c r="B524" s="73" t="s">
        <v>870</v>
      </c>
      <c r="C524" t="s">
        <v>818</v>
      </c>
      <c r="D524">
        <v>2008</v>
      </c>
      <c r="E524">
        <v>14</v>
      </c>
      <c r="F524">
        <v>1.5</v>
      </c>
      <c r="G524">
        <v>3</v>
      </c>
      <c r="H524">
        <v>12</v>
      </c>
      <c r="J524" s="73"/>
    </row>
    <row r="525" spans="1:10" hidden="1" x14ac:dyDescent="0.3">
      <c r="A525" s="73" t="str">
        <f t="shared" si="8"/>
        <v>SectionC_Exam2008162.25312</v>
      </c>
      <c r="B525" s="73" t="s">
        <v>870</v>
      </c>
      <c r="C525" t="s">
        <v>818</v>
      </c>
      <c r="D525">
        <v>2008</v>
      </c>
      <c r="E525">
        <v>16</v>
      </c>
      <c r="F525">
        <v>2.25</v>
      </c>
      <c r="G525">
        <v>3</v>
      </c>
      <c r="H525">
        <v>12</v>
      </c>
      <c r="J525" s="73"/>
    </row>
    <row r="526" spans="1:10" hidden="1" x14ac:dyDescent="0.3">
      <c r="A526" s="73" t="str">
        <f t="shared" si="8"/>
        <v>SectionC_Exam2009134413</v>
      </c>
      <c r="B526" s="73" t="s">
        <v>870</v>
      </c>
      <c r="C526" t="s">
        <v>818</v>
      </c>
      <c r="D526">
        <v>2009</v>
      </c>
      <c r="E526">
        <v>13</v>
      </c>
      <c r="F526">
        <v>4</v>
      </c>
      <c r="G526">
        <v>4</v>
      </c>
      <c r="H526">
        <v>13</v>
      </c>
      <c r="J526" s="73"/>
    </row>
    <row r="527" spans="1:10" hidden="1" x14ac:dyDescent="0.3">
      <c r="A527" s="73" t="str">
        <f t="shared" si="8"/>
        <v>SectionC_Exam2009322.25414</v>
      </c>
      <c r="B527" s="73" t="s">
        <v>870</v>
      </c>
      <c r="C527" t="s">
        <v>818</v>
      </c>
      <c r="D527">
        <v>2009</v>
      </c>
      <c r="E527">
        <v>32</v>
      </c>
      <c r="F527">
        <v>2.25</v>
      </c>
      <c r="G527">
        <v>4</v>
      </c>
      <c r="H527">
        <v>14</v>
      </c>
      <c r="J527" s="73"/>
    </row>
    <row r="528" spans="1:10" hidden="1" x14ac:dyDescent="0.3">
      <c r="A528" s="73" t="str">
        <f t="shared" si="8"/>
        <v>SectionC_Exam201093.25415</v>
      </c>
      <c r="B528" s="73" t="s">
        <v>870</v>
      </c>
      <c r="C528" t="s">
        <v>818</v>
      </c>
      <c r="D528">
        <v>2010</v>
      </c>
      <c r="E528">
        <v>9</v>
      </c>
      <c r="F528">
        <v>3.25</v>
      </c>
      <c r="G528">
        <v>4</v>
      </c>
      <c r="H528">
        <v>15</v>
      </c>
      <c r="J528" s="73"/>
    </row>
    <row r="529" spans="1:10" hidden="1" x14ac:dyDescent="0.3">
      <c r="A529" s="73" t="str">
        <f t="shared" si="8"/>
        <v>SectionC_Exam2010104.25515</v>
      </c>
      <c r="B529" s="73" t="s">
        <v>870</v>
      </c>
      <c r="C529" t="s">
        <v>818</v>
      </c>
      <c r="D529">
        <v>2010</v>
      </c>
      <c r="E529">
        <v>10</v>
      </c>
      <c r="F529">
        <v>4.25</v>
      </c>
      <c r="G529">
        <v>5</v>
      </c>
      <c r="H529">
        <v>15</v>
      </c>
      <c r="J529" s="73"/>
    </row>
    <row r="530" spans="1:10" hidden="1" x14ac:dyDescent="0.3">
      <c r="A530" s="73" t="str">
        <f t="shared" si="8"/>
        <v>SectionC_Exam201193516</v>
      </c>
      <c r="B530" s="73" t="s">
        <v>870</v>
      </c>
      <c r="C530" t="s">
        <v>818</v>
      </c>
      <c r="D530">
        <v>2011</v>
      </c>
      <c r="E530">
        <v>9</v>
      </c>
      <c r="F530">
        <v>3</v>
      </c>
      <c r="G530">
        <v>5</v>
      </c>
      <c r="H530">
        <v>16</v>
      </c>
      <c r="J530" s="73"/>
    </row>
    <row r="531" spans="1:10" hidden="1" x14ac:dyDescent="0.3">
      <c r="A531" s="73" t="str">
        <f t="shared" si="8"/>
        <v>SectionC_Exam2011103617</v>
      </c>
      <c r="B531" s="73" t="s">
        <v>870</v>
      </c>
      <c r="C531" t="s">
        <v>818</v>
      </c>
      <c r="D531">
        <v>2011</v>
      </c>
      <c r="E531">
        <v>10</v>
      </c>
      <c r="F531">
        <v>3</v>
      </c>
      <c r="G531">
        <v>6</v>
      </c>
      <c r="H531">
        <v>17</v>
      </c>
      <c r="J531" s="73"/>
    </row>
    <row r="532" spans="1:10" hidden="1" x14ac:dyDescent="0.3">
      <c r="A532" s="73" t="str">
        <f t="shared" si="8"/>
        <v>SectionC_Exam2013102.75618</v>
      </c>
      <c r="B532" s="73" t="s">
        <v>870</v>
      </c>
      <c r="C532" t="s">
        <v>818</v>
      </c>
      <c r="D532">
        <v>2013</v>
      </c>
      <c r="E532">
        <v>10</v>
      </c>
      <c r="F532">
        <v>2.75</v>
      </c>
      <c r="G532">
        <v>6</v>
      </c>
      <c r="H532">
        <v>18</v>
      </c>
      <c r="J532" s="73"/>
    </row>
    <row r="533" spans="1:10" x14ac:dyDescent="0.3">
      <c r="A533" s="73" t="str">
        <f t="shared" si="8"/>
        <v>SectionC_Exam2014152719</v>
      </c>
      <c r="B533" s="73" t="s">
        <v>870</v>
      </c>
      <c r="C533" t="s">
        <v>818</v>
      </c>
      <c r="D533">
        <v>2014</v>
      </c>
      <c r="E533">
        <v>15</v>
      </c>
      <c r="F533">
        <v>2</v>
      </c>
      <c r="G533">
        <v>7</v>
      </c>
      <c r="H533">
        <v>19</v>
      </c>
      <c r="J533" s="73"/>
    </row>
    <row r="534" spans="1:10" hidden="1" x14ac:dyDescent="0.3">
      <c r="A534" s="73" t="str">
        <f t="shared" si="8"/>
        <v>SectionC_Exam2015122820</v>
      </c>
      <c r="B534" s="73" t="s">
        <v>870</v>
      </c>
      <c r="C534" t="s">
        <v>818</v>
      </c>
      <c r="D534">
        <v>2015</v>
      </c>
      <c r="E534">
        <v>12</v>
      </c>
      <c r="F534">
        <v>2</v>
      </c>
      <c r="G534">
        <v>8</v>
      </c>
      <c r="H534">
        <v>20</v>
      </c>
      <c r="J534" s="73"/>
    </row>
    <row r="535" spans="1:10" hidden="1" x14ac:dyDescent="0.3">
      <c r="A535" s="73" t="str">
        <f t="shared" si="8"/>
        <v>SectionC_Exam2015132821</v>
      </c>
      <c r="B535" s="73" t="s">
        <v>870</v>
      </c>
      <c r="C535" t="s">
        <v>818</v>
      </c>
      <c r="D535">
        <v>2015</v>
      </c>
      <c r="E535">
        <v>13</v>
      </c>
      <c r="F535">
        <v>2</v>
      </c>
      <c r="G535">
        <v>8</v>
      </c>
      <c r="H535">
        <v>21</v>
      </c>
      <c r="J535" s="73"/>
    </row>
    <row r="536" spans="1:10" hidden="1" x14ac:dyDescent="0.3">
      <c r="A536" s="73" t="str">
        <f t="shared" si="8"/>
        <v>SectionC_Exam2012852325</v>
      </c>
      <c r="B536" s="73" t="s">
        <v>870</v>
      </c>
      <c r="C536" t="s">
        <v>837</v>
      </c>
      <c r="D536">
        <v>2012</v>
      </c>
      <c r="E536">
        <v>8</v>
      </c>
      <c r="F536">
        <v>5</v>
      </c>
      <c r="G536">
        <v>23</v>
      </c>
      <c r="H536">
        <v>25</v>
      </c>
      <c r="J536" s="73"/>
    </row>
    <row r="537" spans="1:10" hidden="1" x14ac:dyDescent="0.3">
      <c r="A537" s="73" t="str">
        <f t="shared" si="8"/>
        <v>SectionC_Exam20131222327</v>
      </c>
      <c r="B537" s="73" t="s">
        <v>870</v>
      </c>
      <c r="C537" t="s">
        <v>837</v>
      </c>
      <c r="D537">
        <v>2013</v>
      </c>
      <c r="E537">
        <v>12</v>
      </c>
      <c r="F537">
        <v>2</v>
      </c>
      <c r="G537">
        <v>23</v>
      </c>
      <c r="H537">
        <v>27</v>
      </c>
      <c r="J537" s="73"/>
    </row>
    <row r="538" spans="1:10" x14ac:dyDescent="0.3">
      <c r="A538" s="73" t="str">
        <f t="shared" si="8"/>
        <v>SectionC_Exam2014163.52428</v>
      </c>
      <c r="B538" s="73" t="s">
        <v>870</v>
      </c>
      <c r="C538" t="s">
        <v>837</v>
      </c>
      <c r="D538">
        <v>2014</v>
      </c>
      <c r="E538">
        <v>16</v>
      </c>
      <c r="F538">
        <v>3.5</v>
      </c>
      <c r="G538">
        <v>24</v>
      </c>
      <c r="H538">
        <v>28</v>
      </c>
      <c r="J538" s="73"/>
    </row>
    <row r="539" spans="1:10" x14ac:dyDescent="0.3">
      <c r="A539" s="73" t="str">
        <f t="shared" si="8"/>
        <v>SectionC_Exam20141323031</v>
      </c>
      <c r="B539" s="73" t="s">
        <v>870</v>
      </c>
      <c r="C539" t="s">
        <v>853</v>
      </c>
      <c r="D539">
        <v>2014</v>
      </c>
      <c r="E539">
        <v>13</v>
      </c>
      <c r="F539">
        <v>2</v>
      </c>
      <c r="G539">
        <v>30</v>
      </c>
      <c r="H539">
        <v>31</v>
      </c>
      <c r="J539" s="73"/>
    </row>
    <row r="540" spans="1:10" hidden="1" x14ac:dyDescent="0.3">
      <c r="A540" s="73" t="str">
        <f t="shared" si="8"/>
        <v>SectionC_Exam20014413336</v>
      </c>
      <c r="B540" s="73" t="s">
        <v>870</v>
      </c>
      <c r="C540" t="s">
        <v>766</v>
      </c>
      <c r="D540">
        <v>2001</v>
      </c>
      <c r="E540">
        <v>44</v>
      </c>
      <c r="F540">
        <v>1</v>
      </c>
      <c r="G540">
        <v>33</v>
      </c>
      <c r="H540">
        <v>36</v>
      </c>
      <c r="J540" s="73"/>
    </row>
    <row r="541" spans="1:10" hidden="1" x14ac:dyDescent="0.3">
      <c r="A541" s="73" t="str">
        <f t="shared" si="8"/>
        <v>SectionC_Exam20014513336</v>
      </c>
      <c r="B541" s="73" t="s">
        <v>870</v>
      </c>
      <c r="C541" t="s">
        <v>766</v>
      </c>
      <c r="D541">
        <v>2001</v>
      </c>
      <c r="E541">
        <v>45</v>
      </c>
      <c r="F541">
        <v>1</v>
      </c>
      <c r="G541">
        <v>33</v>
      </c>
      <c r="H541">
        <v>36</v>
      </c>
      <c r="J541" s="73"/>
    </row>
    <row r="542" spans="1:10" hidden="1" x14ac:dyDescent="0.3">
      <c r="A542" s="73" t="str">
        <f t="shared" si="8"/>
        <v>SectionC_Exam20021253336</v>
      </c>
      <c r="B542" s="73" t="s">
        <v>870</v>
      </c>
      <c r="C542" t="s">
        <v>766</v>
      </c>
      <c r="D542">
        <v>2002</v>
      </c>
      <c r="E542">
        <v>12</v>
      </c>
      <c r="F542">
        <v>5</v>
      </c>
      <c r="G542">
        <v>33</v>
      </c>
      <c r="H542">
        <v>36</v>
      </c>
      <c r="J542" s="73"/>
    </row>
    <row r="543" spans="1:10" hidden="1" x14ac:dyDescent="0.3">
      <c r="A543" s="73" t="str">
        <f t="shared" si="8"/>
        <v>SectionC_Exam200981.253337</v>
      </c>
      <c r="B543" s="73" t="s">
        <v>870</v>
      </c>
      <c r="C543" t="s">
        <v>766</v>
      </c>
      <c r="D543">
        <v>2009</v>
      </c>
      <c r="E543">
        <v>8</v>
      </c>
      <c r="F543">
        <v>1.25</v>
      </c>
      <c r="G543">
        <v>33</v>
      </c>
      <c r="H543">
        <v>37</v>
      </c>
      <c r="J543" s="73"/>
    </row>
    <row r="544" spans="1:10" hidden="1" x14ac:dyDescent="0.3">
      <c r="A544" s="73" t="str">
        <f t="shared" si="8"/>
        <v>SectionC_Exam2011123.753437</v>
      </c>
      <c r="B544" s="73" t="s">
        <v>870</v>
      </c>
      <c r="C544" t="s">
        <v>766</v>
      </c>
      <c r="D544">
        <v>2011</v>
      </c>
      <c r="E544">
        <v>12</v>
      </c>
      <c r="F544">
        <v>3.75</v>
      </c>
      <c r="G544">
        <v>34</v>
      </c>
      <c r="H544">
        <v>37</v>
      </c>
      <c r="J544" s="73"/>
    </row>
    <row r="545" spans="1:10" hidden="1" x14ac:dyDescent="0.3">
      <c r="A545" s="73" t="str">
        <f t="shared" si="8"/>
        <v>SectionC_Exam2013132.253439</v>
      </c>
      <c r="B545" s="73" t="s">
        <v>870</v>
      </c>
      <c r="C545" t="s">
        <v>766</v>
      </c>
      <c r="D545">
        <v>2013</v>
      </c>
      <c r="E545">
        <v>13</v>
      </c>
      <c r="F545">
        <v>2.25</v>
      </c>
      <c r="G545">
        <v>34</v>
      </c>
      <c r="H545">
        <v>39</v>
      </c>
      <c r="J545" s="73"/>
    </row>
    <row r="546" spans="1:10" hidden="1" x14ac:dyDescent="0.3">
      <c r="A546" s="73" t="str">
        <f t="shared" si="8"/>
        <v>SectionC_Exam2015143.53540</v>
      </c>
      <c r="B546" s="73" t="s">
        <v>870</v>
      </c>
      <c r="C546" t="s">
        <v>766</v>
      </c>
      <c r="D546">
        <v>2015</v>
      </c>
      <c r="E546">
        <v>14</v>
      </c>
      <c r="F546">
        <v>3.5</v>
      </c>
      <c r="G546">
        <v>35</v>
      </c>
      <c r="H546">
        <v>40</v>
      </c>
      <c r="J546" s="73"/>
    </row>
    <row r="547" spans="1:10" hidden="1" x14ac:dyDescent="0.3">
      <c r="A547" s="73" t="str">
        <f t="shared" si="8"/>
        <v>SectionC_Exam20054114648</v>
      </c>
      <c r="B547" s="73" t="s">
        <v>870</v>
      </c>
      <c r="C547" t="s">
        <v>765</v>
      </c>
      <c r="D547">
        <v>2005</v>
      </c>
      <c r="E547">
        <v>41</v>
      </c>
      <c r="F547">
        <v>1</v>
      </c>
      <c r="G547">
        <v>46</v>
      </c>
      <c r="H547">
        <v>48</v>
      </c>
      <c r="J547" s="73"/>
    </row>
    <row r="548" spans="1:10" hidden="1" x14ac:dyDescent="0.3">
      <c r="A548" s="73" t="str">
        <f t="shared" ref="A548:A611" si="9">B548&amp;D548&amp;E548&amp;F548&amp;G548&amp;H548</f>
        <v>SectionC_Exam20083814648</v>
      </c>
      <c r="B548" s="73" t="s">
        <v>870</v>
      </c>
      <c r="C548" t="s">
        <v>765</v>
      </c>
      <c r="D548">
        <v>2008</v>
      </c>
      <c r="E548">
        <v>38</v>
      </c>
      <c r="F548">
        <v>1</v>
      </c>
      <c r="G548">
        <v>46</v>
      </c>
      <c r="H548">
        <v>48</v>
      </c>
      <c r="J548" s="73"/>
    </row>
    <row r="549" spans="1:10" hidden="1" x14ac:dyDescent="0.3">
      <c r="A549" s="73" t="str">
        <f t="shared" si="9"/>
        <v>SectionC_Exam2011111.54648</v>
      </c>
      <c r="B549" s="73" t="s">
        <v>870</v>
      </c>
      <c r="C549" t="s">
        <v>765</v>
      </c>
      <c r="D549">
        <v>2011</v>
      </c>
      <c r="E549">
        <v>11</v>
      </c>
      <c r="F549">
        <v>1.5</v>
      </c>
      <c r="G549">
        <v>46</v>
      </c>
      <c r="H549">
        <v>48</v>
      </c>
      <c r="J549" s="73"/>
    </row>
    <row r="550" spans="1:10" hidden="1" x14ac:dyDescent="0.3">
      <c r="A550" s="73" t="str">
        <f t="shared" si="9"/>
        <v>SectionC_Exam201292.54649</v>
      </c>
      <c r="B550" s="73" t="s">
        <v>870</v>
      </c>
      <c r="C550" t="s">
        <v>765</v>
      </c>
      <c r="D550">
        <v>2012</v>
      </c>
      <c r="E550">
        <v>9</v>
      </c>
      <c r="F550">
        <v>2.5</v>
      </c>
      <c r="G550">
        <v>46</v>
      </c>
      <c r="H550">
        <v>49</v>
      </c>
      <c r="J550" s="73"/>
    </row>
    <row r="551" spans="1:10" hidden="1" x14ac:dyDescent="0.3">
      <c r="A551" s="73" t="str">
        <f t="shared" si="9"/>
        <v>SectionC_Exam2012112.54749</v>
      </c>
      <c r="B551" s="73" t="s">
        <v>870</v>
      </c>
      <c r="C551" t="s">
        <v>765</v>
      </c>
      <c r="D551">
        <v>2012</v>
      </c>
      <c r="E551">
        <v>11</v>
      </c>
      <c r="F551">
        <v>2.5</v>
      </c>
      <c r="G551">
        <v>47</v>
      </c>
      <c r="H551">
        <v>49</v>
      </c>
      <c r="J551" s="73"/>
    </row>
    <row r="552" spans="1:10" hidden="1" x14ac:dyDescent="0.3">
      <c r="A552" s="73" t="str">
        <f t="shared" si="9"/>
        <v>SectionC_Exam20004445159</v>
      </c>
      <c r="B552" s="73" t="s">
        <v>870</v>
      </c>
      <c r="C552" t="s">
        <v>762</v>
      </c>
      <c r="D552">
        <v>2000</v>
      </c>
      <c r="E552">
        <v>44</v>
      </c>
      <c r="F552">
        <v>4</v>
      </c>
      <c r="G552">
        <v>51</v>
      </c>
      <c r="H552">
        <v>59</v>
      </c>
      <c r="J552" s="73"/>
    </row>
    <row r="553" spans="1:10" hidden="1" x14ac:dyDescent="0.3">
      <c r="A553" s="73" t="str">
        <f t="shared" si="9"/>
        <v>SectionC_Exam2001462.55261</v>
      </c>
      <c r="B553" s="73" t="s">
        <v>870</v>
      </c>
      <c r="C553" t="s">
        <v>762</v>
      </c>
      <c r="D553">
        <v>2001</v>
      </c>
      <c r="E553">
        <v>46</v>
      </c>
      <c r="F553">
        <v>2.5</v>
      </c>
      <c r="G553">
        <v>52</v>
      </c>
      <c r="H553">
        <v>61</v>
      </c>
      <c r="J553" s="73"/>
    </row>
    <row r="554" spans="1:10" hidden="1" x14ac:dyDescent="0.3">
      <c r="A554" s="73" t="str">
        <f t="shared" si="9"/>
        <v>SectionC_Exam2002401.55262</v>
      </c>
      <c r="B554" s="73" t="s">
        <v>870</v>
      </c>
      <c r="C554" t="s">
        <v>762</v>
      </c>
      <c r="D554">
        <v>2002</v>
      </c>
      <c r="E554">
        <v>40</v>
      </c>
      <c r="F554">
        <v>1.5</v>
      </c>
      <c r="G554">
        <v>52</v>
      </c>
      <c r="H554">
        <v>62</v>
      </c>
      <c r="J554" s="73"/>
    </row>
    <row r="555" spans="1:10" hidden="1" x14ac:dyDescent="0.3">
      <c r="A555" s="73" t="str">
        <f t="shared" si="9"/>
        <v>SectionC_Exam20024125363</v>
      </c>
      <c r="B555" s="73" t="s">
        <v>870</v>
      </c>
      <c r="C555" t="s">
        <v>762</v>
      </c>
      <c r="D555">
        <v>2002</v>
      </c>
      <c r="E555">
        <v>41</v>
      </c>
      <c r="F555">
        <v>2</v>
      </c>
      <c r="G555">
        <v>53</v>
      </c>
      <c r="H555">
        <v>63</v>
      </c>
      <c r="J555" s="73"/>
    </row>
    <row r="556" spans="1:10" hidden="1" x14ac:dyDescent="0.3">
      <c r="A556" s="73" t="str">
        <f t="shared" si="9"/>
        <v>SectionC_Exam20043925464</v>
      </c>
      <c r="B556" s="73" t="s">
        <v>870</v>
      </c>
      <c r="C556" t="s">
        <v>762</v>
      </c>
      <c r="D556">
        <v>2004</v>
      </c>
      <c r="E556">
        <v>39</v>
      </c>
      <c r="F556">
        <v>2</v>
      </c>
      <c r="G556">
        <v>54</v>
      </c>
      <c r="H556">
        <v>64</v>
      </c>
      <c r="J556" s="73"/>
    </row>
    <row r="557" spans="1:10" hidden="1" x14ac:dyDescent="0.3">
      <c r="A557" s="73" t="str">
        <f t="shared" si="9"/>
        <v>SectionC_Exam2006394.255465</v>
      </c>
      <c r="B557" s="73" t="s">
        <v>870</v>
      </c>
      <c r="C557" t="s">
        <v>762</v>
      </c>
      <c r="D557">
        <v>2006</v>
      </c>
      <c r="E557">
        <v>39</v>
      </c>
      <c r="F557">
        <v>4.25</v>
      </c>
      <c r="G557">
        <v>54</v>
      </c>
      <c r="H557">
        <v>65</v>
      </c>
      <c r="J557" s="73"/>
    </row>
    <row r="558" spans="1:10" hidden="1" x14ac:dyDescent="0.3">
      <c r="A558" s="73" t="str">
        <f t="shared" si="9"/>
        <v>SectionC_Exam20083915566</v>
      </c>
      <c r="B558" s="73" t="s">
        <v>870</v>
      </c>
      <c r="C558" t="s">
        <v>762</v>
      </c>
      <c r="D558">
        <v>2008</v>
      </c>
      <c r="E558">
        <v>39</v>
      </c>
      <c r="F558">
        <v>1</v>
      </c>
      <c r="G558">
        <v>55</v>
      </c>
      <c r="H558">
        <v>66</v>
      </c>
      <c r="J558" s="73"/>
    </row>
    <row r="559" spans="1:10" hidden="1" x14ac:dyDescent="0.3">
      <c r="A559" s="73" t="str">
        <f t="shared" si="9"/>
        <v>SectionC_Exam2009332.755667</v>
      </c>
      <c r="B559" s="73" t="s">
        <v>870</v>
      </c>
      <c r="C559" t="s">
        <v>762</v>
      </c>
      <c r="D559">
        <v>2009</v>
      </c>
      <c r="E559">
        <v>33</v>
      </c>
      <c r="F559">
        <v>2.75</v>
      </c>
      <c r="G559">
        <v>56</v>
      </c>
      <c r="H559">
        <v>67</v>
      </c>
      <c r="J559" s="73"/>
    </row>
    <row r="560" spans="1:10" hidden="1" x14ac:dyDescent="0.3">
      <c r="A560" s="73" t="str">
        <f t="shared" si="9"/>
        <v>SectionC_Exam2010301.55668</v>
      </c>
      <c r="B560" s="73" t="s">
        <v>870</v>
      </c>
      <c r="C560" t="s">
        <v>762</v>
      </c>
      <c r="D560">
        <v>2010</v>
      </c>
      <c r="E560">
        <v>30</v>
      </c>
      <c r="F560">
        <v>1.5</v>
      </c>
      <c r="G560">
        <v>56</v>
      </c>
      <c r="H560">
        <v>68</v>
      </c>
      <c r="J560" s="73"/>
    </row>
    <row r="561" spans="1:10" hidden="1" x14ac:dyDescent="0.3">
      <c r="A561" s="73" t="str">
        <f t="shared" si="9"/>
        <v>SectionC_Exam2013142.55769</v>
      </c>
      <c r="B561" s="73" t="s">
        <v>870</v>
      </c>
      <c r="C561" t="s">
        <v>762</v>
      </c>
      <c r="D561">
        <v>2013</v>
      </c>
      <c r="E561">
        <v>14</v>
      </c>
      <c r="F561">
        <v>2.5</v>
      </c>
      <c r="G561">
        <v>57</v>
      </c>
      <c r="H561">
        <v>69</v>
      </c>
      <c r="J561" s="73"/>
    </row>
    <row r="562" spans="1:10" hidden="1" x14ac:dyDescent="0.3">
      <c r="A562" s="73" t="str">
        <f t="shared" si="9"/>
        <v>SectionC_Exam20151625870</v>
      </c>
      <c r="B562" s="73" t="s">
        <v>870</v>
      </c>
      <c r="C562" t="s">
        <v>762</v>
      </c>
      <c r="D562">
        <v>2015</v>
      </c>
      <c r="E562">
        <v>16</v>
      </c>
      <c r="F562">
        <v>2</v>
      </c>
      <c r="G562">
        <v>58</v>
      </c>
      <c r="H562">
        <v>70</v>
      </c>
      <c r="J562" s="73"/>
    </row>
    <row r="563" spans="1:10" hidden="1" x14ac:dyDescent="0.3">
      <c r="A563" s="73" t="str">
        <f t="shared" si="9"/>
        <v>SectionC_Exam20034527274</v>
      </c>
      <c r="B563" s="73" t="s">
        <v>870</v>
      </c>
      <c r="C563" t="s">
        <v>764</v>
      </c>
      <c r="D563">
        <v>2003</v>
      </c>
      <c r="E563">
        <v>45</v>
      </c>
      <c r="F563">
        <v>2</v>
      </c>
      <c r="G563">
        <v>72</v>
      </c>
      <c r="H563">
        <v>74</v>
      </c>
      <c r="J563" s="73"/>
    </row>
    <row r="564" spans="1:10" hidden="1" x14ac:dyDescent="0.3">
      <c r="A564" s="73" t="str">
        <f t="shared" si="9"/>
        <v>SectionC_Exam20053817274</v>
      </c>
      <c r="B564" s="73" t="s">
        <v>870</v>
      </c>
      <c r="C564" t="s">
        <v>764</v>
      </c>
      <c r="D564">
        <v>2005</v>
      </c>
      <c r="E564">
        <v>38</v>
      </c>
      <c r="F564">
        <v>1</v>
      </c>
      <c r="G564">
        <v>72</v>
      </c>
      <c r="H564">
        <v>74</v>
      </c>
      <c r="J564" s="73"/>
    </row>
    <row r="565" spans="1:10" hidden="1" x14ac:dyDescent="0.3">
      <c r="A565" s="73" t="str">
        <f t="shared" si="9"/>
        <v>SectionC_Exam2006361.57274</v>
      </c>
      <c r="B565" s="73" t="s">
        <v>870</v>
      </c>
      <c r="C565" t="s">
        <v>764</v>
      </c>
      <c r="D565">
        <v>2006</v>
      </c>
      <c r="E565">
        <v>36</v>
      </c>
      <c r="F565">
        <v>1.5</v>
      </c>
      <c r="G565">
        <v>72</v>
      </c>
      <c r="H565">
        <v>74</v>
      </c>
      <c r="J565" s="73"/>
    </row>
    <row r="566" spans="1:10" hidden="1" x14ac:dyDescent="0.3">
      <c r="A566" s="73" t="str">
        <f t="shared" si="9"/>
        <v>SectionC_Exam201292.57275</v>
      </c>
      <c r="B566" s="73" t="s">
        <v>870</v>
      </c>
      <c r="C566" t="s">
        <v>764</v>
      </c>
      <c r="D566">
        <v>2012</v>
      </c>
      <c r="E566">
        <v>9</v>
      </c>
      <c r="F566">
        <v>2.5</v>
      </c>
      <c r="G566">
        <v>72</v>
      </c>
      <c r="H566">
        <v>75</v>
      </c>
      <c r="J566" s="73"/>
    </row>
    <row r="567" spans="1:10" hidden="1" x14ac:dyDescent="0.3">
      <c r="A567" s="73" t="str">
        <f t="shared" si="9"/>
        <v>SectionC_Exam2015227375</v>
      </c>
      <c r="B567" s="73" t="s">
        <v>870</v>
      </c>
      <c r="C567" t="s">
        <v>764</v>
      </c>
      <c r="D567">
        <v>2015</v>
      </c>
      <c r="E567">
        <v>2</v>
      </c>
      <c r="F567">
        <v>2</v>
      </c>
      <c r="G567">
        <v>73</v>
      </c>
      <c r="H567">
        <v>75</v>
      </c>
      <c r="J567" s="73"/>
    </row>
    <row r="568" spans="1:10" hidden="1" x14ac:dyDescent="0.3">
      <c r="A568" s="73" t="str">
        <f t="shared" si="9"/>
        <v>SectionC_Exam2004402.57793</v>
      </c>
      <c r="B568" s="73" t="s">
        <v>870</v>
      </c>
      <c r="C568" t="s">
        <v>770</v>
      </c>
      <c r="D568">
        <v>2004</v>
      </c>
      <c r="E568">
        <v>40</v>
      </c>
      <c r="F568">
        <v>2.5</v>
      </c>
      <c r="G568">
        <v>77</v>
      </c>
      <c r="H568">
        <v>93</v>
      </c>
      <c r="J568" s="73"/>
    </row>
    <row r="569" spans="1:10" hidden="1" x14ac:dyDescent="0.3">
      <c r="A569" s="73" t="str">
        <f t="shared" si="9"/>
        <v>SectionC_Exam20054237894</v>
      </c>
      <c r="B569" s="73" t="s">
        <v>870</v>
      </c>
      <c r="C569" t="s">
        <v>770</v>
      </c>
      <c r="D569">
        <v>2005</v>
      </c>
      <c r="E569">
        <v>42</v>
      </c>
      <c r="F569">
        <v>3</v>
      </c>
      <c r="G569">
        <v>78</v>
      </c>
      <c r="H569">
        <v>94</v>
      </c>
      <c r="J569" s="73"/>
    </row>
    <row r="570" spans="1:10" hidden="1" x14ac:dyDescent="0.3">
      <c r="A570" s="73" t="str">
        <f t="shared" si="9"/>
        <v>SectionC_Exam20063817895</v>
      </c>
      <c r="B570" s="73" t="s">
        <v>870</v>
      </c>
      <c r="C570" t="s">
        <v>770</v>
      </c>
      <c r="D570">
        <v>2006</v>
      </c>
      <c r="E570">
        <v>38</v>
      </c>
      <c r="F570">
        <v>1</v>
      </c>
      <c r="G570">
        <v>78</v>
      </c>
      <c r="H570">
        <v>95</v>
      </c>
      <c r="J570" s="73"/>
    </row>
    <row r="571" spans="1:10" hidden="1" x14ac:dyDescent="0.3">
      <c r="A571" s="73" t="str">
        <f t="shared" si="9"/>
        <v>SectionC_Exam2007354.57995</v>
      </c>
      <c r="B571" s="73" t="s">
        <v>870</v>
      </c>
      <c r="C571" t="s">
        <v>770</v>
      </c>
      <c r="D571">
        <v>2007</v>
      </c>
      <c r="E571">
        <v>35</v>
      </c>
      <c r="F571">
        <v>4.5</v>
      </c>
      <c r="G571">
        <v>79</v>
      </c>
      <c r="H571">
        <v>95</v>
      </c>
      <c r="J571" s="73"/>
    </row>
    <row r="572" spans="1:10" hidden="1" x14ac:dyDescent="0.3">
      <c r="A572" s="73" t="str">
        <f t="shared" si="9"/>
        <v>SectionC_Exam2008352.257996</v>
      </c>
      <c r="B572" s="73" t="s">
        <v>870</v>
      </c>
      <c r="C572" t="s">
        <v>770</v>
      </c>
      <c r="D572">
        <v>2008</v>
      </c>
      <c r="E572">
        <v>35</v>
      </c>
      <c r="F572">
        <v>2.25</v>
      </c>
      <c r="G572">
        <v>79</v>
      </c>
      <c r="H572">
        <v>96</v>
      </c>
      <c r="J572" s="73"/>
    </row>
    <row r="573" spans="1:10" hidden="1" x14ac:dyDescent="0.3">
      <c r="A573" s="73" t="str">
        <f t="shared" si="9"/>
        <v>SectionC_Exam20083628097</v>
      </c>
      <c r="B573" s="73" t="s">
        <v>870</v>
      </c>
      <c r="C573" t="s">
        <v>770</v>
      </c>
      <c r="D573">
        <v>2008</v>
      </c>
      <c r="E573">
        <v>36</v>
      </c>
      <c r="F573">
        <v>2</v>
      </c>
      <c r="G573">
        <v>80</v>
      </c>
      <c r="H573">
        <v>97</v>
      </c>
      <c r="J573" s="73"/>
    </row>
    <row r="574" spans="1:10" hidden="1" x14ac:dyDescent="0.3">
      <c r="A574" s="73" t="str">
        <f t="shared" si="9"/>
        <v>SectionC_Exam2008371.58098</v>
      </c>
      <c r="B574" s="73" t="s">
        <v>870</v>
      </c>
      <c r="C574" t="s">
        <v>770</v>
      </c>
      <c r="D574">
        <v>2008</v>
      </c>
      <c r="E574">
        <v>37</v>
      </c>
      <c r="F574">
        <v>1.5</v>
      </c>
      <c r="G574">
        <v>80</v>
      </c>
      <c r="H574">
        <v>98</v>
      </c>
      <c r="J574" s="73"/>
    </row>
    <row r="575" spans="1:10" hidden="1" x14ac:dyDescent="0.3">
      <c r="A575" s="73" t="str">
        <f t="shared" si="9"/>
        <v>SectionC_Exam2009312.758198</v>
      </c>
      <c r="B575" s="73" t="s">
        <v>870</v>
      </c>
      <c r="C575" t="s">
        <v>770</v>
      </c>
      <c r="D575">
        <v>2009</v>
      </c>
      <c r="E575">
        <v>31</v>
      </c>
      <c r="F575">
        <v>2.75</v>
      </c>
      <c r="G575">
        <v>81</v>
      </c>
      <c r="H575">
        <v>98</v>
      </c>
      <c r="J575" s="73"/>
    </row>
    <row r="576" spans="1:10" hidden="1" x14ac:dyDescent="0.3">
      <c r="A576" s="73" t="str">
        <f t="shared" si="9"/>
        <v>SectionC_Exam201027582100</v>
      </c>
      <c r="B576" s="73" t="s">
        <v>870</v>
      </c>
      <c r="C576" t="s">
        <v>770</v>
      </c>
      <c r="D576">
        <v>2010</v>
      </c>
      <c r="E576">
        <v>27</v>
      </c>
      <c r="F576">
        <v>5</v>
      </c>
      <c r="G576">
        <v>82</v>
      </c>
      <c r="H576">
        <v>100</v>
      </c>
      <c r="J576" s="73"/>
    </row>
    <row r="577" spans="1:10" hidden="1" x14ac:dyDescent="0.3">
      <c r="A577" s="73" t="str">
        <f t="shared" si="9"/>
        <v>SectionC_Exam2010284.2584102</v>
      </c>
      <c r="B577" s="73" t="s">
        <v>870</v>
      </c>
      <c r="C577" t="s">
        <v>770</v>
      </c>
      <c r="D577">
        <v>2010</v>
      </c>
      <c r="E577">
        <v>28</v>
      </c>
      <c r="F577">
        <v>4.25</v>
      </c>
      <c r="G577">
        <v>84</v>
      </c>
      <c r="H577">
        <v>102</v>
      </c>
      <c r="J577" s="73"/>
    </row>
    <row r="578" spans="1:10" hidden="1" x14ac:dyDescent="0.3">
      <c r="A578" s="73" t="str">
        <f t="shared" si="9"/>
        <v>SectionC_Exam2011132.585104</v>
      </c>
      <c r="B578" s="73" t="s">
        <v>870</v>
      </c>
      <c r="C578" t="s">
        <v>770</v>
      </c>
      <c r="D578">
        <v>2011</v>
      </c>
      <c r="E578">
        <v>13</v>
      </c>
      <c r="F578">
        <v>2.5</v>
      </c>
      <c r="G578">
        <v>85</v>
      </c>
      <c r="H578">
        <v>104</v>
      </c>
      <c r="J578" s="73"/>
    </row>
    <row r="579" spans="1:10" hidden="1" x14ac:dyDescent="0.3">
      <c r="A579" s="73" t="str">
        <f t="shared" si="9"/>
        <v>SectionC_Exam201114185105</v>
      </c>
      <c r="B579" s="73" t="s">
        <v>870</v>
      </c>
      <c r="C579" t="s">
        <v>770</v>
      </c>
      <c r="D579">
        <v>2011</v>
      </c>
      <c r="E579">
        <v>14</v>
      </c>
      <c r="F579">
        <v>1</v>
      </c>
      <c r="G579">
        <v>85</v>
      </c>
      <c r="H579">
        <v>105</v>
      </c>
      <c r="J579" s="73"/>
    </row>
    <row r="580" spans="1:10" hidden="1" x14ac:dyDescent="0.3">
      <c r="A580" s="73" t="str">
        <f t="shared" si="9"/>
        <v>SectionC_Exam201210286106</v>
      </c>
      <c r="B580" s="73" t="s">
        <v>870</v>
      </c>
      <c r="C580" t="s">
        <v>770</v>
      </c>
      <c r="D580">
        <v>2012</v>
      </c>
      <c r="E580">
        <v>10</v>
      </c>
      <c r="F580">
        <v>2</v>
      </c>
      <c r="G580">
        <v>86</v>
      </c>
      <c r="H580">
        <v>106</v>
      </c>
      <c r="J580" s="73"/>
    </row>
    <row r="581" spans="1:10" hidden="1" x14ac:dyDescent="0.3">
      <c r="A581" s="73" t="str">
        <f t="shared" si="9"/>
        <v>SectionC_Exam201315287107</v>
      </c>
      <c r="B581" s="73" t="s">
        <v>870</v>
      </c>
      <c r="C581" t="s">
        <v>770</v>
      </c>
      <c r="D581">
        <v>2013</v>
      </c>
      <c r="E581">
        <v>15</v>
      </c>
      <c r="F581">
        <v>2</v>
      </c>
      <c r="G581">
        <v>87</v>
      </c>
      <c r="H581">
        <v>107</v>
      </c>
      <c r="J581" s="73"/>
    </row>
    <row r="582" spans="1:10" hidden="1" x14ac:dyDescent="0.3">
      <c r="A582" s="73" t="str">
        <f t="shared" si="9"/>
        <v>SectionC_Exam2013161.587108</v>
      </c>
      <c r="B582" s="73" t="s">
        <v>870</v>
      </c>
      <c r="C582" t="s">
        <v>770</v>
      </c>
      <c r="D582">
        <v>2013</v>
      </c>
      <c r="E582">
        <v>16</v>
      </c>
      <c r="F582">
        <v>1.5</v>
      </c>
      <c r="G582">
        <v>87</v>
      </c>
      <c r="H582">
        <v>108</v>
      </c>
      <c r="J582" s="73"/>
    </row>
    <row r="583" spans="1:10" x14ac:dyDescent="0.3">
      <c r="A583" s="73" t="str">
        <f t="shared" si="9"/>
        <v>SectionC_Exam2014122.7588108</v>
      </c>
      <c r="B583" s="73" t="s">
        <v>870</v>
      </c>
      <c r="C583" t="s">
        <v>770</v>
      </c>
      <c r="D583">
        <v>2014</v>
      </c>
      <c r="E583">
        <v>12</v>
      </c>
      <c r="F583">
        <v>2.75</v>
      </c>
      <c r="G583">
        <v>88</v>
      </c>
      <c r="H583">
        <v>108</v>
      </c>
      <c r="J583" s="73"/>
    </row>
    <row r="584" spans="1:10" x14ac:dyDescent="0.3">
      <c r="A584" s="73" t="str">
        <f t="shared" si="9"/>
        <v>SectionC_Exam201414289110</v>
      </c>
      <c r="B584" s="73" t="s">
        <v>870</v>
      </c>
      <c r="C584" t="s">
        <v>770</v>
      </c>
      <c r="D584">
        <v>2014</v>
      </c>
      <c r="E584">
        <v>14</v>
      </c>
      <c r="F584">
        <v>2</v>
      </c>
      <c r="G584">
        <v>89</v>
      </c>
      <c r="H584">
        <v>110</v>
      </c>
      <c r="J584" s="73"/>
    </row>
    <row r="585" spans="1:10" hidden="1" x14ac:dyDescent="0.3">
      <c r="A585" s="73" t="str">
        <f t="shared" si="9"/>
        <v>SectionC_Exam201515290111</v>
      </c>
      <c r="B585" s="73" t="s">
        <v>870</v>
      </c>
      <c r="C585" t="s">
        <v>770</v>
      </c>
      <c r="D585">
        <v>2015</v>
      </c>
      <c r="E585">
        <v>15</v>
      </c>
      <c r="F585">
        <v>2</v>
      </c>
      <c r="G585">
        <v>90</v>
      </c>
      <c r="H585">
        <v>111</v>
      </c>
      <c r="J585" s="73"/>
    </row>
    <row r="586" spans="1:10" hidden="1" x14ac:dyDescent="0.3">
      <c r="A586" s="73" t="str">
        <f t="shared" si="9"/>
        <v>SectionC_Exam2015172.2591113</v>
      </c>
      <c r="B586" s="73" t="s">
        <v>870</v>
      </c>
      <c r="C586" t="s">
        <v>770</v>
      </c>
      <c r="D586">
        <v>2015</v>
      </c>
      <c r="E586">
        <v>17</v>
      </c>
      <c r="F586">
        <v>2.25</v>
      </c>
      <c r="G586">
        <v>91</v>
      </c>
      <c r="H586">
        <v>113</v>
      </c>
      <c r="J586" s="73"/>
    </row>
    <row r="587" spans="1:10" hidden="1" x14ac:dyDescent="0.3">
      <c r="A587" s="73" t="str">
        <f t="shared" si="9"/>
        <v>SectionC_Exam2015182.2592114</v>
      </c>
      <c r="B587" s="73" t="s">
        <v>870</v>
      </c>
      <c r="C587" t="s">
        <v>770</v>
      </c>
      <c r="D587">
        <v>2015</v>
      </c>
      <c r="E587">
        <v>18</v>
      </c>
      <c r="F587">
        <v>2.25</v>
      </c>
      <c r="G587">
        <v>92</v>
      </c>
      <c r="H587">
        <v>114</v>
      </c>
      <c r="J587" s="73"/>
    </row>
    <row r="588" spans="1:10" hidden="1" x14ac:dyDescent="0.3">
      <c r="A588" s="73" t="str">
        <f t="shared" si="9"/>
        <v>SectionC_Exam2003471.5116117</v>
      </c>
      <c r="B588" s="73" t="s">
        <v>870</v>
      </c>
      <c r="C588" t="s">
        <v>778</v>
      </c>
      <c r="D588">
        <v>2003</v>
      </c>
      <c r="E588">
        <v>47</v>
      </c>
      <c r="F588">
        <v>1.5</v>
      </c>
      <c r="G588">
        <v>116</v>
      </c>
      <c r="H588">
        <v>117</v>
      </c>
      <c r="J588" s="73"/>
    </row>
    <row r="589" spans="1:10" hidden="1" x14ac:dyDescent="0.3">
      <c r="A589" s="73" t="str">
        <f t="shared" si="9"/>
        <v>SectionC_Exam2005391116117</v>
      </c>
      <c r="B589" s="73" t="s">
        <v>870</v>
      </c>
      <c r="C589" t="s">
        <v>778</v>
      </c>
      <c r="D589">
        <v>2005</v>
      </c>
      <c r="E589">
        <v>39</v>
      </c>
      <c r="F589">
        <v>1</v>
      </c>
      <c r="G589">
        <v>116</v>
      </c>
      <c r="H589">
        <v>117</v>
      </c>
      <c r="J589" s="73"/>
    </row>
    <row r="590" spans="1:10" hidden="1" x14ac:dyDescent="0.3">
      <c r="A590" s="73" t="str">
        <f t="shared" si="9"/>
        <v>SectionC_Exam2006372116117</v>
      </c>
      <c r="B590" s="73" t="s">
        <v>870</v>
      </c>
      <c r="C590" t="s">
        <v>778</v>
      </c>
      <c r="D590">
        <v>2006</v>
      </c>
      <c r="E590">
        <v>37</v>
      </c>
      <c r="F590">
        <v>2</v>
      </c>
      <c r="G590">
        <v>116</v>
      </c>
      <c r="H590">
        <v>117</v>
      </c>
      <c r="J590" s="73"/>
    </row>
    <row r="591" spans="1:10" x14ac:dyDescent="0.3">
      <c r="A591" s="73" t="str">
        <f t="shared" si="9"/>
        <v>SectionC_Exam2014171.75116118</v>
      </c>
      <c r="B591" s="73" t="s">
        <v>870</v>
      </c>
      <c r="C591" t="s">
        <v>778</v>
      </c>
      <c r="D591">
        <v>2014</v>
      </c>
      <c r="E591">
        <v>17</v>
      </c>
      <c r="F591">
        <v>1.75</v>
      </c>
      <c r="G591">
        <v>116</v>
      </c>
      <c r="H591">
        <v>118</v>
      </c>
      <c r="J591" s="73"/>
    </row>
    <row r="592" spans="1:10" hidden="1" x14ac:dyDescent="0.3">
      <c r="A592" s="73" t="str">
        <f t="shared" si="9"/>
        <v>SectionD_Exam200116118</v>
      </c>
      <c r="B592" s="73" t="s">
        <v>871</v>
      </c>
      <c r="C592" t="s">
        <v>774</v>
      </c>
      <c r="D592">
        <v>2001</v>
      </c>
      <c r="E592">
        <v>16</v>
      </c>
      <c r="F592">
        <v>1</v>
      </c>
      <c r="G592">
        <v>1</v>
      </c>
      <c r="H592">
        <v>8</v>
      </c>
      <c r="J592" s="73"/>
    </row>
    <row r="593" spans="1:10" hidden="1" x14ac:dyDescent="0.3">
      <c r="A593" s="73" t="str">
        <f t="shared" si="9"/>
        <v>SectionD_Exam20025118</v>
      </c>
      <c r="B593" s="73" t="s">
        <v>871</v>
      </c>
      <c r="C593" t="s">
        <v>774</v>
      </c>
      <c r="D593">
        <v>2002</v>
      </c>
      <c r="E593">
        <v>5</v>
      </c>
      <c r="F593">
        <v>1</v>
      </c>
      <c r="G593">
        <v>1</v>
      </c>
      <c r="H593">
        <v>8</v>
      </c>
      <c r="J593" s="73"/>
    </row>
    <row r="594" spans="1:10" hidden="1" x14ac:dyDescent="0.3">
      <c r="A594" s="73" t="str">
        <f t="shared" si="9"/>
        <v>SectionD_Exam200316119</v>
      </c>
      <c r="B594" s="73" t="s">
        <v>871</v>
      </c>
      <c r="C594" t="s">
        <v>774</v>
      </c>
      <c r="D594">
        <v>2003</v>
      </c>
      <c r="E594">
        <v>16</v>
      </c>
      <c r="F594">
        <v>1</v>
      </c>
      <c r="G594">
        <v>1</v>
      </c>
      <c r="H594">
        <v>9</v>
      </c>
      <c r="J594" s="73"/>
    </row>
    <row r="595" spans="1:10" hidden="1" x14ac:dyDescent="0.3">
      <c r="A595" s="73" t="str">
        <f t="shared" si="9"/>
        <v>SectionD_Exam200340329</v>
      </c>
      <c r="B595" s="73" t="s">
        <v>871</v>
      </c>
      <c r="C595" t="s">
        <v>774</v>
      </c>
      <c r="D595">
        <v>2003</v>
      </c>
      <c r="E595">
        <v>40</v>
      </c>
      <c r="F595">
        <v>3</v>
      </c>
      <c r="G595">
        <v>2</v>
      </c>
      <c r="H595">
        <v>9</v>
      </c>
      <c r="J595" s="73"/>
    </row>
    <row r="596" spans="1:10" hidden="1" x14ac:dyDescent="0.3">
      <c r="A596" s="73" t="str">
        <f t="shared" si="9"/>
        <v>SectionD_Exam200410129</v>
      </c>
      <c r="B596" s="73" t="s">
        <v>871</v>
      </c>
      <c r="C596" t="s">
        <v>774</v>
      </c>
      <c r="D596">
        <v>2004</v>
      </c>
      <c r="E596">
        <v>10</v>
      </c>
      <c r="F596">
        <v>1</v>
      </c>
      <c r="G596">
        <v>2</v>
      </c>
      <c r="H596">
        <v>9</v>
      </c>
      <c r="J596" s="73"/>
    </row>
    <row r="597" spans="1:10" hidden="1" x14ac:dyDescent="0.3">
      <c r="A597" s="73" t="str">
        <f t="shared" si="9"/>
        <v>SectionD_Exam2004303210</v>
      </c>
      <c r="B597" s="73" t="s">
        <v>871</v>
      </c>
      <c r="C597" t="s">
        <v>774</v>
      </c>
      <c r="D597">
        <v>2004</v>
      </c>
      <c r="E597">
        <v>30</v>
      </c>
      <c r="F597">
        <v>3</v>
      </c>
      <c r="G597">
        <v>2</v>
      </c>
      <c r="H597">
        <v>10</v>
      </c>
      <c r="J597" s="73"/>
    </row>
    <row r="598" spans="1:10" hidden="1" x14ac:dyDescent="0.3">
      <c r="A598" s="73" t="str">
        <f t="shared" si="9"/>
        <v>SectionD_Exam2005222311</v>
      </c>
      <c r="B598" s="73" t="s">
        <v>871</v>
      </c>
      <c r="C598" t="s">
        <v>774</v>
      </c>
      <c r="D598">
        <v>2005</v>
      </c>
      <c r="E598">
        <v>22</v>
      </c>
      <c r="F598">
        <v>2</v>
      </c>
      <c r="G598">
        <v>3</v>
      </c>
      <c r="H598">
        <v>11</v>
      </c>
      <c r="J598" s="73"/>
    </row>
    <row r="599" spans="1:10" hidden="1" x14ac:dyDescent="0.3">
      <c r="A599" s="73" t="str">
        <f t="shared" si="9"/>
        <v>SectionD_Exam2006223311</v>
      </c>
      <c r="B599" s="73" t="s">
        <v>871</v>
      </c>
      <c r="C599" t="s">
        <v>774</v>
      </c>
      <c r="D599">
        <v>2006</v>
      </c>
      <c r="E599">
        <v>22</v>
      </c>
      <c r="F599">
        <v>3</v>
      </c>
      <c r="G599">
        <v>3</v>
      </c>
      <c r="H599">
        <v>11</v>
      </c>
      <c r="J599" s="73"/>
    </row>
    <row r="600" spans="1:10" hidden="1" x14ac:dyDescent="0.3">
      <c r="A600" s="73" t="str">
        <f t="shared" si="9"/>
        <v>SectionD_Exam2007213412</v>
      </c>
      <c r="B600" s="73" t="s">
        <v>871</v>
      </c>
      <c r="C600" t="s">
        <v>774</v>
      </c>
      <c r="D600">
        <v>2007</v>
      </c>
      <c r="E600">
        <v>21</v>
      </c>
      <c r="F600">
        <v>3</v>
      </c>
      <c r="G600">
        <v>4</v>
      </c>
      <c r="H600">
        <v>12</v>
      </c>
      <c r="J600" s="73"/>
    </row>
    <row r="601" spans="1:10" hidden="1" x14ac:dyDescent="0.3">
      <c r="A601" s="73" t="str">
        <f t="shared" si="9"/>
        <v>SectionD_Exam2008192413</v>
      </c>
      <c r="B601" s="73" t="s">
        <v>871</v>
      </c>
      <c r="C601" t="s">
        <v>774</v>
      </c>
      <c r="D601">
        <v>2008</v>
      </c>
      <c r="E601">
        <v>19</v>
      </c>
      <c r="F601">
        <v>2</v>
      </c>
      <c r="G601">
        <v>4</v>
      </c>
      <c r="H601">
        <v>13</v>
      </c>
      <c r="J601" s="73"/>
    </row>
    <row r="602" spans="1:10" hidden="1" x14ac:dyDescent="0.3">
      <c r="A602" s="73" t="str">
        <f t="shared" si="9"/>
        <v>SectionD_Exam2012163.5513</v>
      </c>
      <c r="B602" s="73" t="s">
        <v>871</v>
      </c>
      <c r="C602" t="s">
        <v>774</v>
      </c>
      <c r="D602">
        <v>2012</v>
      </c>
      <c r="E602">
        <v>16</v>
      </c>
      <c r="F602">
        <v>3.5</v>
      </c>
      <c r="G602">
        <v>5</v>
      </c>
      <c r="H602">
        <v>13</v>
      </c>
      <c r="J602" s="73"/>
    </row>
    <row r="603" spans="1:10" hidden="1" x14ac:dyDescent="0.3">
      <c r="A603" s="73" t="str">
        <f t="shared" si="9"/>
        <v>SectionD_Exam2013202614</v>
      </c>
      <c r="B603" s="73" t="s">
        <v>871</v>
      </c>
      <c r="C603" t="s">
        <v>774</v>
      </c>
      <c r="D603">
        <v>2013</v>
      </c>
      <c r="E603">
        <v>20</v>
      </c>
      <c r="F603">
        <v>2</v>
      </c>
      <c r="G603">
        <v>6</v>
      </c>
      <c r="H603">
        <v>14</v>
      </c>
      <c r="J603" s="73"/>
    </row>
    <row r="604" spans="1:10" hidden="1" x14ac:dyDescent="0.3">
      <c r="A604" s="73" t="str">
        <f t="shared" si="9"/>
        <v>SectionD_Exam2015222715</v>
      </c>
      <c r="B604" s="73" t="s">
        <v>871</v>
      </c>
      <c r="C604" t="s">
        <v>774</v>
      </c>
      <c r="D604">
        <v>2015</v>
      </c>
      <c r="E604">
        <v>22</v>
      </c>
      <c r="F604">
        <v>2</v>
      </c>
      <c r="G604">
        <v>7</v>
      </c>
      <c r="H604">
        <v>15</v>
      </c>
      <c r="J604" s="73"/>
    </row>
    <row r="605" spans="1:10" hidden="1" x14ac:dyDescent="0.3">
      <c r="A605" s="73" t="str">
        <f t="shared" si="9"/>
        <v>SectionD_Exam2000274.51733</v>
      </c>
      <c r="B605" s="73" t="s">
        <v>871</v>
      </c>
      <c r="C605" t="s">
        <v>768</v>
      </c>
      <c r="D605">
        <v>2000</v>
      </c>
      <c r="E605">
        <v>27</v>
      </c>
      <c r="F605">
        <v>4.5</v>
      </c>
      <c r="G605">
        <v>17</v>
      </c>
      <c r="H605">
        <v>33</v>
      </c>
      <c r="J605" s="73"/>
    </row>
    <row r="606" spans="1:10" hidden="1" x14ac:dyDescent="0.3">
      <c r="A606" s="73" t="str">
        <f t="shared" si="9"/>
        <v>SectionD_Exam20022231834</v>
      </c>
      <c r="B606" s="73" t="s">
        <v>871</v>
      </c>
      <c r="C606" t="s">
        <v>768</v>
      </c>
      <c r="D606">
        <v>2002</v>
      </c>
      <c r="E606">
        <v>22</v>
      </c>
      <c r="F606">
        <v>3</v>
      </c>
      <c r="G606">
        <v>18</v>
      </c>
      <c r="H606">
        <v>34</v>
      </c>
      <c r="J606" s="73"/>
    </row>
    <row r="607" spans="1:10" hidden="1" x14ac:dyDescent="0.3">
      <c r="A607" s="73" t="str">
        <f t="shared" si="9"/>
        <v>SectionD_Exam20043131935</v>
      </c>
      <c r="B607" s="73" t="s">
        <v>871</v>
      </c>
      <c r="C607" t="s">
        <v>768</v>
      </c>
      <c r="D607">
        <v>2004</v>
      </c>
      <c r="E607">
        <v>31</v>
      </c>
      <c r="F607">
        <v>3</v>
      </c>
      <c r="G607">
        <v>19</v>
      </c>
      <c r="H607">
        <v>35</v>
      </c>
      <c r="J607" s="73"/>
    </row>
    <row r="608" spans="1:10" hidden="1" x14ac:dyDescent="0.3">
      <c r="A608" s="73" t="str">
        <f t="shared" si="9"/>
        <v>SectionD_Exam20043521937</v>
      </c>
      <c r="B608" s="73" t="s">
        <v>871</v>
      </c>
      <c r="C608" t="s">
        <v>768</v>
      </c>
      <c r="D608">
        <v>2004</v>
      </c>
      <c r="E608">
        <v>35</v>
      </c>
      <c r="F608">
        <v>2</v>
      </c>
      <c r="G608">
        <v>19</v>
      </c>
      <c r="H608">
        <v>37</v>
      </c>
      <c r="J608" s="73"/>
    </row>
    <row r="609" spans="1:10" hidden="1" x14ac:dyDescent="0.3">
      <c r="A609" s="73" t="str">
        <f t="shared" si="9"/>
        <v>SectionD_Exam20051622037</v>
      </c>
      <c r="B609" s="73" t="s">
        <v>871</v>
      </c>
      <c r="C609" t="s">
        <v>768</v>
      </c>
      <c r="D609">
        <v>2005</v>
      </c>
      <c r="E609">
        <v>16</v>
      </c>
      <c r="F609">
        <v>2</v>
      </c>
      <c r="G609">
        <v>20</v>
      </c>
      <c r="H609">
        <v>37</v>
      </c>
      <c r="J609" s="73"/>
    </row>
    <row r="610" spans="1:10" hidden="1" x14ac:dyDescent="0.3">
      <c r="A610" s="73" t="str">
        <f t="shared" si="9"/>
        <v>SectionD_Exam20051812037</v>
      </c>
      <c r="B610" s="73" t="s">
        <v>871</v>
      </c>
      <c r="C610" t="s">
        <v>768</v>
      </c>
      <c r="D610">
        <v>2005</v>
      </c>
      <c r="E610">
        <v>18</v>
      </c>
      <c r="F610">
        <v>1</v>
      </c>
      <c r="G610">
        <v>20</v>
      </c>
      <c r="H610">
        <v>37</v>
      </c>
      <c r="J610" s="73"/>
    </row>
    <row r="611" spans="1:10" hidden="1" x14ac:dyDescent="0.3">
      <c r="A611" s="73" t="str">
        <f t="shared" si="9"/>
        <v>SectionD_Exam20061632038</v>
      </c>
      <c r="B611" s="73" t="s">
        <v>871</v>
      </c>
      <c r="C611" t="s">
        <v>768</v>
      </c>
      <c r="D611">
        <v>2006</v>
      </c>
      <c r="E611">
        <v>16</v>
      </c>
      <c r="F611">
        <v>3</v>
      </c>
      <c r="G611">
        <v>20</v>
      </c>
      <c r="H611">
        <v>38</v>
      </c>
      <c r="J611" s="73"/>
    </row>
    <row r="612" spans="1:10" hidden="1" x14ac:dyDescent="0.3">
      <c r="A612" s="73" t="str">
        <f t="shared" ref="A612:A675" si="10">B612&amp;D612&amp;E612&amp;F612&amp;G612&amp;H612</f>
        <v>SectionD_Exam20062122139</v>
      </c>
      <c r="B612" s="73" t="s">
        <v>871</v>
      </c>
      <c r="C612" t="s">
        <v>768</v>
      </c>
      <c r="D612">
        <v>2006</v>
      </c>
      <c r="E612">
        <v>21</v>
      </c>
      <c r="F612">
        <v>2</v>
      </c>
      <c r="G612">
        <v>21</v>
      </c>
      <c r="H612">
        <v>39</v>
      </c>
      <c r="J612" s="73"/>
    </row>
    <row r="613" spans="1:10" hidden="1" x14ac:dyDescent="0.3">
      <c r="A613" s="73" t="str">
        <f t="shared" si="10"/>
        <v>SectionD_Exam20071542240</v>
      </c>
      <c r="B613" s="73" t="s">
        <v>871</v>
      </c>
      <c r="C613" t="s">
        <v>768</v>
      </c>
      <c r="D613">
        <v>2007</v>
      </c>
      <c r="E613">
        <v>15</v>
      </c>
      <c r="F613">
        <v>4</v>
      </c>
      <c r="G613">
        <v>22</v>
      </c>
      <c r="H613">
        <v>40</v>
      </c>
      <c r="J613" s="73"/>
    </row>
    <row r="614" spans="1:10" hidden="1" x14ac:dyDescent="0.3">
      <c r="A614" s="73" t="str">
        <f t="shared" si="10"/>
        <v>SectionD_Exam200884.252341</v>
      </c>
      <c r="B614" s="73" t="s">
        <v>871</v>
      </c>
      <c r="C614" t="s">
        <v>768</v>
      </c>
      <c r="D614">
        <v>2008</v>
      </c>
      <c r="E614">
        <v>8</v>
      </c>
      <c r="F614">
        <v>4.25</v>
      </c>
      <c r="G614">
        <v>23</v>
      </c>
      <c r="H614">
        <v>41</v>
      </c>
      <c r="J614" s="73"/>
    </row>
    <row r="615" spans="1:10" hidden="1" x14ac:dyDescent="0.3">
      <c r="A615" s="73" t="str">
        <f t="shared" si="10"/>
        <v>SectionD_Exam200892.52343</v>
      </c>
      <c r="B615" s="73" t="s">
        <v>871</v>
      </c>
      <c r="C615" t="s">
        <v>768</v>
      </c>
      <c r="D615">
        <v>2008</v>
      </c>
      <c r="E615">
        <v>9</v>
      </c>
      <c r="F615">
        <v>2.5</v>
      </c>
      <c r="G615">
        <v>23</v>
      </c>
      <c r="H615">
        <v>43</v>
      </c>
      <c r="J615" s="73"/>
    </row>
    <row r="616" spans="1:10" hidden="1" x14ac:dyDescent="0.3">
      <c r="A616" s="73" t="str">
        <f t="shared" si="10"/>
        <v>SectionD_Exam2009752443</v>
      </c>
      <c r="B616" s="73" t="s">
        <v>871</v>
      </c>
      <c r="C616" t="s">
        <v>768</v>
      </c>
      <c r="D616">
        <v>2009</v>
      </c>
      <c r="E616">
        <v>7</v>
      </c>
      <c r="F616">
        <v>5</v>
      </c>
      <c r="G616">
        <v>24</v>
      </c>
      <c r="H616">
        <v>43</v>
      </c>
      <c r="J616" s="73"/>
    </row>
    <row r="617" spans="1:10" hidden="1" x14ac:dyDescent="0.3">
      <c r="A617" s="73" t="str">
        <f t="shared" si="10"/>
        <v>SectionD_Exam2009152.752545</v>
      </c>
      <c r="B617" s="73" t="s">
        <v>871</v>
      </c>
      <c r="C617" t="s">
        <v>768</v>
      </c>
      <c r="D617">
        <v>2009</v>
      </c>
      <c r="E617">
        <v>15</v>
      </c>
      <c r="F617">
        <v>2.75</v>
      </c>
      <c r="G617">
        <v>25</v>
      </c>
      <c r="H617">
        <v>45</v>
      </c>
      <c r="J617" s="73"/>
    </row>
    <row r="618" spans="1:10" hidden="1" x14ac:dyDescent="0.3">
      <c r="A618" s="73" t="str">
        <f t="shared" si="10"/>
        <v>SectionD_Exam2010722545</v>
      </c>
      <c r="B618" s="73" t="s">
        <v>871</v>
      </c>
      <c r="C618" t="s">
        <v>768</v>
      </c>
      <c r="D618">
        <v>2010</v>
      </c>
      <c r="E618">
        <v>7</v>
      </c>
      <c r="F618">
        <v>2</v>
      </c>
      <c r="G618">
        <v>25</v>
      </c>
      <c r="H618">
        <v>45</v>
      </c>
      <c r="J618" s="73"/>
    </row>
    <row r="619" spans="1:10" hidden="1" x14ac:dyDescent="0.3">
      <c r="A619" s="73" t="str">
        <f t="shared" si="10"/>
        <v>SectionD_Exam2010112.52646</v>
      </c>
      <c r="B619" s="73" t="s">
        <v>871</v>
      </c>
      <c r="C619" t="s">
        <v>768</v>
      </c>
      <c r="D619">
        <v>2010</v>
      </c>
      <c r="E619">
        <v>11</v>
      </c>
      <c r="F619">
        <v>2.5</v>
      </c>
      <c r="G619">
        <v>26</v>
      </c>
      <c r="H619">
        <v>46</v>
      </c>
      <c r="J619" s="73"/>
    </row>
    <row r="620" spans="1:10" hidden="1" x14ac:dyDescent="0.3">
      <c r="A620" s="73" t="str">
        <f t="shared" si="10"/>
        <v>SectionD_Exam20101342647</v>
      </c>
      <c r="B620" s="73" t="s">
        <v>871</v>
      </c>
      <c r="C620" t="s">
        <v>768</v>
      </c>
      <c r="D620">
        <v>2010</v>
      </c>
      <c r="E620">
        <v>13</v>
      </c>
      <c r="F620">
        <v>4</v>
      </c>
      <c r="G620">
        <v>26</v>
      </c>
      <c r="H620">
        <v>47</v>
      </c>
      <c r="J620" s="73"/>
    </row>
    <row r="621" spans="1:10" hidden="1" x14ac:dyDescent="0.3">
      <c r="A621" s="73" t="str">
        <f t="shared" si="10"/>
        <v>SectionD_Exam20111842749</v>
      </c>
      <c r="B621" s="73" t="s">
        <v>871</v>
      </c>
      <c r="C621" t="s">
        <v>768</v>
      </c>
      <c r="D621">
        <v>2011</v>
      </c>
      <c r="E621">
        <v>18</v>
      </c>
      <c r="F621">
        <v>4</v>
      </c>
      <c r="G621">
        <v>27</v>
      </c>
      <c r="H621">
        <v>49</v>
      </c>
      <c r="J621" s="73"/>
    </row>
    <row r="622" spans="1:10" hidden="1" x14ac:dyDescent="0.3">
      <c r="A622" s="73" t="str">
        <f t="shared" si="10"/>
        <v>SectionD_Exam2011192.52851</v>
      </c>
      <c r="B622" s="73" t="s">
        <v>871</v>
      </c>
      <c r="C622" t="s">
        <v>768</v>
      </c>
      <c r="D622">
        <v>2011</v>
      </c>
      <c r="E622">
        <v>19</v>
      </c>
      <c r="F622">
        <v>2.5</v>
      </c>
      <c r="G622">
        <v>28</v>
      </c>
      <c r="H622">
        <v>51</v>
      </c>
      <c r="J622" s="73"/>
    </row>
    <row r="623" spans="1:10" hidden="1" x14ac:dyDescent="0.3">
      <c r="A623" s="73" t="str">
        <f t="shared" si="10"/>
        <v>SectionD_Exam2012174.52953</v>
      </c>
      <c r="B623" s="73" t="s">
        <v>871</v>
      </c>
      <c r="C623" t="s">
        <v>768</v>
      </c>
      <c r="D623">
        <v>2012</v>
      </c>
      <c r="E623">
        <v>17</v>
      </c>
      <c r="F623">
        <v>4.5</v>
      </c>
      <c r="G623">
        <v>29</v>
      </c>
      <c r="H623">
        <v>53</v>
      </c>
      <c r="J623" s="73"/>
    </row>
    <row r="624" spans="1:10" hidden="1" x14ac:dyDescent="0.3">
      <c r="A624" s="73" t="str">
        <f t="shared" si="10"/>
        <v>SectionD_Exam20131933055</v>
      </c>
      <c r="B624" s="73" t="s">
        <v>871</v>
      </c>
      <c r="C624" t="s">
        <v>768</v>
      </c>
      <c r="D624">
        <v>2013</v>
      </c>
      <c r="E624">
        <v>19</v>
      </c>
      <c r="F624">
        <v>3</v>
      </c>
      <c r="G624">
        <v>30</v>
      </c>
      <c r="H624">
        <v>55</v>
      </c>
      <c r="J624" s="73"/>
    </row>
    <row r="625" spans="1:10" x14ac:dyDescent="0.3">
      <c r="A625" s="73" t="str">
        <f t="shared" si="10"/>
        <v>SectionD_Exam20141833156</v>
      </c>
      <c r="B625" s="73" t="s">
        <v>871</v>
      </c>
      <c r="C625" t="s">
        <v>768</v>
      </c>
      <c r="D625">
        <v>2014</v>
      </c>
      <c r="E625">
        <v>18</v>
      </c>
      <c r="F625">
        <v>3</v>
      </c>
      <c r="G625">
        <v>31</v>
      </c>
      <c r="H625">
        <v>56</v>
      </c>
      <c r="J625" s="73"/>
    </row>
    <row r="626" spans="1:10" hidden="1" x14ac:dyDescent="0.3">
      <c r="A626" s="73" t="str">
        <f t="shared" si="10"/>
        <v>SectionD_Exam2015192.253157</v>
      </c>
      <c r="B626" s="73" t="s">
        <v>871</v>
      </c>
      <c r="C626" t="s">
        <v>768</v>
      </c>
      <c r="D626">
        <v>2015</v>
      </c>
      <c r="E626">
        <v>19</v>
      </c>
      <c r="F626">
        <v>2.25</v>
      </c>
      <c r="G626">
        <v>31</v>
      </c>
      <c r="H626">
        <v>57</v>
      </c>
      <c r="J626" s="73"/>
    </row>
    <row r="627" spans="1:10" hidden="1" x14ac:dyDescent="0.3">
      <c r="A627" s="73" t="str">
        <f t="shared" si="10"/>
        <v>SectionD_Exam20152023259</v>
      </c>
      <c r="B627" s="73" t="s">
        <v>871</v>
      </c>
      <c r="C627" t="s">
        <v>768</v>
      </c>
      <c r="D627">
        <v>2015</v>
      </c>
      <c r="E627">
        <v>20</v>
      </c>
      <c r="F627">
        <v>2</v>
      </c>
      <c r="G627">
        <v>32</v>
      </c>
      <c r="H627">
        <v>59</v>
      </c>
      <c r="J627" s="73"/>
    </row>
    <row r="628" spans="1:10" hidden="1" x14ac:dyDescent="0.3">
      <c r="A628" s="73" t="str">
        <f t="shared" si="10"/>
        <v>SectionD_Exam20002426171</v>
      </c>
      <c r="B628" s="73" t="s">
        <v>871</v>
      </c>
      <c r="C628" t="s">
        <v>769</v>
      </c>
      <c r="D628">
        <v>2000</v>
      </c>
      <c r="E628">
        <v>24</v>
      </c>
      <c r="F628">
        <v>2</v>
      </c>
      <c r="G628">
        <v>61</v>
      </c>
      <c r="H628">
        <v>71</v>
      </c>
      <c r="J628" s="73"/>
    </row>
    <row r="629" spans="1:10" hidden="1" x14ac:dyDescent="0.3">
      <c r="A629" s="73" t="str">
        <f t="shared" si="10"/>
        <v>SectionD_Exam20011716172</v>
      </c>
      <c r="B629" s="73" t="s">
        <v>871</v>
      </c>
      <c r="C629" t="s">
        <v>769</v>
      </c>
      <c r="D629">
        <v>2001</v>
      </c>
      <c r="E629">
        <v>17</v>
      </c>
      <c r="F629">
        <v>1</v>
      </c>
      <c r="G629">
        <v>61</v>
      </c>
      <c r="H629">
        <v>72</v>
      </c>
      <c r="J629" s="73"/>
    </row>
    <row r="630" spans="1:10" hidden="1" x14ac:dyDescent="0.3">
      <c r="A630" s="73" t="str">
        <f t="shared" si="10"/>
        <v>SectionD_Exam20014436272</v>
      </c>
      <c r="B630" s="73" t="s">
        <v>871</v>
      </c>
      <c r="C630" t="s">
        <v>769</v>
      </c>
      <c r="D630">
        <v>2001</v>
      </c>
      <c r="E630">
        <v>44</v>
      </c>
      <c r="F630">
        <v>3</v>
      </c>
      <c r="G630">
        <v>62</v>
      </c>
      <c r="H630">
        <v>72</v>
      </c>
      <c r="J630" s="73"/>
    </row>
    <row r="631" spans="1:10" hidden="1" x14ac:dyDescent="0.3">
      <c r="A631" s="73" t="str">
        <f t="shared" si="10"/>
        <v>SectionD_Exam20022726273</v>
      </c>
      <c r="B631" s="73" t="s">
        <v>871</v>
      </c>
      <c r="C631" t="s">
        <v>769</v>
      </c>
      <c r="D631">
        <v>2002</v>
      </c>
      <c r="E631">
        <v>27</v>
      </c>
      <c r="F631">
        <v>2</v>
      </c>
      <c r="G631">
        <v>62</v>
      </c>
      <c r="H631">
        <v>73</v>
      </c>
      <c r="J631" s="73"/>
    </row>
    <row r="632" spans="1:10" hidden="1" x14ac:dyDescent="0.3">
      <c r="A632" s="73" t="str">
        <f t="shared" si="10"/>
        <v>SectionD_Exam20034146374</v>
      </c>
      <c r="B632" s="73" t="s">
        <v>871</v>
      </c>
      <c r="C632" t="s">
        <v>769</v>
      </c>
      <c r="D632">
        <v>2003</v>
      </c>
      <c r="E632">
        <v>41</v>
      </c>
      <c r="F632">
        <v>4</v>
      </c>
      <c r="G632">
        <v>63</v>
      </c>
      <c r="H632">
        <v>74</v>
      </c>
      <c r="J632" s="73"/>
    </row>
    <row r="633" spans="1:10" hidden="1" x14ac:dyDescent="0.3">
      <c r="A633" s="73" t="str">
        <f t="shared" si="10"/>
        <v>SectionD_Exam20041216375</v>
      </c>
      <c r="B633" s="73" t="s">
        <v>871</v>
      </c>
      <c r="C633" t="s">
        <v>769</v>
      </c>
      <c r="D633">
        <v>2004</v>
      </c>
      <c r="E633">
        <v>12</v>
      </c>
      <c r="F633">
        <v>1</v>
      </c>
      <c r="G633">
        <v>63</v>
      </c>
      <c r="H633">
        <v>75</v>
      </c>
      <c r="J633" s="73"/>
    </row>
    <row r="634" spans="1:10" hidden="1" x14ac:dyDescent="0.3">
      <c r="A634" s="73" t="str">
        <f t="shared" si="10"/>
        <v>SectionD_Exam20052036475</v>
      </c>
      <c r="B634" s="73" t="s">
        <v>871</v>
      </c>
      <c r="C634" t="s">
        <v>769</v>
      </c>
      <c r="D634">
        <v>2005</v>
      </c>
      <c r="E634">
        <v>20</v>
      </c>
      <c r="F634">
        <v>3</v>
      </c>
      <c r="G634">
        <v>64</v>
      </c>
      <c r="H634">
        <v>75</v>
      </c>
      <c r="J634" s="73"/>
    </row>
    <row r="635" spans="1:10" hidden="1" x14ac:dyDescent="0.3">
      <c r="A635" s="73" t="str">
        <f t="shared" si="10"/>
        <v>SectionD_Exam2006183.56476</v>
      </c>
      <c r="B635" s="73" t="s">
        <v>871</v>
      </c>
      <c r="C635" t="s">
        <v>769</v>
      </c>
      <c r="D635">
        <v>2006</v>
      </c>
      <c r="E635">
        <v>18</v>
      </c>
      <c r="F635">
        <v>3.5</v>
      </c>
      <c r="G635">
        <v>64</v>
      </c>
      <c r="H635">
        <v>76</v>
      </c>
      <c r="J635" s="73"/>
    </row>
    <row r="636" spans="1:10" hidden="1" x14ac:dyDescent="0.3">
      <c r="A636" s="73" t="str">
        <f t="shared" si="10"/>
        <v>SectionD_Exam2007131.56577</v>
      </c>
      <c r="B636" s="73" t="s">
        <v>871</v>
      </c>
      <c r="C636" t="s">
        <v>769</v>
      </c>
      <c r="D636">
        <v>2007</v>
      </c>
      <c r="E636">
        <v>13</v>
      </c>
      <c r="F636">
        <v>1.5</v>
      </c>
      <c r="G636">
        <v>65</v>
      </c>
      <c r="H636">
        <v>77</v>
      </c>
      <c r="J636" s="73"/>
    </row>
    <row r="637" spans="1:10" hidden="1" x14ac:dyDescent="0.3">
      <c r="A637" s="73" t="str">
        <f t="shared" si="10"/>
        <v>SectionD_Exam2007171.56577</v>
      </c>
      <c r="B637" s="73" t="s">
        <v>871</v>
      </c>
      <c r="C637" t="s">
        <v>769</v>
      </c>
      <c r="D637">
        <v>2007</v>
      </c>
      <c r="E637">
        <v>17</v>
      </c>
      <c r="F637">
        <v>1.5</v>
      </c>
      <c r="G637">
        <v>65</v>
      </c>
      <c r="H637">
        <v>77</v>
      </c>
      <c r="J637" s="73"/>
    </row>
    <row r="638" spans="1:10" hidden="1" x14ac:dyDescent="0.3">
      <c r="A638" s="73" t="str">
        <f t="shared" si="10"/>
        <v>SectionD_Exam2008172.56678</v>
      </c>
      <c r="B638" s="73" t="s">
        <v>871</v>
      </c>
      <c r="C638" t="s">
        <v>769</v>
      </c>
      <c r="D638">
        <v>2008</v>
      </c>
      <c r="E638">
        <v>17</v>
      </c>
      <c r="F638">
        <v>2.5</v>
      </c>
      <c r="G638">
        <v>66</v>
      </c>
      <c r="H638">
        <v>78</v>
      </c>
      <c r="J638" s="73"/>
    </row>
    <row r="639" spans="1:10" hidden="1" x14ac:dyDescent="0.3">
      <c r="A639" s="73" t="str">
        <f t="shared" si="10"/>
        <v>SectionD_Exam20081816678</v>
      </c>
      <c r="B639" s="73" t="s">
        <v>871</v>
      </c>
      <c r="C639" t="s">
        <v>769</v>
      </c>
      <c r="D639">
        <v>2008</v>
      </c>
      <c r="E639">
        <v>18</v>
      </c>
      <c r="F639">
        <v>1</v>
      </c>
      <c r="G639">
        <v>66</v>
      </c>
      <c r="H639">
        <v>78</v>
      </c>
      <c r="J639" s="73"/>
    </row>
    <row r="640" spans="1:10" hidden="1" x14ac:dyDescent="0.3">
      <c r="A640" s="73" t="str">
        <f t="shared" si="10"/>
        <v>SectionD_Exam200983.56779</v>
      </c>
      <c r="B640" s="73" t="s">
        <v>871</v>
      </c>
      <c r="C640" t="s">
        <v>769</v>
      </c>
      <c r="D640">
        <v>2009</v>
      </c>
      <c r="E640">
        <v>8</v>
      </c>
      <c r="F640">
        <v>3.5</v>
      </c>
      <c r="G640">
        <v>67</v>
      </c>
      <c r="H640">
        <v>79</v>
      </c>
      <c r="J640" s="73"/>
    </row>
    <row r="641" spans="1:10" hidden="1" x14ac:dyDescent="0.3">
      <c r="A641" s="73" t="str">
        <f t="shared" si="10"/>
        <v>SectionD_Exam2009936780</v>
      </c>
      <c r="B641" s="73" t="s">
        <v>871</v>
      </c>
      <c r="C641" t="s">
        <v>769</v>
      </c>
      <c r="D641">
        <v>2009</v>
      </c>
      <c r="E641">
        <v>9</v>
      </c>
      <c r="F641">
        <v>3</v>
      </c>
      <c r="G641">
        <v>67</v>
      </c>
      <c r="H641">
        <v>80</v>
      </c>
      <c r="J641" s="73"/>
    </row>
    <row r="642" spans="1:10" hidden="1" x14ac:dyDescent="0.3">
      <c r="A642" s="73" t="str">
        <f t="shared" si="10"/>
        <v>SectionD_Exam201092.56881</v>
      </c>
      <c r="B642" s="73" t="s">
        <v>871</v>
      </c>
      <c r="C642" t="s">
        <v>769</v>
      </c>
      <c r="D642">
        <v>2010</v>
      </c>
      <c r="E642">
        <v>9</v>
      </c>
      <c r="F642">
        <v>2.5</v>
      </c>
      <c r="G642">
        <v>68</v>
      </c>
      <c r="H642">
        <v>81</v>
      </c>
      <c r="J642" s="73"/>
    </row>
    <row r="643" spans="1:10" hidden="1" x14ac:dyDescent="0.3">
      <c r="A643" s="73" t="str">
        <f t="shared" si="10"/>
        <v>SectionD_Exam2011152.756881</v>
      </c>
      <c r="B643" s="73" t="s">
        <v>871</v>
      </c>
      <c r="C643" t="s">
        <v>769</v>
      </c>
      <c r="D643">
        <v>2011</v>
      </c>
      <c r="E643">
        <v>15</v>
      </c>
      <c r="F643">
        <v>2.75</v>
      </c>
      <c r="G643">
        <v>68</v>
      </c>
      <c r="H643">
        <v>81</v>
      </c>
      <c r="J643" s="73"/>
    </row>
    <row r="644" spans="1:10" hidden="1" x14ac:dyDescent="0.3">
      <c r="A644" s="73" t="str">
        <f t="shared" si="10"/>
        <v>SectionD_Exam2012121.56982</v>
      </c>
      <c r="B644" s="73" t="s">
        <v>871</v>
      </c>
      <c r="C644" t="s">
        <v>769</v>
      </c>
      <c r="D644">
        <v>2012</v>
      </c>
      <c r="E644">
        <v>12</v>
      </c>
      <c r="F644">
        <v>1.5</v>
      </c>
      <c r="G644">
        <v>69</v>
      </c>
      <c r="H644">
        <v>82</v>
      </c>
      <c r="J644" s="73"/>
    </row>
    <row r="645" spans="1:10" hidden="1" x14ac:dyDescent="0.3">
      <c r="A645" s="73" t="str">
        <f t="shared" si="10"/>
        <v>SectionD_Exam2013241.56983</v>
      </c>
      <c r="B645" s="73" t="s">
        <v>871</v>
      </c>
      <c r="C645" t="s">
        <v>769</v>
      </c>
      <c r="D645">
        <v>2013</v>
      </c>
      <c r="E645">
        <v>24</v>
      </c>
      <c r="F645">
        <v>1.5</v>
      </c>
      <c r="G645">
        <v>69</v>
      </c>
      <c r="H645">
        <v>83</v>
      </c>
      <c r="J645" s="73"/>
    </row>
    <row r="646" spans="1:10" hidden="1" x14ac:dyDescent="0.3">
      <c r="A646" s="73" t="str">
        <f t="shared" si="10"/>
        <v>SectionD_Exam20132527083</v>
      </c>
      <c r="B646" s="73" t="s">
        <v>871</v>
      </c>
      <c r="C646" t="s">
        <v>769</v>
      </c>
      <c r="D646">
        <v>2013</v>
      </c>
      <c r="E646">
        <v>25</v>
      </c>
      <c r="F646">
        <v>2</v>
      </c>
      <c r="G646">
        <v>70</v>
      </c>
      <c r="H646">
        <v>83</v>
      </c>
      <c r="J646" s="73"/>
    </row>
    <row r="647" spans="1:10" hidden="1" x14ac:dyDescent="0.3">
      <c r="A647" s="73" t="str">
        <f t="shared" si="10"/>
        <v>SectionD_Exam20152127084</v>
      </c>
      <c r="B647" s="73" t="s">
        <v>871</v>
      </c>
      <c r="C647" t="s">
        <v>769</v>
      </c>
      <c r="D647">
        <v>2015</v>
      </c>
      <c r="E647">
        <v>21</v>
      </c>
      <c r="F647">
        <v>2</v>
      </c>
      <c r="G647">
        <v>70</v>
      </c>
      <c r="H647">
        <v>84</v>
      </c>
      <c r="J647" s="73"/>
    </row>
    <row r="648" spans="1:10" hidden="1" x14ac:dyDescent="0.3">
      <c r="A648" s="73" t="str">
        <f t="shared" si="10"/>
        <v>SectionD_Exam20001018796</v>
      </c>
      <c r="B648" s="73" t="s">
        <v>871</v>
      </c>
      <c r="C648" t="s">
        <v>777</v>
      </c>
      <c r="D648">
        <v>2000</v>
      </c>
      <c r="E648">
        <v>10</v>
      </c>
      <c r="F648">
        <v>1</v>
      </c>
      <c r="G648">
        <v>87</v>
      </c>
      <c r="H648">
        <v>96</v>
      </c>
      <c r="J648" s="73"/>
    </row>
    <row r="649" spans="1:10" hidden="1" x14ac:dyDescent="0.3">
      <c r="A649" s="73" t="str">
        <f t="shared" si="10"/>
        <v>SectionD_Exam20001118796</v>
      </c>
      <c r="B649" s="73" t="s">
        <v>871</v>
      </c>
      <c r="C649" t="s">
        <v>777</v>
      </c>
      <c r="D649">
        <v>2000</v>
      </c>
      <c r="E649">
        <v>11</v>
      </c>
      <c r="F649">
        <v>1</v>
      </c>
      <c r="G649">
        <v>87</v>
      </c>
      <c r="H649">
        <v>96</v>
      </c>
      <c r="J649" s="73"/>
    </row>
    <row r="650" spans="1:10" hidden="1" x14ac:dyDescent="0.3">
      <c r="A650" s="73" t="str">
        <f t="shared" si="10"/>
        <v>SectionD_Exam20011518897</v>
      </c>
      <c r="B650" s="73" t="s">
        <v>871</v>
      </c>
      <c r="C650" t="s">
        <v>777</v>
      </c>
      <c r="D650">
        <v>2001</v>
      </c>
      <c r="E650">
        <v>15</v>
      </c>
      <c r="F650">
        <v>1</v>
      </c>
      <c r="G650">
        <v>88</v>
      </c>
      <c r="H650">
        <v>97</v>
      </c>
      <c r="J650" s="73"/>
    </row>
    <row r="651" spans="1:10" hidden="1" x14ac:dyDescent="0.3">
      <c r="A651" s="73" t="str">
        <f t="shared" si="10"/>
        <v>SectionD_Exam2002418897</v>
      </c>
      <c r="B651" s="73" t="s">
        <v>871</v>
      </c>
      <c r="C651" t="s">
        <v>777</v>
      </c>
      <c r="D651">
        <v>2002</v>
      </c>
      <c r="E651">
        <v>4</v>
      </c>
      <c r="F651">
        <v>1</v>
      </c>
      <c r="G651">
        <v>88</v>
      </c>
      <c r="H651">
        <v>97</v>
      </c>
      <c r="J651" s="73"/>
    </row>
    <row r="652" spans="1:10" hidden="1" x14ac:dyDescent="0.3">
      <c r="A652" s="73" t="str">
        <f t="shared" si="10"/>
        <v>SectionD_Exam2002253.58998</v>
      </c>
      <c r="B652" s="73" t="s">
        <v>871</v>
      </c>
      <c r="C652" t="s">
        <v>777</v>
      </c>
      <c r="D652">
        <v>2002</v>
      </c>
      <c r="E652">
        <v>25</v>
      </c>
      <c r="F652">
        <v>3.5</v>
      </c>
      <c r="G652">
        <v>89</v>
      </c>
      <c r="H652">
        <v>98</v>
      </c>
      <c r="J652" s="73"/>
    </row>
    <row r="653" spans="1:10" hidden="1" x14ac:dyDescent="0.3">
      <c r="A653" s="73" t="str">
        <f t="shared" si="10"/>
        <v>SectionD_Exam20031919099</v>
      </c>
      <c r="B653" s="73" t="s">
        <v>871</v>
      </c>
      <c r="C653" t="s">
        <v>777</v>
      </c>
      <c r="D653">
        <v>2003</v>
      </c>
      <c r="E653">
        <v>19</v>
      </c>
      <c r="F653">
        <v>1</v>
      </c>
      <c r="G653">
        <v>90</v>
      </c>
      <c r="H653">
        <v>99</v>
      </c>
      <c r="J653" s="73"/>
    </row>
    <row r="654" spans="1:10" hidden="1" x14ac:dyDescent="0.3">
      <c r="A654" s="73" t="str">
        <f t="shared" si="10"/>
        <v>SectionD_Exam2004819099</v>
      </c>
      <c r="B654" s="73" t="s">
        <v>871</v>
      </c>
      <c r="C654" t="s">
        <v>777</v>
      </c>
      <c r="D654">
        <v>2004</v>
      </c>
      <c r="E654">
        <v>8</v>
      </c>
      <c r="F654">
        <v>1</v>
      </c>
      <c r="G654">
        <v>90</v>
      </c>
      <c r="H654">
        <v>99</v>
      </c>
      <c r="J654" s="73"/>
    </row>
    <row r="655" spans="1:10" hidden="1" x14ac:dyDescent="0.3">
      <c r="A655" s="73" t="str">
        <f t="shared" si="10"/>
        <v>SectionD_Exam200411191100</v>
      </c>
      <c r="B655" s="73" t="s">
        <v>871</v>
      </c>
      <c r="C655" t="s">
        <v>777</v>
      </c>
      <c r="D655">
        <v>2004</v>
      </c>
      <c r="E655">
        <v>11</v>
      </c>
      <c r="F655">
        <v>1</v>
      </c>
      <c r="G655">
        <v>91</v>
      </c>
      <c r="H655">
        <v>100</v>
      </c>
      <c r="J655" s="73"/>
    </row>
    <row r="656" spans="1:10" hidden="1" x14ac:dyDescent="0.3">
      <c r="A656" s="73" t="str">
        <f t="shared" si="10"/>
        <v>SectionD_Exam200512291100</v>
      </c>
      <c r="B656" s="73" t="s">
        <v>871</v>
      </c>
      <c r="C656" t="s">
        <v>777</v>
      </c>
      <c r="D656">
        <v>2005</v>
      </c>
      <c r="E656">
        <v>12</v>
      </c>
      <c r="F656">
        <v>2</v>
      </c>
      <c r="G656">
        <v>91</v>
      </c>
      <c r="H656">
        <v>100</v>
      </c>
      <c r="J656" s="73"/>
    </row>
    <row r="657" spans="1:10" hidden="1" x14ac:dyDescent="0.3">
      <c r="A657" s="73" t="str">
        <f t="shared" si="10"/>
        <v>SectionD_Exam200714392101</v>
      </c>
      <c r="B657" s="73" t="s">
        <v>871</v>
      </c>
      <c r="C657" t="s">
        <v>777</v>
      </c>
      <c r="D657">
        <v>2007</v>
      </c>
      <c r="E657">
        <v>14</v>
      </c>
      <c r="F657">
        <v>3</v>
      </c>
      <c r="G657">
        <v>92</v>
      </c>
      <c r="H657">
        <v>101</v>
      </c>
      <c r="J657" s="73"/>
    </row>
    <row r="658" spans="1:10" hidden="1" x14ac:dyDescent="0.3">
      <c r="A658" s="73" t="str">
        <f t="shared" si="10"/>
        <v>SectionD_Exam200813293102</v>
      </c>
      <c r="B658" s="73" t="s">
        <v>871</v>
      </c>
      <c r="C658" t="s">
        <v>777</v>
      </c>
      <c r="D658">
        <v>2008</v>
      </c>
      <c r="E658">
        <v>13</v>
      </c>
      <c r="F658">
        <v>2</v>
      </c>
      <c r="G658">
        <v>93</v>
      </c>
      <c r="H658">
        <v>102</v>
      </c>
      <c r="J658" s="73"/>
    </row>
    <row r="659" spans="1:10" hidden="1" x14ac:dyDescent="0.3">
      <c r="A659" s="73" t="str">
        <f t="shared" si="10"/>
        <v>SectionD_Exam200916293103</v>
      </c>
      <c r="B659" s="73" t="s">
        <v>871</v>
      </c>
      <c r="C659" t="s">
        <v>777</v>
      </c>
      <c r="D659">
        <v>2009</v>
      </c>
      <c r="E659">
        <v>16</v>
      </c>
      <c r="F659">
        <v>2</v>
      </c>
      <c r="G659">
        <v>93</v>
      </c>
      <c r="H659">
        <v>103</v>
      </c>
      <c r="J659" s="73"/>
    </row>
    <row r="660" spans="1:10" hidden="1" x14ac:dyDescent="0.3">
      <c r="A660" s="73" t="str">
        <f t="shared" si="10"/>
        <v>SectionD_Exam201116293103</v>
      </c>
      <c r="B660" s="73" t="s">
        <v>871</v>
      </c>
      <c r="C660" t="s">
        <v>777</v>
      </c>
      <c r="D660">
        <v>2011</v>
      </c>
      <c r="E660">
        <v>16</v>
      </c>
      <c r="F660">
        <v>2</v>
      </c>
      <c r="G660">
        <v>93</v>
      </c>
      <c r="H660">
        <v>103</v>
      </c>
      <c r="J660" s="73"/>
    </row>
    <row r="661" spans="1:10" x14ac:dyDescent="0.3">
      <c r="A661" s="73" t="str">
        <f t="shared" si="10"/>
        <v>SectionD_Exam201421194103</v>
      </c>
      <c r="B661" s="73" t="s">
        <v>871</v>
      </c>
      <c r="C661" t="s">
        <v>777</v>
      </c>
      <c r="D661">
        <v>2014</v>
      </c>
      <c r="E661">
        <v>21</v>
      </c>
      <c r="F661">
        <v>1</v>
      </c>
      <c r="G661">
        <v>94</v>
      </c>
      <c r="H661">
        <v>103</v>
      </c>
      <c r="J661" s="73"/>
    </row>
    <row r="662" spans="1:10" x14ac:dyDescent="0.3">
      <c r="A662" s="73" t="str">
        <f t="shared" si="10"/>
        <v>SectionD_Exam201424394104</v>
      </c>
      <c r="B662" s="73" t="s">
        <v>871</v>
      </c>
      <c r="C662" t="s">
        <v>777</v>
      </c>
      <c r="D662">
        <v>2014</v>
      </c>
      <c r="E662">
        <v>24</v>
      </c>
      <c r="F662">
        <v>3</v>
      </c>
      <c r="G662">
        <v>94</v>
      </c>
      <c r="H662">
        <v>104</v>
      </c>
      <c r="J662" s="73"/>
    </row>
    <row r="663" spans="1:10" hidden="1" x14ac:dyDescent="0.3">
      <c r="A663" s="73" t="str">
        <f t="shared" si="10"/>
        <v>SectionD_Exam2015241.2594105</v>
      </c>
      <c r="B663" s="73" t="s">
        <v>871</v>
      </c>
      <c r="C663" t="s">
        <v>777</v>
      </c>
      <c r="D663">
        <v>2015</v>
      </c>
      <c r="E663">
        <v>24</v>
      </c>
      <c r="F663">
        <v>1.25</v>
      </c>
      <c r="G663">
        <v>94</v>
      </c>
      <c r="H663">
        <v>105</v>
      </c>
      <c r="J663" s="73"/>
    </row>
    <row r="664" spans="1:10" hidden="1" x14ac:dyDescent="0.3">
      <c r="A664" s="73" t="str">
        <f t="shared" si="10"/>
        <v>SectionD_Exam201525295106</v>
      </c>
      <c r="B664" s="73" t="s">
        <v>871</v>
      </c>
      <c r="C664" t="s">
        <v>777</v>
      </c>
      <c r="D664">
        <v>2015</v>
      </c>
      <c r="E664">
        <v>25</v>
      </c>
      <c r="F664">
        <v>2</v>
      </c>
      <c r="G664">
        <v>95</v>
      </c>
      <c r="H664">
        <v>106</v>
      </c>
      <c r="J664" s="73"/>
    </row>
    <row r="665" spans="1:10" hidden="1" x14ac:dyDescent="0.3">
      <c r="A665" s="73" t="str">
        <f t="shared" si="10"/>
        <v>SectionD_Exam2000121109130</v>
      </c>
      <c r="B665" s="73" t="s">
        <v>871</v>
      </c>
      <c r="C665" t="s">
        <v>780</v>
      </c>
      <c r="D665">
        <v>2000</v>
      </c>
      <c r="E665">
        <v>12</v>
      </c>
      <c r="F665">
        <v>1</v>
      </c>
      <c r="G665">
        <v>109</v>
      </c>
      <c r="H665">
        <v>130</v>
      </c>
      <c r="J665" s="73"/>
    </row>
    <row r="666" spans="1:10" hidden="1" x14ac:dyDescent="0.3">
      <c r="A666" s="73" t="str">
        <f t="shared" si="10"/>
        <v>SectionD_Exam2000263109130</v>
      </c>
      <c r="B666" s="73" t="s">
        <v>871</v>
      </c>
      <c r="C666" t="s">
        <v>780</v>
      </c>
      <c r="D666">
        <v>2000</v>
      </c>
      <c r="E666">
        <v>26</v>
      </c>
      <c r="F666">
        <v>3</v>
      </c>
      <c r="G666">
        <v>109</v>
      </c>
      <c r="H666">
        <v>130</v>
      </c>
      <c r="J666" s="73"/>
    </row>
    <row r="667" spans="1:10" hidden="1" x14ac:dyDescent="0.3">
      <c r="A667" s="73" t="str">
        <f t="shared" si="10"/>
        <v>SectionD_Exam2001393110131</v>
      </c>
      <c r="B667" s="73" t="s">
        <v>871</v>
      </c>
      <c r="C667" t="s">
        <v>780</v>
      </c>
      <c r="D667">
        <v>2001</v>
      </c>
      <c r="E667">
        <v>39</v>
      </c>
      <c r="F667">
        <v>3</v>
      </c>
      <c r="G667">
        <v>110</v>
      </c>
      <c r="H667">
        <v>131</v>
      </c>
      <c r="J667" s="73"/>
    </row>
    <row r="668" spans="1:10" hidden="1" x14ac:dyDescent="0.3">
      <c r="A668" s="73" t="str">
        <f t="shared" si="10"/>
        <v>SectionD_Exam2001403110132</v>
      </c>
      <c r="B668" s="73" t="s">
        <v>871</v>
      </c>
      <c r="C668" t="s">
        <v>780</v>
      </c>
      <c r="D668">
        <v>2001</v>
      </c>
      <c r="E668">
        <v>40</v>
      </c>
      <c r="F668">
        <v>3</v>
      </c>
      <c r="G668">
        <v>110</v>
      </c>
      <c r="H668">
        <v>132</v>
      </c>
      <c r="J668" s="73"/>
    </row>
    <row r="669" spans="1:10" hidden="1" x14ac:dyDescent="0.3">
      <c r="A669" s="73" t="str">
        <f t="shared" si="10"/>
        <v>SectionD_Exam2001434111132</v>
      </c>
      <c r="B669" s="73" t="s">
        <v>871</v>
      </c>
      <c r="C669" t="s">
        <v>780</v>
      </c>
      <c r="D669">
        <v>2001</v>
      </c>
      <c r="E669">
        <v>43</v>
      </c>
      <c r="F669">
        <v>4</v>
      </c>
      <c r="G669">
        <v>111</v>
      </c>
      <c r="H669">
        <v>132</v>
      </c>
      <c r="J669" s="73"/>
    </row>
    <row r="670" spans="1:10" hidden="1" x14ac:dyDescent="0.3">
      <c r="A670" s="73" t="str">
        <f t="shared" si="10"/>
        <v>SectionD_Exam2002212112134</v>
      </c>
      <c r="B670" s="73" t="s">
        <v>871</v>
      </c>
      <c r="C670" t="s">
        <v>780</v>
      </c>
      <c r="D670">
        <v>2002</v>
      </c>
      <c r="E670">
        <v>21</v>
      </c>
      <c r="F670">
        <v>2</v>
      </c>
      <c r="G670">
        <v>112</v>
      </c>
      <c r="H670">
        <v>134</v>
      </c>
      <c r="J670" s="73"/>
    </row>
    <row r="671" spans="1:10" hidden="1" x14ac:dyDescent="0.3">
      <c r="A671" s="73" t="str">
        <f t="shared" si="10"/>
        <v>SectionD_Exam2002243112134</v>
      </c>
      <c r="B671" s="73" t="s">
        <v>871</v>
      </c>
      <c r="C671" t="s">
        <v>780</v>
      </c>
      <c r="D671">
        <v>2002</v>
      </c>
      <c r="E671">
        <v>24</v>
      </c>
      <c r="F671">
        <v>3</v>
      </c>
      <c r="G671">
        <v>112</v>
      </c>
      <c r="H671">
        <v>134</v>
      </c>
      <c r="J671" s="73"/>
    </row>
    <row r="672" spans="1:10" hidden="1" x14ac:dyDescent="0.3">
      <c r="A672" s="73" t="str">
        <f t="shared" si="10"/>
        <v>SectionD_Exam2003425113136</v>
      </c>
      <c r="B672" s="73" t="s">
        <v>871</v>
      </c>
      <c r="C672" t="s">
        <v>780</v>
      </c>
      <c r="D672">
        <v>2003</v>
      </c>
      <c r="E672">
        <v>42</v>
      </c>
      <c r="F672">
        <v>5</v>
      </c>
      <c r="G672">
        <v>113</v>
      </c>
      <c r="H672">
        <v>136</v>
      </c>
      <c r="J672" s="73"/>
    </row>
    <row r="673" spans="1:10" hidden="1" x14ac:dyDescent="0.3">
      <c r="A673" s="73" t="str">
        <f t="shared" si="10"/>
        <v>SectionD_Exam2003443113137</v>
      </c>
      <c r="B673" s="73" t="s">
        <v>871</v>
      </c>
      <c r="C673" t="s">
        <v>780</v>
      </c>
      <c r="D673">
        <v>2003</v>
      </c>
      <c r="E673">
        <v>44</v>
      </c>
      <c r="F673">
        <v>3</v>
      </c>
      <c r="G673">
        <v>113</v>
      </c>
      <c r="H673">
        <v>137</v>
      </c>
      <c r="J673" s="73"/>
    </row>
    <row r="674" spans="1:10" hidden="1" x14ac:dyDescent="0.3">
      <c r="A674" s="73" t="str">
        <f t="shared" si="10"/>
        <v>SectionD_Exam2003452114138</v>
      </c>
      <c r="B674" s="73" t="s">
        <v>871</v>
      </c>
      <c r="C674" t="s">
        <v>780</v>
      </c>
      <c r="D674">
        <v>2003</v>
      </c>
      <c r="E674">
        <v>45</v>
      </c>
      <c r="F674">
        <v>2</v>
      </c>
      <c r="G674">
        <v>114</v>
      </c>
      <c r="H674">
        <v>138</v>
      </c>
      <c r="J674" s="73"/>
    </row>
    <row r="675" spans="1:10" hidden="1" x14ac:dyDescent="0.3">
      <c r="A675" s="73" t="str">
        <f t="shared" si="10"/>
        <v>SectionD_Exam2004131114138</v>
      </c>
      <c r="B675" s="73" t="s">
        <v>871</v>
      </c>
      <c r="C675" t="s">
        <v>780</v>
      </c>
      <c r="D675">
        <v>2004</v>
      </c>
      <c r="E675">
        <v>13</v>
      </c>
      <c r="F675">
        <v>1</v>
      </c>
      <c r="G675">
        <v>114</v>
      </c>
      <c r="H675">
        <v>138</v>
      </c>
      <c r="J675" s="73"/>
    </row>
    <row r="676" spans="1:10" hidden="1" x14ac:dyDescent="0.3">
      <c r="A676" s="73" t="str">
        <f t="shared" ref="A676:A719" si="11">B676&amp;D676&amp;E676&amp;F676&amp;G676&amp;H676</f>
        <v>SectionD_Exam2004362115139</v>
      </c>
      <c r="B676" s="73" t="s">
        <v>871</v>
      </c>
      <c r="C676" t="s">
        <v>780</v>
      </c>
      <c r="D676">
        <v>2004</v>
      </c>
      <c r="E676">
        <v>36</v>
      </c>
      <c r="F676">
        <v>2</v>
      </c>
      <c r="G676">
        <v>115</v>
      </c>
      <c r="H676">
        <v>139</v>
      </c>
      <c r="J676" s="73"/>
    </row>
    <row r="677" spans="1:10" hidden="1" x14ac:dyDescent="0.3">
      <c r="A677" s="73" t="str">
        <f t="shared" si="11"/>
        <v>SectionD_Exam2005132.5115140</v>
      </c>
      <c r="B677" s="73" t="s">
        <v>871</v>
      </c>
      <c r="C677" t="s">
        <v>780</v>
      </c>
      <c r="D677">
        <v>2005</v>
      </c>
      <c r="E677">
        <v>13</v>
      </c>
      <c r="F677">
        <v>2.5</v>
      </c>
      <c r="G677">
        <v>115</v>
      </c>
      <c r="H677">
        <v>140</v>
      </c>
      <c r="J677" s="73"/>
    </row>
    <row r="678" spans="1:10" hidden="1" x14ac:dyDescent="0.3">
      <c r="A678" s="73" t="str">
        <f t="shared" si="11"/>
        <v>SectionD_Exam2005142116141</v>
      </c>
      <c r="B678" s="73" t="s">
        <v>871</v>
      </c>
      <c r="C678" t="s">
        <v>780</v>
      </c>
      <c r="D678">
        <v>2005</v>
      </c>
      <c r="E678">
        <v>14</v>
      </c>
      <c r="F678">
        <v>2</v>
      </c>
      <c r="G678">
        <v>116</v>
      </c>
      <c r="H678">
        <v>141</v>
      </c>
      <c r="J678" s="73"/>
    </row>
    <row r="679" spans="1:10" hidden="1" x14ac:dyDescent="0.3">
      <c r="A679" s="73" t="str">
        <f t="shared" si="11"/>
        <v>SectionD_Exam2006174.5116141</v>
      </c>
      <c r="B679" s="73" t="s">
        <v>871</v>
      </c>
      <c r="C679" t="s">
        <v>780</v>
      </c>
      <c r="D679">
        <v>2006</v>
      </c>
      <c r="E679">
        <v>17</v>
      </c>
      <c r="F679">
        <v>4.5</v>
      </c>
      <c r="G679">
        <v>116</v>
      </c>
      <c r="H679">
        <v>141</v>
      </c>
      <c r="J679" s="73"/>
    </row>
    <row r="680" spans="1:10" hidden="1" x14ac:dyDescent="0.3">
      <c r="A680" s="73" t="str">
        <f t="shared" si="11"/>
        <v>SectionD_Exam2007182.5117142</v>
      </c>
      <c r="B680" s="73" t="s">
        <v>871</v>
      </c>
      <c r="C680" t="s">
        <v>780</v>
      </c>
      <c r="D680">
        <v>2007</v>
      </c>
      <c r="E680">
        <v>18</v>
      </c>
      <c r="F680">
        <v>2.5</v>
      </c>
      <c r="G680">
        <v>117</v>
      </c>
      <c r="H680">
        <v>142</v>
      </c>
      <c r="J680" s="73"/>
    </row>
    <row r="681" spans="1:10" hidden="1" x14ac:dyDescent="0.3">
      <c r="A681" s="73" t="str">
        <f t="shared" si="11"/>
        <v>SectionD_Exam2007193117143</v>
      </c>
      <c r="B681" s="73" t="s">
        <v>871</v>
      </c>
      <c r="C681" t="s">
        <v>780</v>
      </c>
      <c r="D681">
        <v>2007</v>
      </c>
      <c r="E681">
        <v>19</v>
      </c>
      <c r="F681">
        <v>3</v>
      </c>
      <c r="G681">
        <v>117</v>
      </c>
      <c r="H681">
        <v>143</v>
      </c>
      <c r="J681" s="73"/>
    </row>
    <row r="682" spans="1:10" hidden="1" x14ac:dyDescent="0.3">
      <c r="A682" s="73" t="str">
        <f t="shared" si="11"/>
        <v>SectionD_Exam2008122.5118144</v>
      </c>
      <c r="B682" s="73" t="s">
        <v>871</v>
      </c>
      <c r="C682" t="s">
        <v>780</v>
      </c>
      <c r="D682">
        <v>2008</v>
      </c>
      <c r="E682">
        <v>12</v>
      </c>
      <c r="F682">
        <v>2.5</v>
      </c>
      <c r="G682">
        <v>118</v>
      </c>
      <c r="H682">
        <v>144</v>
      </c>
      <c r="J682" s="73"/>
    </row>
    <row r="683" spans="1:10" hidden="1" x14ac:dyDescent="0.3">
      <c r="A683" s="73" t="str">
        <f t="shared" si="11"/>
        <v>SectionD_Exam2008144119145</v>
      </c>
      <c r="B683" s="73" t="s">
        <v>871</v>
      </c>
      <c r="C683" t="s">
        <v>780</v>
      </c>
      <c r="D683">
        <v>2008</v>
      </c>
      <c r="E683">
        <v>14</v>
      </c>
      <c r="F683">
        <v>4</v>
      </c>
      <c r="G683">
        <v>119</v>
      </c>
      <c r="H683">
        <v>145</v>
      </c>
      <c r="J683" s="73"/>
    </row>
    <row r="684" spans="1:10" hidden="1" x14ac:dyDescent="0.3">
      <c r="A684" s="73" t="str">
        <f t="shared" si="11"/>
        <v>SectionD_Exam2008154.5119146</v>
      </c>
      <c r="B684" s="73" t="s">
        <v>871</v>
      </c>
      <c r="C684" t="s">
        <v>780</v>
      </c>
      <c r="D684">
        <v>2008</v>
      </c>
      <c r="E684">
        <v>15</v>
      </c>
      <c r="F684">
        <v>4.5</v>
      </c>
      <c r="G684">
        <v>119</v>
      </c>
      <c r="H684">
        <v>146</v>
      </c>
      <c r="J684" s="73"/>
    </row>
    <row r="685" spans="1:10" hidden="1" x14ac:dyDescent="0.3">
      <c r="A685" s="73" t="str">
        <f t="shared" si="11"/>
        <v>SectionD_Exam2009143.5120147</v>
      </c>
      <c r="B685" s="73" t="s">
        <v>871</v>
      </c>
      <c r="C685" t="s">
        <v>780</v>
      </c>
      <c r="D685">
        <v>2009</v>
      </c>
      <c r="E685">
        <v>14</v>
      </c>
      <c r="F685">
        <v>3.5</v>
      </c>
      <c r="G685">
        <v>120</v>
      </c>
      <c r="H685">
        <v>147</v>
      </c>
      <c r="J685" s="73"/>
    </row>
    <row r="686" spans="1:10" hidden="1" x14ac:dyDescent="0.3">
      <c r="A686" s="73" t="str">
        <f t="shared" si="11"/>
        <v>SectionD_Exam2010102121147</v>
      </c>
      <c r="B686" s="73" t="s">
        <v>871</v>
      </c>
      <c r="C686" t="s">
        <v>780</v>
      </c>
      <c r="D686">
        <v>2010</v>
      </c>
      <c r="E686">
        <v>10</v>
      </c>
      <c r="F686">
        <v>2</v>
      </c>
      <c r="G686">
        <v>121</v>
      </c>
      <c r="H686">
        <v>147</v>
      </c>
      <c r="J686" s="73"/>
    </row>
    <row r="687" spans="1:10" hidden="1" x14ac:dyDescent="0.3">
      <c r="A687" s="73" t="str">
        <f t="shared" si="11"/>
        <v>SectionD_Exam2010123121148</v>
      </c>
      <c r="B687" s="73" t="s">
        <v>871</v>
      </c>
      <c r="C687" t="s">
        <v>780</v>
      </c>
      <c r="D687">
        <v>2010</v>
      </c>
      <c r="E687">
        <v>12</v>
      </c>
      <c r="F687">
        <v>3</v>
      </c>
      <c r="G687">
        <v>121</v>
      </c>
      <c r="H687">
        <v>148</v>
      </c>
      <c r="J687" s="73"/>
    </row>
    <row r="688" spans="1:10" hidden="1" x14ac:dyDescent="0.3">
      <c r="A688" s="73" t="str">
        <f t="shared" si="11"/>
        <v>SectionD_Exam2010153.5122149</v>
      </c>
      <c r="B688" s="73" t="s">
        <v>871</v>
      </c>
      <c r="C688" t="s">
        <v>780</v>
      </c>
      <c r="D688">
        <v>2010</v>
      </c>
      <c r="E688">
        <v>15</v>
      </c>
      <c r="F688">
        <v>3.5</v>
      </c>
      <c r="G688">
        <v>122</v>
      </c>
      <c r="H688">
        <v>149</v>
      </c>
      <c r="J688" s="73"/>
    </row>
    <row r="689" spans="1:10" hidden="1" x14ac:dyDescent="0.3">
      <c r="A689" s="73" t="str">
        <f t="shared" si="11"/>
        <v>SectionD_Exam2011202.75123150</v>
      </c>
      <c r="B689" s="73" t="s">
        <v>871</v>
      </c>
      <c r="C689" t="s">
        <v>780</v>
      </c>
      <c r="D689">
        <v>2011</v>
      </c>
      <c r="E689">
        <v>20</v>
      </c>
      <c r="F689">
        <v>2.75</v>
      </c>
      <c r="G689">
        <v>123</v>
      </c>
      <c r="H689">
        <v>150</v>
      </c>
      <c r="J689" s="73"/>
    </row>
    <row r="690" spans="1:10" hidden="1" x14ac:dyDescent="0.3">
      <c r="A690" s="73" t="str">
        <f t="shared" si="11"/>
        <v>SectionD_Exam2011213.5124151</v>
      </c>
      <c r="B690" s="73" t="s">
        <v>871</v>
      </c>
      <c r="C690" t="s">
        <v>780</v>
      </c>
      <c r="D690">
        <v>2011</v>
      </c>
      <c r="E690">
        <v>21</v>
      </c>
      <c r="F690">
        <v>3.5</v>
      </c>
      <c r="G690">
        <v>124</v>
      </c>
      <c r="H690">
        <v>151</v>
      </c>
      <c r="J690" s="73"/>
    </row>
    <row r="691" spans="1:10" hidden="1" x14ac:dyDescent="0.3">
      <c r="A691" s="73" t="str">
        <f t="shared" si="11"/>
        <v>SectionD_Exam2012184.5125153</v>
      </c>
      <c r="B691" s="73" t="s">
        <v>871</v>
      </c>
      <c r="C691" t="s">
        <v>780</v>
      </c>
      <c r="D691">
        <v>2012</v>
      </c>
      <c r="E691">
        <v>18</v>
      </c>
      <c r="F691">
        <v>4.5</v>
      </c>
      <c r="G691">
        <v>125</v>
      </c>
      <c r="H691">
        <v>153</v>
      </c>
      <c r="J691" s="73"/>
    </row>
    <row r="692" spans="1:10" hidden="1" x14ac:dyDescent="0.3">
      <c r="A692" s="73" t="str">
        <f t="shared" si="11"/>
        <v>SectionD_Exam2013171.5126154</v>
      </c>
      <c r="B692" s="73" t="s">
        <v>871</v>
      </c>
      <c r="C692" t="s">
        <v>780</v>
      </c>
      <c r="D692">
        <v>2013</v>
      </c>
      <c r="E692">
        <v>17</v>
      </c>
      <c r="F692">
        <v>1.5</v>
      </c>
      <c r="G692">
        <v>126</v>
      </c>
      <c r="H692">
        <v>154</v>
      </c>
      <c r="J692" s="73"/>
    </row>
    <row r="693" spans="1:10" hidden="1" x14ac:dyDescent="0.3">
      <c r="A693" s="73" t="str">
        <f t="shared" si="11"/>
        <v>SectionD_Exam2013182.5127155</v>
      </c>
      <c r="B693" s="73" t="s">
        <v>871</v>
      </c>
      <c r="C693" t="s">
        <v>780</v>
      </c>
      <c r="D693">
        <v>2013</v>
      </c>
      <c r="E693">
        <v>18</v>
      </c>
      <c r="F693">
        <v>2.5</v>
      </c>
      <c r="G693">
        <v>127</v>
      </c>
      <c r="H693">
        <v>155</v>
      </c>
      <c r="J693" s="73"/>
    </row>
    <row r="694" spans="1:10" x14ac:dyDescent="0.3">
      <c r="A694" s="73" t="str">
        <f t="shared" si="11"/>
        <v>SectionD_Exam2014192.25128157</v>
      </c>
      <c r="B694" s="73" t="s">
        <v>871</v>
      </c>
      <c r="C694" t="s">
        <v>780</v>
      </c>
      <c r="D694">
        <v>2014</v>
      </c>
      <c r="E694">
        <v>19</v>
      </c>
      <c r="F694">
        <v>2.25</v>
      </c>
      <c r="G694">
        <v>128</v>
      </c>
      <c r="H694">
        <v>157</v>
      </c>
      <c r="J694" s="73"/>
    </row>
    <row r="695" spans="1:10" x14ac:dyDescent="0.3">
      <c r="A695" s="73" t="str">
        <f t="shared" si="11"/>
        <v>SectionD_Exam2014202.5128158</v>
      </c>
      <c r="B695" s="73" t="s">
        <v>871</v>
      </c>
      <c r="C695" t="s">
        <v>780</v>
      </c>
      <c r="D695">
        <v>2014</v>
      </c>
      <c r="E695">
        <v>20</v>
      </c>
      <c r="F695">
        <v>2.5</v>
      </c>
      <c r="G695">
        <v>128</v>
      </c>
      <c r="H695">
        <v>158</v>
      </c>
      <c r="J695" s="73"/>
    </row>
    <row r="696" spans="1:10" hidden="1" x14ac:dyDescent="0.3">
      <c r="A696" s="73" t="str">
        <f t="shared" si="11"/>
        <v>SectionD_Exam2015232.5129160</v>
      </c>
      <c r="B696" s="73" t="s">
        <v>871</v>
      </c>
      <c r="C696" t="s">
        <v>780</v>
      </c>
      <c r="D696">
        <v>2015</v>
      </c>
      <c r="E696">
        <v>23</v>
      </c>
      <c r="F696">
        <v>2.5</v>
      </c>
      <c r="G696">
        <v>129</v>
      </c>
      <c r="H696">
        <v>160</v>
      </c>
      <c r="J696" s="73"/>
    </row>
    <row r="697" spans="1:10" hidden="1" x14ac:dyDescent="0.3">
      <c r="A697" s="73" t="str">
        <f t="shared" si="11"/>
        <v>SectionD_Exam2004342164174</v>
      </c>
      <c r="B697" s="73" t="s">
        <v>871</v>
      </c>
      <c r="C697" t="s">
        <v>773</v>
      </c>
      <c r="D697">
        <v>2004</v>
      </c>
      <c r="E697">
        <v>34</v>
      </c>
      <c r="F697">
        <v>2</v>
      </c>
      <c r="G697">
        <v>164</v>
      </c>
      <c r="H697">
        <v>174</v>
      </c>
      <c r="J697" s="73"/>
    </row>
    <row r="698" spans="1:10" hidden="1" x14ac:dyDescent="0.3">
      <c r="A698" s="73" t="str">
        <f t="shared" si="11"/>
        <v>SectionD_Exam2005193164174</v>
      </c>
      <c r="B698" s="73" t="s">
        <v>871</v>
      </c>
      <c r="C698" t="s">
        <v>773</v>
      </c>
      <c r="D698">
        <v>2005</v>
      </c>
      <c r="E698">
        <v>19</v>
      </c>
      <c r="F698">
        <v>3</v>
      </c>
      <c r="G698">
        <v>164</v>
      </c>
      <c r="H698">
        <v>174</v>
      </c>
      <c r="J698" s="73"/>
    </row>
    <row r="699" spans="1:10" hidden="1" x14ac:dyDescent="0.3">
      <c r="A699" s="73" t="str">
        <f t="shared" si="11"/>
        <v>SectionD_Exam2006193165176</v>
      </c>
      <c r="B699" s="73" t="s">
        <v>871</v>
      </c>
      <c r="C699" t="s">
        <v>773</v>
      </c>
      <c r="D699">
        <v>2006</v>
      </c>
      <c r="E699">
        <v>19</v>
      </c>
      <c r="F699">
        <v>3</v>
      </c>
      <c r="G699">
        <v>165</v>
      </c>
      <c r="H699">
        <v>176</v>
      </c>
      <c r="J699" s="73"/>
    </row>
    <row r="700" spans="1:10" hidden="1" x14ac:dyDescent="0.3">
      <c r="A700" s="73" t="str">
        <f t="shared" si="11"/>
        <v>SectionD_Exam2006202165177</v>
      </c>
      <c r="B700" s="73" t="s">
        <v>871</v>
      </c>
      <c r="C700" t="s">
        <v>773</v>
      </c>
      <c r="D700">
        <v>2006</v>
      </c>
      <c r="E700">
        <v>20</v>
      </c>
      <c r="F700">
        <v>2</v>
      </c>
      <c r="G700">
        <v>165</v>
      </c>
      <c r="H700">
        <v>177</v>
      </c>
      <c r="J700" s="73"/>
    </row>
    <row r="701" spans="1:10" hidden="1" x14ac:dyDescent="0.3">
      <c r="A701" s="73" t="str">
        <f t="shared" si="11"/>
        <v>SectionD_Exam2007202166178</v>
      </c>
      <c r="B701" s="73" t="s">
        <v>871</v>
      </c>
      <c r="C701" t="s">
        <v>773</v>
      </c>
      <c r="D701">
        <v>2007</v>
      </c>
      <c r="E701">
        <v>20</v>
      </c>
      <c r="F701">
        <v>2</v>
      </c>
      <c r="G701">
        <v>166</v>
      </c>
      <c r="H701">
        <v>178</v>
      </c>
      <c r="J701" s="73"/>
    </row>
    <row r="702" spans="1:10" hidden="1" x14ac:dyDescent="0.3">
      <c r="A702" s="73" t="str">
        <f t="shared" si="11"/>
        <v>SectionD_Exam2007234166179</v>
      </c>
      <c r="B702" s="73" t="s">
        <v>871</v>
      </c>
      <c r="C702" t="s">
        <v>773</v>
      </c>
      <c r="D702">
        <v>2007</v>
      </c>
      <c r="E702">
        <v>23</v>
      </c>
      <c r="F702">
        <v>4</v>
      </c>
      <c r="G702">
        <v>166</v>
      </c>
      <c r="H702">
        <v>179</v>
      </c>
      <c r="J702" s="73"/>
    </row>
    <row r="703" spans="1:10" hidden="1" x14ac:dyDescent="0.3">
      <c r="A703" s="73" t="str">
        <f t="shared" si="11"/>
        <v>SectionD_Exam2008114.5167180</v>
      </c>
      <c r="B703" s="73" t="s">
        <v>871</v>
      </c>
      <c r="C703" t="s">
        <v>773</v>
      </c>
      <c r="D703">
        <v>2008</v>
      </c>
      <c r="E703">
        <v>11</v>
      </c>
      <c r="F703">
        <v>4.5</v>
      </c>
      <c r="G703">
        <v>167</v>
      </c>
      <c r="H703">
        <v>180</v>
      </c>
      <c r="J703" s="73"/>
    </row>
    <row r="704" spans="1:10" hidden="1" x14ac:dyDescent="0.3">
      <c r="A704" s="73" t="str">
        <f t="shared" si="11"/>
        <v>SectionD_Exam2009112168180</v>
      </c>
      <c r="B704" s="73" t="s">
        <v>871</v>
      </c>
      <c r="C704" t="s">
        <v>773</v>
      </c>
      <c r="D704">
        <v>2009</v>
      </c>
      <c r="E704">
        <v>11</v>
      </c>
      <c r="F704">
        <v>2</v>
      </c>
      <c r="G704">
        <v>168</v>
      </c>
      <c r="H704">
        <v>180</v>
      </c>
      <c r="J704" s="73"/>
    </row>
    <row r="705" spans="1:10" hidden="1" x14ac:dyDescent="0.3">
      <c r="A705" s="73" t="str">
        <f t="shared" si="11"/>
        <v>SectionD_Exam2009123.5168180</v>
      </c>
      <c r="B705" s="73" t="s">
        <v>871</v>
      </c>
      <c r="C705" t="s">
        <v>773</v>
      </c>
      <c r="D705">
        <v>2009</v>
      </c>
      <c r="E705">
        <v>12</v>
      </c>
      <c r="F705">
        <v>3.5</v>
      </c>
      <c r="G705">
        <v>168</v>
      </c>
      <c r="H705">
        <v>180</v>
      </c>
      <c r="J705" s="73"/>
    </row>
    <row r="706" spans="1:10" hidden="1" x14ac:dyDescent="0.3">
      <c r="A706" s="73" t="str">
        <f t="shared" si="11"/>
        <v>SectionD_Exam2010145169181</v>
      </c>
      <c r="B706" s="73" t="s">
        <v>871</v>
      </c>
      <c r="C706" t="s">
        <v>773</v>
      </c>
      <c r="D706">
        <v>2010</v>
      </c>
      <c r="E706">
        <v>14</v>
      </c>
      <c r="F706">
        <v>5</v>
      </c>
      <c r="G706">
        <v>169</v>
      </c>
      <c r="H706">
        <v>181</v>
      </c>
      <c r="J706" s="73"/>
    </row>
    <row r="707" spans="1:10" hidden="1" x14ac:dyDescent="0.3">
      <c r="A707" s="73" t="str">
        <f t="shared" si="11"/>
        <v>SectionD_Exam2011173169183</v>
      </c>
      <c r="B707" s="73" t="s">
        <v>871</v>
      </c>
      <c r="C707" t="s">
        <v>773</v>
      </c>
      <c r="D707">
        <v>2011</v>
      </c>
      <c r="E707">
        <v>17</v>
      </c>
      <c r="F707">
        <v>3</v>
      </c>
      <c r="G707">
        <v>169</v>
      </c>
      <c r="H707">
        <v>183</v>
      </c>
      <c r="J707" s="73"/>
    </row>
    <row r="708" spans="1:10" hidden="1" x14ac:dyDescent="0.3">
      <c r="A708" s="73" t="str">
        <f t="shared" si="11"/>
        <v>SectionD_Exam2012134170184</v>
      </c>
      <c r="B708" s="73" t="s">
        <v>871</v>
      </c>
      <c r="C708" t="s">
        <v>773</v>
      </c>
      <c r="D708">
        <v>2012</v>
      </c>
      <c r="E708">
        <v>13</v>
      </c>
      <c r="F708">
        <v>4</v>
      </c>
      <c r="G708">
        <v>170</v>
      </c>
      <c r="H708">
        <v>184</v>
      </c>
      <c r="J708" s="73"/>
    </row>
    <row r="709" spans="1:10" hidden="1" x14ac:dyDescent="0.3">
      <c r="A709" s="73" t="str">
        <f t="shared" si="11"/>
        <v>SectionD_Exam2013213171185</v>
      </c>
      <c r="B709" s="73" t="s">
        <v>871</v>
      </c>
      <c r="C709" t="s">
        <v>773</v>
      </c>
      <c r="D709">
        <v>2013</v>
      </c>
      <c r="E709">
        <v>21</v>
      </c>
      <c r="F709">
        <v>3</v>
      </c>
      <c r="G709">
        <v>171</v>
      </c>
      <c r="H709">
        <v>185</v>
      </c>
      <c r="J709" s="73"/>
    </row>
    <row r="710" spans="1:10" x14ac:dyDescent="0.3">
      <c r="A710" s="73" t="str">
        <f t="shared" si="11"/>
        <v>SectionD_Exam2014224.25171186</v>
      </c>
      <c r="B710" s="73" t="s">
        <v>871</v>
      </c>
      <c r="C710" t="s">
        <v>773</v>
      </c>
      <c r="D710">
        <v>2014</v>
      </c>
      <c r="E710">
        <v>22</v>
      </c>
      <c r="F710">
        <v>4.25</v>
      </c>
      <c r="G710">
        <v>171</v>
      </c>
      <c r="H710">
        <v>186</v>
      </c>
      <c r="J710" s="73"/>
    </row>
    <row r="711" spans="1:10" hidden="1" x14ac:dyDescent="0.3">
      <c r="A711" s="73" t="str">
        <f t="shared" si="11"/>
        <v>SectionD_Exam2015273173191</v>
      </c>
      <c r="B711" s="73" t="s">
        <v>871</v>
      </c>
      <c r="C711" t="s">
        <v>773</v>
      </c>
      <c r="D711">
        <v>2015</v>
      </c>
      <c r="E711">
        <v>27</v>
      </c>
      <c r="F711">
        <v>3</v>
      </c>
      <c r="G711">
        <v>173</v>
      </c>
      <c r="H711">
        <v>191</v>
      </c>
      <c r="J711" s="73"/>
    </row>
    <row r="712" spans="1:10" hidden="1" x14ac:dyDescent="0.3">
      <c r="A712" s="73" t="str">
        <f t="shared" si="11"/>
        <v>SectionD_Exam2008163192197</v>
      </c>
      <c r="B712" s="73" t="s">
        <v>871</v>
      </c>
      <c r="C712" t="s">
        <v>772</v>
      </c>
      <c r="D712">
        <v>2008</v>
      </c>
      <c r="E712">
        <v>16</v>
      </c>
      <c r="F712">
        <v>3</v>
      </c>
      <c r="G712">
        <v>192</v>
      </c>
      <c r="H712">
        <v>197</v>
      </c>
      <c r="J712" s="73"/>
    </row>
    <row r="713" spans="1:10" hidden="1" x14ac:dyDescent="0.3">
      <c r="A713" s="73" t="str">
        <f t="shared" si="11"/>
        <v>SectionD_Exam2009104.5193198</v>
      </c>
      <c r="B713" s="73" t="s">
        <v>871</v>
      </c>
      <c r="C713" t="s">
        <v>772</v>
      </c>
      <c r="D713">
        <v>2009</v>
      </c>
      <c r="E713">
        <v>10</v>
      </c>
      <c r="F713">
        <v>4.5</v>
      </c>
      <c r="G713">
        <v>193</v>
      </c>
      <c r="H713">
        <v>198</v>
      </c>
      <c r="J713" s="73"/>
    </row>
    <row r="714" spans="1:10" hidden="1" x14ac:dyDescent="0.3">
      <c r="A714" s="73" t="str">
        <f t="shared" si="11"/>
        <v>SectionD_Exam201082193199</v>
      </c>
      <c r="B714" s="73" t="s">
        <v>871</v>
      </c>
      <c r="C714" t="s">
        <v>772</v>
      </c>
      <c r="D714">
        <v>2010</v>
      </c>
      <c r="E714">
        <v>8</v>
      </c>
      <c r="F714">
        <v>2</v>
      </c>
      <c r="G714">
        <v>193</v>
      </c>
      <c r="H714">
        <v>199</v>
      </c>
      <c r="J714" s="73"/>
    </row>
    <row r="715" spans="1:10" hidden="1" x14ac:dyDescent="0.3">
      <c r="A715" s="73" t="str">
        <f t="shared" si="11"/>
        <v>SectionD_Exam2012153.75194200</v>
      </c>
      <c r="B715" s="73" t="s">
        <v>871</v>
      </c>
      <c r="C715" t="s">
        <v>772</v>
      </c>
      <c r="D715">
        <v>2012</v>
      </c>
      <c r="E715">
        <v>15</v>
      </c>
      <c r="F715">
        <v>3.75</v>
      </c>
      <c r="G715">
        <v>194</v>
      </c>
      <c r="H715">
        <v>200</v>
      </c>
      <c r="J715" s="73"/>
    </row>
    <row r="716" spans="1:10" hidden="1" x14ac:dyDescent="0.3">
      <c r="A716" s="73" t="str">
        <f t="shared" si="11"/>
        <v>SectionD_Exam2013222.25194201</v>
      </c>
      <c r="B716" s="73" t="s">
        <v>871</v>
      </c>
      <c r="C716" t="s">
        <v>772</v>
      </c>
      <c r="D716">
        <v>2013</v>
      </c>
      <c r="E716">
        <v>22</v>
      </c>
      <c r="F716">
        <v>2.25</v>
      </c>
      <c r="G716">
        <v>194</v>
      </c>
      <c r="H716">
        <v>201</v>
      </c>
      <c r="J716" s="73"/>
    </row>
    <row r="717" spans="1:10" hidden="1" x14ac:dyDescent="0.3">
      <c r="A717" s="73" t="str">
        <f t="shared" si="11"/>
        <v>SectionD_Exam2013232195201</v>
      </c>
      <c r="B717" s="73" t="s">
        <v>871</v>
      </c>
      <c r="C717" t="s">
        <v>772</v>
      </c>
      <c r="D717">
        <v>2013</v>
      </c>
      <c r="E717">
        <v>23</v>
      </c>
      <c r="F717">
        <v>2</v>
      </c>
      <c r="G717">
        <v>195</v>
      </c>
      <c r="H717">
        <v>201</v>
      </c>
      <c r="J717" s="73"/>
    </row>
    <row r="718" spans="1:10" x14ac:dyDescent="0.3">
      <c r="A718" s="73" t="str">
        <f t="shared" si="11"/>
        <v>SectionD_Exam2014231.75195202</v>
      </c>
      <c r="B718" s="73" t="s">
        <v>871</v>
      </c>
      <c r="C718" t="s">
        <v>772</v>
      </c>
      <c r="D718">
        <v>2014</v>
      </c>
      <c r="E718">
        <v>23</v>
      </c>
      <c r="F718">
        <v>1.75</v>
      </c>
      <c r="G718">
        <v>195</v>
      </c>
      <c r="H718">
        <v>202</v>
      </c>
      <c r="J718" s="73"/>
    </row>
    <row r="719" spans="1:10" hidden="1" x14ac:dyDescent="0.3">
      <c r="A719" s="73" t="str">
        <f t="shared" si="11"/>
        <v>SectionD_Exam2015262.5196203</v>
      </c>
      <c r="B719" s="73" t="s">
        <v>871</v>
      </c>
      <c r="C719" t="s">
        <v>772</v>
      </c>
      <c r="D719">
        <v>2015</v>
      </c>
      <c r="E719">
        <v>26</v>
      </c>
      <c r="F719">
        <v>2.5</v>
      </c>
      <c r="G719">
        <v>196</v>
      </c>
      <c r="H719">
        <v>203</v>
      </c>
      <c r="J719" s="73"/>
    </row>
  </sheetData>
  <sortState ref="N4:N21">
    <sortCondition ref="N4"/>
  </sortState>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8"/>
  <sheetViews>
    <sheetView workbookViewId="0">
      <selection activeCell="B4" sqref="B4"/>
    </sheetView>
  </sheetViews>
  <sheetFormatPr defaultRowHeight="14.4" x14ac:dyDescent="0.3"/>
  <cols>
    <col min="3" max="3" width="59.88671875" bestFit="1" customWidth="1"/>
    <col min="4" max="4" width="9" customWidth="1"/>
    <col min="8" max="8" width="17" bestFit="1" customWidth="1"/>
    <col min="9" max="9" width="17.33203125" bestFit="1" customWidth="1"/>
  </cols>
  <sheetData>
    <row r="1" spans="1:21" x14ac:dyDescent="0.3">
      <c r="A1" s="1" t="s">
        <v>33</v>
      </c>
      <c r="B1" s="2" t="s">
        <v>29</v>
      </c>
      <c r="C1" s="2" t="s">
        <v>30</v>
      </c>
      <c r="D1" s="2" t="s">
        <v>44</v>
      </c>
      <c r="E1" s="2" t="s">
        <v>45</v>
      </c>
      <c r="F1" s="2" t="s">
        <v>46</v>
      </c>
      <c r="G1" s="2" t="s">
        <v>47</v>
      </c>
      <c r="H1" s="2" t="s">
        <v>34</v>
      </c>
      <c r="I1" s="2" t="s">
        <v>35</v>
      </c>
      <c r="J1" s="2" t="s">
        <v>36</v>
      </c>
      <c r="K1" s="2" t="s">
        <v>37</v>
      </c>
      <c r="L1" s="2" t="s">
        <v>38</v>
      </c>
      <c r="M1" s="2" t="s">
        <v>39</v>
      </c>
      <c r="N1" s="2" t="s">
        <v>40</v>
      </c>
      <c r="O1" s="2" t="s">
        <v>41</v>
      </c>
      <c r="P1" s="2" t="s">
        <v>42</v>
      </c>
      <c r="Q1" s="2" t="s">
        <v>43</v>
      </c>
      <c r="R1" s="2" t="s">
        <v>32</v>
      </c>
      <c r="S1" s="3" t="s">
        <v>31</v>
      </c>
      <c r="U1" s="18" t="s">
        <v>48</v>
      </c>
    </row>
    <row r="2" spans="1:21" ht="15" thickBot="1" x14ac:dyDescent="0.35">
      <c r="A2" s="4" t="s">
        <v>27</v>
      </c>
      <c r="B2" s="5" t="s">
        <v>1042</v>
      </c>
      <c r="C2" s="5" t="s">
        <v>1030</v>
      </c>
      <c r="D2" s="5">
        <v>250.5</v>
      </c>
      <c r="E2" s="5">
        <v>314.25</v>
      </c>
      <c r="F2" s="5"/>
      <c r="G2" s="5"/>
      <c r="H2" s="5">
        <v>3.75</v>
      </c>
      <c r="I2" s="5">
        <v>1254.75</v>
      </c>
      <c r="J2" s="5">
        <v>328.5</v>
      </c>
      <c r="K2" s="5">
        <v>626.25</v>
      </c>
      <c r="L2" s="5">
        <v>5.25</v>
      </c>
      <c r="M2" s="5">
        <v>1254</v>
      </c>
      <c r="N2" s="5">
        <v>222</v>
      </c>
      <c r="O2" s="5">
        <v>719.4000244140625</v>
      </c>
      <c r="P2" s="5">
        <v>246</v>
      </c>
      <c r="Q2" s="5">
        <v>330</v>
      </c>
      <c r="R2" s="5">
        <v>197.39999389648437</v>
      </c>
      <c r="S2" s="6">
        <v>403.79998779296875</v>
      </c>
      <c r="U2" s="19" t="s">
        <v>27</v>
      </c>
    </row>
    <row r="3" spans="1:21" ht="15" thickBot="1" x14ac:dyDescent="0.35">
      <c r="A3" s="4" t="s">
        <v>59</v>
      </c>
      <c r="B3" s="5" t="s">
        <v>1018</v>
      </c>
      <c r="C3" s="5" t="s">
        <v>1030</v>
      </c>
      <c r="D3" s="5">
        <v>250.5</v>
      </c>
      <c r="E3" s="5">
        <v>314.25</v>
      </c>
      <c r="F3" s="5"/>
      <c r="G3" s="5"/>
      <c r="H3" s="5">
        <v>4.5</v>
      </c>
      <c r="I3" s="5">
        <v>774.75</v>
      </c>
      <c r="J3" s="5">
        <v>223.5</v>
      </c>
      <c r="K3" s="5">
        <v>386.25</v>
      </c>
      <c r="L3" s="5">
        <v>5.25</v>
      </c>
      <c r="M3" s="5">
        <v>774.75</v>
      </c>
      <c r="N3" s="5">
        <v>4.5</v>
      </c>
      <c r="O3" s="5">
        <v>708</v>
      </c>
      <c r="P3" s="5">
        <v>4.5</v>
      </c>
      <c r="Q3" s="5">
        <v>777.75</v>
      </c>
      <c r="R3" s="5">
        <v>226.5</v>
      </c>
      <c r="S3" s="6">
        <v>403.5</v>
      </c>
      <c r="U3" s="51">
        <f>ReadingIndex!C8</f>
        <v>2.4</v>
      </c>
    </row>
    <row r="4" spans="1:21" x14ac:dyDescent="0.3">
      <c r="A4" s="4" t="s">
        <v>71</v>
      </c>
      <c r="B4" s="5" t="s">
        <v>1018</v>
      </c>
      <c r="C4" s="5" t="s">
        <v>1030</v>
      </c>
      <c r="D4" s="5">
        <v>250.5</v>
      </c>
      <c r="E4" s="5">
        <v>314.25</v>
      </c>
      <c r="F4" s="5"/>
      <c r="G4" s="5"/>
      <c r="H4" s="5">
        <v>16.5</v>
      </c>
      <c r="I4" s="5">
        <v>1171.5</v>
      </c>
      <c r="J4" s="5">
        <v>328.5</v>
      </c>
      <c r="K4" s="5">
        <v>626.25</v>
      </c>
      <c r="L4" s="5">
        <v>9</v>
      </c>
      <c r="M4" s="5">
        <v>1169.25</v>
      </c>
      <c r="N4" s="5">
        <v>7.5</v>
      </c>
      <c r="O4" s="5">
        <v>1186.5</v>
      </c>
      <c r="P4" s="5">
        <v>252.75</v>
      </c>
      <c r="Q4" s="5">
        <v>585.75</v>
      </c>
      <c r="R4" s="5">
        <v>331.5</v>
      </c>
      <c r="S4" s="6">
        <v>643.5</v>
      </c>
    </row>
    <row r="5" spans="1:21" x14ac:dyDescent="0.3">
      <c r="A5" s="4" t="s">
        <v>131</v>
      </c>
      <c r="B5" s="5" t="s">
        <v>1018</v>
      </c>
      <c r="C5" s="5" t="s">
        <v>1030</v>
      </c>
      <c r="D5" s="5">
        <v>250.5</v>
      </c>
      <c r="E5" s="5">
        <v>314.25</v>
      </c>
      <c r="F5" s="5"/>
      <c r="G5" s="5"/>
      <c r="H5" s="5"/>
      <c r="I5" s="5"/>
      <c r="J5" s="5"/>
      <c r="K5" s="5"/>
      <c r="L5" s="5"/>
      <c r="M5" s="5"/>
      <c r="N5" s="5">
        <v>3.75</v>
      </c>
      <c r="O5" s="5">
        <v>1191</v>
      </c>
      <c r="P5" s="5">
        <v>7.5</v>
      </c>
      <c r="Q5" s="5">
        <v>1243.5</v>
      </c>
      <c r="R5" s="5">
        <v>331.5</v>
      </c>
      <c r="S5" s="6">
        <v>643.5</v>
      </c>
    </row>
    <row r="6" spans="1:21" x14ac:dyDescent="0.3">
      <c r="A6" s="4"/>
      <c r="B6" s="5"/>
      <c r="C6" s="5"/>
      <c r="D6" s="5"/>
      <c r="E6" s="5"/>
      <c r="F6" s="5"/>
      <c r="G6" s="5"/>
      <c r="H6" s="5"/>
      <c r="I6" s="5"/>
      <c r="J6" s="5"/>
      <c r="K6" s="5"/>
      <c r="L6" s="5"/>
      <c r="M6" s="5"/>
      <c r="N6" s="5"/>
      <c r="O6" s="5"/>
      <c r="P6" s="5"/>
      <c r="Q6" s="5"/>
      <c r="R6" s="5"/>
      <c r="S6" s="6"/>
    </row>
    <row r="7" spans="1:21" x14ac:dyDescent="0.3">
      <c r="A7" s="4"/>
      <c r="B7" s="5"/>
      <c r="C7" s="5"/>
      <c r="D7" s="5"/>
      <c r="E7" s="5"/>
      <c r="F7" s="5"/>
      <c r="G7" s="5"/>
      <c r="H7" s="5"/>
      <c r="I7" s="5"/>
      <c r="J7" s="5"/>
      <c r="K7" s="5"/>
      <c r="L7" s="5"/>
      <c r="M7" s="5"/>
      <c r="N7" s="5"/>
      <c r="O7" s="5"/>
      <c r="P7" s="5"/>
      <c r="Q7" s="5"/>
      <c r="R7" s="5"/>
      <c r="S7" s="6"/>
    </row>
    <row r="8" spans="1:21" ht="15" thickBot="1" x14ac:dyDescent="0.35">
      <c r="A8" s="7"/>
      <c r="B8" s="8"/>
      <c r="C8" s="8"/>
      <c r="D8" s="8"/>
      <c r="E8" s="8"/>
      <c r="F8" s="8"/>
      <c r="G8" s="8"/>
      <c r="H8" s="8"/>
      <c r="I8" s="8"/>
      <c r="J8" s="8"/>
      <c r="K8" s="8"/>
      <c r="L8" s="8"/>
      <c r="M8" s="8"/>
      <c r="N8" s="8"/>
      <c r="O8" s="8"/>
      <c r="P8" s="8"/>
      <c r="Q8" s="8"/>
      <c r="R8" s="8"/>
      <c r="S8" s="9"/>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L104"/>
  <sheetViews>
    <sheetView topLeftCell="A85" workbookViewId="0">
      <selection activeCell="K97" sqref="K97"/>
    </sheetView>
  </sheetViews>
  <sheetFormatPr defaultRowHeight="14.4" x14ac:dyDescent="0.3"/>
  <cols>
    <col min="2" max="2" width="9.5546875" bestFit="1" customWidth="1"/>
    <col min="3" max="3" width="14.5546875" bestFit="1" customWidth="1"/>
    <col min="4" max="4" width="6" bestFit="1" customWidth="1"/>
    <col min="5" max="5" width="10.109375" bestFit="1" customWidth="1"/>
    <col min="6" max="6" width="8.109375" bestFit="1" customWidth="1"/>
    <col min="7" max="7" width="6" bestFit="1" customWidth="1"/>
    <col min="9" max="9" width="9.6640625" bestFit="1" customWidth="1"/>
    <col min="10" max="10" width="8.6640625" bestFit="1" customWidth="1"/>
    <col min="11" max="11" width="9.33203125" customWidth="1"/>
    <col min="12" max="12" width="8.6640625" bestFit="1" customWidth="1"/>
    <col min="16" max="17" width="5.33203125" customWidth="1"/>
    <col min="18" max="21" width="8.5546875" bestFit="1" customWidth="1"/>
    <col min="22" max="40" width="9.5546875" bestFit="1" customWidth="1"/>
  </cols>
  <sheetData>
    <row r="1" spans="2:7" x14ac:dyDescent="0.3">
      <c r="B1" t="s">
        <v>80</v>
      </c>
      <c r="C1">
        <v>112.5</v>
      </c>
    </row>
    <row r="2" spans="2:7" x14ac:dyDescent="0.3">
      <c r="B2" s="39">
        <f ca="1">TODAY()</f>
        <v>42783</v>
      </c>
      <c r="C2" t="e">
        <f ca="1">VLOOKUP(B2,$B$6:$D$104,3,FALSE)</f>
        <v>#N/A</v>
      </c>
    </row>
    <row r="3" spans="2:7" x14ac:dyDescent="0.3">
      <c r="B3" t="s">
        <v>56</v>
      </c>
      <c r="C3" t="e">
        <f ca="1">C1-C2</f>
        <v>#N/A</v>
      </c>
    </row>
    <row r="5" spans="2:7" x14ac:dyDescent="0.3">
      <c r="C5" t="s">
        <v>1163</v>
      </c>
      <c r="E5" t="s">
        <v>1164</v>
      </c>
      <c r="F5" t="s">
        <v>1165</v>
      </c>
    </row>
    <row r="6" spans="2:7" x14ac:dyDescent="0.3">
      <c r="B6" s="200">
        <v>42380</v>
      </c>
      <c r="C6" s="202">
        <f>VLOOKUP(B6,Stats!$D$29:$O$130,12,FALSE)</f>
        <v>0.5</v>
      </c>
      <c r="D6">
        <f>C6</f>
        <v>0.5</v>
      </c>
      <c r="E6">
        <v>1</v>
      </c>
      <c r="F6">
        <f>E6</f>
        <v>1</v>
      </c>
      <c r="G6">
        <f>D6+F6</f>
        <v>1.5</v>
      </c>
    </row>
    <row r="7" spans="2:7" x14ac:dyDescent="0.3">
      <c r="B7" s="201">
        <v>42381</v>
      </c>
      <c r="C7" s="203">
        <f>VLOOKUP(B7,Stats!$D$29:$O$130,12,FALSE)</f>
        <v>0.5</v>
      </c>
      <c r="D7">
        <f>C7+D6</f>
        <v>1</v>
      </c>
      <c r="E7">
        <v>1</v>
      </c>
      <c r="F7">
        <f t="shared" ref="F7:F11" si="0">E7+F6</f>
        <v>2</v>
      </c>
      <c r="G7">
        <f t="shared" ref="G7:G11" si="1">D7+F7</f>
        <v>3</v>
      </c>
    </row>
    <row r="8" spans="2:7" x14ac:dyDescent="0.3">
      <c r="B8" s="201">
        <v>42382</v>
      </c>
      <c r="C8" s="203">
        <f>VLOOKUP(B8,Stats!$D$29:$O$130,12,FALSE)</f>
        <v>0.5</v>
      </c>
      <c r="D8">
        <f t="shared" ref="D8:D71" si="2">C8+D7</f>
        <v>1.5</v>
      </c>
      <c r="E8">
        <v>1</v>
      </c>
      <c r="F8">
        <f t="shared" si="0"/>
        <v>3</v>
      </c>
      <c r="G8">
        <f t="shared" si="1"/>
        <v>4.5</v>
      </c>
    </row>
    <row r="9" spans="2:7" x14ac:dyDescent="0.3">
      <c r="B9" s="201">
        <v>42383</v>
      </c>
      <c r="C9" s="203">
        <f>VLOOKUP(B9,Stats!$D$29:$O$130,12,FALSE)</f>
        <v>0.5</v>
      </c>
      <c r="D9">
        <f t="shared" si="2"/>
        <v>2</v>
      </c>
      <c r="E9">
        <v>1</v>
      </c>
      <c r="F9">
        <f t="shared" si="0"/>
        <v>4</v>
      </c>
      <c r="G9">
        <f t="shared" si="1"/>
        <v>6</v>
      </c>
    </row>
    <row r="10" spans="2:7" x14ac:dyDescent="0.3">
      <c r="B10" s="201">
        <v>42384</v>
      </c>
      <c r="C10" s="203">
        <f>VLOOKUP(B10,Stats!$D$29:$O$130,12,FALSE)</f>
        <v>0.5</v>
      </c>
      <c r="D10">
        <f t="shared" si="2"/>
        <v>2.5</v>
      </c>
      <c r="E10">
        <v>1</v>
      </c>
      <c r="F10">
        <f t="shared" si="0"/>
        <v>5</v>
      </c>
      <c r="G10">
        <f t="shared" si="1"/>
        <v>7.5</v>
      </c>
    </row>
    <row r="11" spans="2:7" ht="15" thickBot="1" x14ac:dyDescent="0.35">
      <c r="B11" s="201"/>
      <c r="C11" s="204"/>
      <c r="D11">
        <f t="shared" si="2"/>
        <v>2.5</v>
      </c>
      <c r="E11">
        <v>4</v>
      </c>
      <c r="F11">
        <f t="shared" si="0"/>
        <v>9</v>
      </c>
      <c r="G11">
        <f t="shared" si="1"/>
        <v>11.5</v>
      </c>
    </row>
    <row r="12" spans="2:7" x14ac:dyDescent="0.3">
      <c r="B12" s="195">
        <v>42387</v>
      </c>
      <c r="C12" s="202">
        <f>VLOOKUP(B12,Stats!$D$29:$O$130,12,FALSE)</f>
        <v>0</v>
      </c>
      <c r="D12">
        <f t="shared" si="2"/>
        <v>2.5</v>
      </c>
      <c r="E12">
        <v>1</v>
      </c>
      <c r="F12">
        <f>E12</f>
        <v>1</v>
      </c>
      <c r="G12">
        <f>D12+F12</f>
        <v>3.5</v>
      </c>
    </row>
    <row r="13" spans="2:7" x14ac:dyDescent="0.3">
      <c r="B13" s="193">
        <v>42388</v>
      </c>
      <c r="C13" s="203">
        <f>VLOOKUP(B13,Stats!$D$29:$O$130,12,FALSE)</f>
        <v>0.5</v>
      </c>
      <c r="D13">
        <f t="shared" si="2"/>
        <v>3</v>
      </c>
      <c r="E13">
        <v>1</v>
      </c>
      <c r="F13">
        <f t="shared" ref="F13:F17" si="3">E13+F12</f>
        <v>2</v>
      </c>
      <c r="G13">
        <f t="shared" ref="G13:G17" si="4">D13+F13</f>
        <v>5</v>
      </c>
    </row>
    <row r="14" spans="2:7" x14ac:dyDescent="0.3">
      <c r="B14" s="193">
        <v>42389</v>
      </c>
      <c r="C14" s="203">
        <f>VLOOKUP(B14,Stats!$D$29:$O$130,12,FALSE)</f>
        <v>0.5</v>
      </c>
      <c r="D14">
        <f t="shared" si="2"/>
        <v>3.5</v>
      </c>
      <c r="E14">
        <v>1</v>
      </c>
      <c r="F14">
        <f t="shared" si="3"/>
        <v>3</v>
      </c>
      <c r="G14">
        <f t="shared" si="4"/>
        <v>6.5</v>
      </c>
    </row>
    <row r="15" spans="2:7" x14ac:dyDescent="0.3">
      <c r="B15" s="193">
        <v>42390</v>
      </c>
      <c r="C15" s="203">
        <f>VLOOKUP(B15,Stats!$D$29:$O$130,12,FALSE)</f>
        <v>0.5</v>
      </c>
      <c r="D15">
        <f t="shared" si="2"/>
        <v>4</v>
      </c>
      <c r="E15">
        <v>1</v>
      </c>
      <c r="F15">
        <f t="shared" si="3"/>
        <v>4</v>
      </c>
      <c r="G15">
        <f t="shared" si="4"/>
        <v>8</v>
      </c>
    </row>
    <row r="16" spans="2:7" x14ac:dyDescent="0.3">
      <c r="B16" s="193">
        <v>42391</v>
      </c>
      <c r="C16" s="203">
        <f>VLOOKUP(B16,Stats!$D$29:$O$130,12,FALSE)</f>
        <v>0.5</v>
      </c>
      <c r="D16">
        <f t="shared" si="2"/>
        <v>4.5</v>
      </c>
      <c r="E16">
        <v>1</v>
      </c>
      <c r="F16">
        <f t="shared" si="3"/>
        <v>5</v>
      </c>
      <c r="G16">
        <f t="shared" si="4"/>
        <v>9.5</v>
      </c>
    </row>
    <row r="17" spans="2:7" ht="15" thickBot="1" x14ac:dyDescent="0.35">
      <c r="B17" s="193"/>
      <c r="C17" s="204"/>
      <c r="D17">
        <f t="shared" si="2"/>
        <v>4.5</v>
      </c>
      <c r="E17">
        <v>4</v>
      </c>
      <c r="F17">
        <f t="shared" si="3"/>
        <v>9</v>
      </c>
      <c r="G17">
        <f t="shared" si="4"/>
        <v>13.5</v>
      </c>
    </row>
    <row r="18" spans="2:7" x14ac:dyDescent="0.3">
      <c r="B18" s="195">
        <v>42394</v>
      </c>
      <c r="C18" s="202">
        <f>VLOOKUP(B18,Stats!$D$29:$O$130,12,FALSE)</f>
        <v>0.5</v>
      </c>
      <c r="D18">
        <f t="shared" si="2"/>
        <v>5</v>
      </c>
      <c r="E18">
        <v>1</v>
      </c>
      <c r="F18">
        <f>E18</f>
        <v>1</v>
      </c>
      <c r="G18">
        <f>D18+F18</f>
        <v>6</v>
      </c>
    </row>
    <row r="19" spans="2:7" x14ac:dyDescent="0.3">
      <c r="B19" s="193">
        <v>42395</v>
      </c>
      <c r="C19" s="203">
        <f>VLOOKUP(B19,Stats!$D$29:$O$130,12,FALSE)</f>
        <v>0.5</v>
      </c>
      <c r="D19">
        <f t="shared" si="2"/>
        <v>5.5</v>
      </c>
      <c r="E19">
        <v>1</v>
      </c>
      <c r="F19">
        <f t="shared" ref="F19:F23" si="5">E19+F18</f>
        <v>2</v>
      </c>
      <c r="G19">
        <f t="shared" ref="G19:G23" si="6">D19+F19</f>
        <v>7.5</v>
      </c>
    </row>
    <row r="20" spans="2:7" x14ac:dyDescent="0.3">
      <c r="B20" s="193">
        <v>42396</v>
      </c>
      <c r="C20" s="203">
        <v>0.5</v>
      </c>
      <c r="D20">
        <f t="shared" si="2"/>
        <v>6</v>
      </c>
      <c r="E20">
        <v>1</v>
      </c>
      <c r="F20">
        <f t="shared" si="5"/>
        <v>3</v>
      </c>
      <c r="G20">
        <f t="shared" si="6"/>
        <v>9</v>
      </c>
    </row>
    <row r="21" spans="2:7" x14ac:dyDescent="0.3">
      <c r="B21" s="193">
        <v>42397</v>
      </c>
      <c r="C21" s="203">
        <v>0.5</v>
      </c>
      <c r="D21">
        <f t="shared" si="2"/>
        <v>6.5</v>
      </c>
      <c r="E21">
        <v>1</v>
      </c>
      <c r="F21">
        <f t="shared" si="5"/>
        <v>4</v>
      </c>
      <c r="G21">
        <f t="shared" si="6"/>
        <v>10.5</v>
      </c>
    </row>
    <row r="22" spans="2:7" x14ac:dyDescent="0.3">
      <c r="B22" s="193">
        <v>42398</v>
      </c>
      <c r="C22" s="203">
        <f>VLOOKUP(B22,Stats!$D$29:$O$130,12,FALSE)</f>
        <v>0.5</v>
      </c>
      <c r="D22">
        <f t="shared" si="2"/>
        <v>7</v>
      </c>
      <c r="E22">
        <v>1</v>
      </c>
      <c r="F22">
        <f t="shared" si="5"/>
        <v>5</v>
      </c>
      <c r="G22">
        <f t="shared" si="6"/>
        <v>12</v>
      </c>
    </row>
    <row r="23" spans="2:7" ht="15" thickBot="1" x14ac:dyDescent="0.35">
      <c r="B23" s="193"/>
      <c r="C23" s="204"/>
      <c r="D23">
        <f t="shared" si="2"/>
        <v>7</v>
      </c>
      <c r="E23">
        <v>4</v>
      </c>
      <c r="F23">
        <f t="shared" si="5"/>
        <v>9</v>
      </c>
      <c r="G23">
        <f t="shared" si="6"/>
        <v>16</v>
      </c>
    </row>
    <row r="24" spans="2:7" x14ac:dyDescent="0.3">
      <c r="B24" s="195">
        <v>42401</v>
      </c>
      <c r="C24" s="202">
        <f>VLOOKUP(B24,Stats!$D$29:$O$130,12,FALSE)</f>
        <v>1</v>
      </c>
      <c r="D24">
        <f t="shared" si="2"/>
        <v>8</v>
      </c>
      <c r="E24">
        <v>1</v>
      </c>
      <c r="F24">
        <f>E24</f>
        <v>1</v>
      </c>
      <c r="G24">
        <f>D24+F24</f>
        <v>9</v>
      </c>
    </row>
    <row r="25" spans="2:7" x14ac:dyDescent="0.3">
      <c r="B25" s="193">
        <v>42402</v>
      </c>
      <c r="C25" s="203">
        <f>VLOOKUP(B25,Stats!$D$29:$O$130,12,FALSE)</f>
        <v>0</v>
      </c>
      <c r="D25">
        <f t="shared" si="2"/>
        <v>8</v>
      </c>
      <c r="E25">
        <v>1</v>
      </c>
      <c r="F25">
        <f t="shared" ref="F25:F29" si="7">E25+F24</f>
        <v>2</v>
      </c>
      <c r="G25">
        <f t="shared" ref="G25:G29" si="8">D25+F25</f>
        <v>10</v>
      </c>
    </row>
    <row r="26" spans="2:7" x14ac:dyDescent="0.3">
      <c r="B26" s="193">
        <v>42403</v>
      </c>
      <c r="C26" s="203">
        <f>VLOOKUP(B26,Stats!$D$29:$O$130,12,FALSE)</f>
        <v>1</v>
      </c>
      <c r="D26">
        <f t="shared" si="2"/>
        <v>9</v>
      </c>
      <c r="E26">
        <v>1</v>
      </c>
      <c r="F26">
        <f t="shared" si="7"/>
        <v>3</v>
      </c>
      <c r="G26">
        <f t="shared" si="8"/>
        <v>12</v>
      </c>
    </row>
    <row r="27" spans="2:7" x14ac:dyDescent="0.3">
      <c r="B27" s="193">
        <v>42404</v>
      </c>
      <c r="C27" s="203">
        <f>VLOOKUP(B27,Stats!$D$29:$O$130,12,FALSE)</f>
        <v>1</v>
      </c>
      <c r="D27">
        <f t="shared" si="2"/>
        <v>10</v>
      </c>
      <c r="E27">
        <v>1</v>
      </c>
      <c r="F27">
        <f t="shared" si="7"/>
        <v>4</v>
      </c>
      <c r="G27">
        <f t="shared" si="8"/>
        <v>14</v>
      </c>
    </row>
    <row r="28" spans="2:7" x14ac:dyDescent="0.3">
      <c r="B28" s="193">
        <v>42405</v>
      </c>
      <c r="C28" s="203">
        <f>VLOOKUP(B28,Stats!$D$29:$O$130,12,FALSE)</f>
        <v>1</v>
      </c>
      <c r="D28">
        <f t="shared" si="2"/>
        <v>11</v>
      </c>
      <c r="E28">
        <v>1</v>
      </c>
      <c r="F28">
        <f t="shared" si="7"/>
        <v>5</v>
      </c>
      <c r="G28">
        <f t="shared" si="8"/>
        <v>16</v>
      </c>
    </row>
    <row r="29" spans="2:7" ht="15" thickBot="1" x14ac:dyDescent="0.35">
      <c r="B29" s="193"/>
      <c r="C29" s="204"/>
      <c r="D29">
        <f t="shared" si="2"/>
        <v>11</v>
      </c>
      <c r="E29">
        <v>4</v>
      </c>
      <c r="F29">
        <f t="shared" si="7"/>
        <v>9</v>
      </c>
      <c r="G29">
        <f t="shared" si="8"/>
        <v>20</v>
      </c>
    </row>
    <row r="30" spans="2:7" x14ac:dyDescent="0.3">
      <c r="B30" s="195">
        <v>42408</v>
      </c>
      <c r="C30" s="202">
        <f>VLOOKUP(B30,Stats!$D$29:$O$130,12,FALSE)</f>
        <v>0</v>
      </c>
      <c r="D30">
        <f t="shared" si="2"/>
        <v>11</v>
      </c>
      <c r="E30">
        <v>1</v>
      </c>
      <c r="F30">
        <f>E30+F29</f>
        <v>10</v>
      </c>
      <c r="G30">
        <f>D30+F30</f>
        <v>21</v>
      </c>
    </row>
    <row r="31" spans="2:7" x14ac:dyDescent="0.3">
      <c r="B31" s="193">
        <v>42409</v>
      </c>
      <c r="C31" s="203">
        <f>VLOOKUP(B31,Stats!$D$29:$O$130,12,FALSE)</f>
        <v>1</v>
      </c>
      <c r="D31">
        <f t="shared" si="2"/>
        <v>12</v>
      </c>
      <c r="E31">
        <v>1</v>
      </c>
      <c r="F31">
        <f t="shared" ref="F31:F94" si="9">E31+F30</f>
        <v>11</v>
      </c>
      <c r="G31">
        <f t="shared" ref="G31:G94" si="10">D31+F31</f>
        <v>23</v>
      </c>
    </row>
    <row r="32" spans="2:7" x14ac:dyDescent="0.3">
      <c r="B32" s="193">
        <v>42410</v>
      </c>
      <c r="C32" s="203">
        <f>VLOOKUP(B32,Stats!$D$29:$O$130,12,FALSE)</f>
        <v>1</v>
      </c>
      <c r="D32">
        <f t="shared" si="2"/>
        <v>13</v>
      </c>
      <c r="E32">
        <v>1</v>
      </c>
      <c r="F32">
        <f t="shared" si="9"/>
        <v>12</v>
      </c>
      <c r="G32">
        <f t="shared" si="10"/>
        <v>25</v>
      </c>
    </row>
    <row r="33" spans="2:7" x14ac:dyDescent="0.3">
      <c r="B33" s="193">
        <v>42411</v>
      </c>
      <c r="C33" s="203">
        <f>VLOOKUP(B33,Stats!$D$29:$O$130,12,FALSE)</f>
        <v>1</v>
      </c>
      <c r="D33">
        <f t="shared" si="2"/>
        <v>14</v>
      </c>
      <c r="E33">
        <v>1</v>
      </c>
      <c r="F33">
        <f t="shared" si="9"/>
        <v>13</v>
      </c>
      <c r="G33">
        <f t="shared" si="10"/>
        <v>27</v>
      </c>
    </row>
    <row r="34" spans="2:7" x14ac:dyDescent="0.3">
      <c r="B34" s="193">
        <v>42412</v>
      </c>
      <c r="C34" s="203">
        <f>VLOOKUP(B34,Stats!$D$29:$O$130,12,FALSE)</f>
        <v>0</v>
      </c>
      <c r="D34">
        <f t="shared" si="2"/>
        <v>14</v>
      </c>
      <c r="E34">
        <v>1</v>
      </c>
      <c r="F34">
        <f t="shared" si="9"/>
        <v>14</v>
      </c>
      <c r="G34">
        <f t="shared" si="10"/>
        <v>28</v>
      </c>
    </row>
    <row r="35" spans="2:7" ht="15" thickBot="1" x14ac:dyDescent="0.35">
      <c r="B35" s="193"/>
      <c r="C35" s="204"/>
      <c r="D35">
        <f t="shared" si="2"/>
        <v>14</v>
      </c>
      <c r="E35">
        <v>4</v>
      </c>
      <c r="F35">
        <f t="shared" si="9"/>
        <v>18</v>
      </c>
      <c r="G35">
        <f t="shared" si="10"/>
        <v>32</v>
      </c>
    </row>
    <row r="36" spans="2:7" x14ac:dyDescent="0.3">
      <c r="B36" s="195">
        <v>42415</v>
      </c>
      <c r="C36" s="202">
        <f>VLOOKUP(B36,Stats!$D$29:$O$130,12,FALSE)</f>
        <v>1</v>
      </c>
      <c r="D36">
        <f t="shared" si="2"/>
        <v>15</v>
      </c>
      <c r="E36">
        <v>1</v>
      </c>
      <c r="F36">
        <f t="shared" si="9"/>
        <v>19</v>
      </c>
      <c r="G36">
        <f t="shared" si="10"/>
        <v>34</v>
      </c>
    </row>
    <row r="37" spans="2:7" x14ac:dyDescent="0.3">
      <c r="B37" s="193">
        <v>42416</v>
      </c>
      <c r="C37" s="203">
        <f>VLOOKUP(B37,Stats!$D$29:$O$130,12,FALSE)</f>
        <v>1</v>
      </c>
      <c r="D37">
        <f t="shared" si="2"/>
        <v>16</v>
      </c>
      <c r="E37">
        <v>1</v>
      </c>
      <c r="F37">
        <f t="shared" si="9"/>
        <v>20</v>
      </c>
      <c r="G37">
        <f t="shared" si="10"/>
        <v>36</v>
      </c>
    </row>
    <row r="38" spans="2:7" x14ac:dyDescent="0.3">
      <c r="B38" s="193">
        <v>42417</v>
      </c>
      <c r="C38" s="203">
        <f>VLOOKUP(B38,Stats!$D$29:$O$130,12,FALSE)</f>
        <v>1</v>
      </c>
      <c r="D38">
        <f t="shared" si="2"/>
        <v>17</v>
      </c>
      <c r="E38">
        <v>1</v>
      </c>
      <c r="F38">
        <f t="shared" si="9"/>
        <v>21</v>
      </c>
      <c r="G38">
        <f t="shared" si="10"/>
        <v>38</v>
      </c>
    </row>
    <row r="39" spans="2:7" x14ac:dyDescent="0.3">
      <c r="B39" s="193">
        <v>42418</v>
      </c>
      <c r="C39" s="203">
        <f>VLOOKUP(B39,Stats!$D$29:$O$130,12,FALSE)</f>
        <v>0</v>
      </c>
      <c r="D39">
        <f t="shared" si="2"/>
        <v>17</v>
      </c>
      <c r="E39">
        <v>1</v>
      </c>
      <c r="F39">
        <f t="shared" si="9"/>
        <v>22</v>
      </c>
      <c r="G39">
        <f t="shared" si="10"/>
        <v>39</v>
      </c>
    </row>
    <row r="40" spans="2:7" x14ac:dyDescent="0.3">
      <c r="B40" s="193">
        <v>42419</v>
      </c>
      <c r="C40" s="203">
        <f>VLOOKUP(B40,Stats!$D$29:$O$130,12,FALSE)</f>
        <v>1</v>
      </c>
      <c r="D40">
        <f t="shared" si="2"/>
        <v>18</v>
      </c>
      <c r="E40">
        <v>1</v>
      </c>
      <c r="F40">
        <f t="shared" si="9"/>
        <v>23</v>
      </c>
      <c r="G40">
        <f t="shared" si="10"/>
        <v>41</v>
      </c>
    </row>
    <row r="41" spans="2:7" ht="15" thickBot="1" x14ac:dyDescent="0.35">
      <c r="B41" s="193"/>
      <c r="C41" s="204"/>
      <c r="D41">
        <f t="shared" si="2"/>
        <v>18</v>
      </c>
      <c r="E41">
        <v>4</v>
      </c>
      <c r="F41">
        <f t="shared" si="9"/>
        <v>27</v>
      </c>
      <c r="G41">
        <f t="shared" si="10"/>
        <v>45</v>
      </c>
    </row>
    <row r="42" spans="2:7" x14ac:dyDescent="0.3">
      <c r="B42" s="195">
        <v>42422</v>
      </c>
      <c r="C42" s="202"/>
      <c r="D42">
        <f t="shared" si="2"/>
        <v>18</v>
      </c>
      <c r="E42">
        <v>1</v>
      </c>
      <c r="F42">
        <f t="shared" si="9"/>
        <v>28</v>
      </c>
      <c r="G42">
        <f t="shared" si="10"/>
        <v>46</v>
      </c>
    </row>
    <row r="43" spans="2:7" x14ac:dyDescent="0.3">
      <c r="B43" s="193">
        <v>42423</v>
      </c>
      <c r="C43" s="203"/>
      <c r="D43">
        <f t="shared" si="2"/>
        <v>18</v>
      </c>
      <c r="E43">
        <v>1</v>
      </c>
      <c r="F43">
        <f t="shared" si="9"/>
        <v>29</v>
      </c>
      <c r="G43">
        <f t="shared" si="10"/>
        <v>47</v>
      </c>
    </row>
    <row r="44" spans="2:7" x14ac:dyDescent="0.3">
      <c r="B44" s="193">
        <v>42424</v>
      </c>
      <c r="C44" s="203">
        <f>VLOOKUP(B44,Stats!$D$29:$O$130,12,FALSE)</f>
        <v>0</v>
      </c>
      <c r="D44">
        <f t="shared" si="2"/>
        <v>18</v>
      </c>
      <c r="E44">
        <v>1</v>
      </c>
      <c r="F44">
        <f t="shared" si="9"/>
        <v>30</v>
      </c>
      <c r="G44">
        <f t="shared" si="10"/>
        <v>48</v>
      </c>
    </row>
    <row r="45" spans="2:7" x14ac:dyDescent="0.3">
      <c r="B45" s="193">
        <v>42425</v>
      </c>
      <c r="C45" s="203">
        <f>VLOOKUP(B45,Stats!$D$29:$O$130,12,FALSE)</f>
        <v>1</v>
      </c>
      <c r="D45">
        <f t="shared" si="2"/>
        <v>19</v>
      </c>
      <c r="E45">
        <v>1</v>
      </c>
      <c r="F45">
        <f t="shared" si="9"/>
        <v>31</v>
      </c>
      <c r="G45">
        <f t="shared" si="10"/>
        <v>50</v>
      </c>
    </row>
    <row r="46" spans="2:7" x14ac:dyDescent="0.3">
      <c r="B46" s="193">
        <v>42426</v>
      </c>
      <c r="C46" s="203">
        <f>VLOOKUP(B46,Stats!$D$29:$O$130,12,FALSE)</f>
        <v>0</v>
      </c>
      <c r="D46">
        <f t="shared" si="2"/>
        <v>19</v>
      </c>
      <c r="E46">
        <v>1</v>
      </c>
      <c r="F46">
        <f t="shared" si="9"/>
        <v>32</v>
      </c>
      <c r="G46">
        <f t="shared" si="10"/>
        <v>51</v>
      </c>
    </row>
    <row r="47" spans="2:7" ht="15" thickBot="1" x14ac:dyDescent="0.35">
      <c r="B47" s="193"/>
      <c r="C47" s="204"/>
      <c r="D47">
        <f t="shared" si="2"/>
        <v>19</v>
      </c>
      <c r="E47">
        <v>4</v>
      </c>
      <c r="F47">
        <f t="shared" si="9"/>
        <v>36</v>
      </c>
      <c r="G47">
        <f t="shared" si="10"/>
        <v>55</v>
      </c>
    </row>
    <row r="48" spans="2:7" x14ac:dyDescent="0.3">
      <c r="B48" s="195">
        <v>42429</v>
      </c>
      <c r="C48" s="202">
        <f>VLOOKUP(B48,Stats!$D$29:$O$130,12,FALSE)</f>
        <v>1</v>
      </c>
      <c r="D48">
        <f t="shared" si="2"/>
        <v>20</v>
      </c>
      <c r="E48">
        <v>1.5</v>
      </c>
      <c r="F48">
        <f t="shared" si="9"/>
        <v>37.5</v>
      </c>
      <c r="G48">
        <f t="shared" si="10"/>
        <v>57.5</v>
      </c>
    </row>
    <row r="49" spans="2:7" x14ac:dyDescent="0.3">
      <c r="B49" s="193">
        <v>42430</v>
      </c>
      <c r="C49" s="203">
        <v>0</v>
      </c>
      <c r="D49">
        <f t="shared" si="2"/>
        <v>20</v>
      </c>
      <c r="E49">
        <v>1.5</v>
      </c>
      <c r="F49">
        <f t="shared" si="9"/>
        <v>39</v>
      </c>
      <c r="G49">
        <f t="shared" si="10"/>
        <v>59</v>
      </c>
    </row>
    <row r="50" spans="2:7" x14ac:dyDescent="0.3">
      <c r="B50" s="193">
        <v>42431</v>
      </c>
      <c r="C50" s="203">
        <f>VLOOKUP(B50,Stats!$D$29:$O$130,12,FALSE)</f>
        <v>1</v>
      </c>
      <c r="D50">
        <f t="shared" si="2"/>
        <v>21</v>
      </c>
      <c r="E50">
        <v>1.5</v>
      </c>
      <c r="F50">
        <f t="shared" si="9"/>
        <v>40.5</v>
      </c>
      <c r="G50">
        <f t="shared" si="10"/>
        <v>61.5</v>
      </c>
    </row>
    <row r="51" spans="2:7" x14ac:dyDescent="0.3">
      <c r="B51" s="196">
        <v>42432</v>
      </c>
      <c r="C51" s="203">
        <f>VLOOKUP(B51,Stats!$D$29:$O$130,12,FALSE)</f>
        <v>0</v>
      </c>
      <c r="D51">
        <f t="shared" si="2"/>
        <v>21</v>
      </c>
      <c r="E51">
        <v>1.5</v>
      </c>
      <c r="F51">
        <f t="shared" si="9"/>
        <v>42</v>
      </c>
      <c r="G51">
        <f t="shared" si="10"/>
        <v>63</v>
      </c>
    </row>
    <row r="52" spans="2:7" x14ac:dyDescent="0.3">
      <c r="B52" s="193">
        <v>42433</v>
      </c>
      <c r="C52" s="203">
        <f>VLOOKUP(B52,Stats!$D$29:$O$130,12,FALSE)</f>
        <v>1</v>
      </c>
      <c r="D52">
        <f t="shared" si="2"/>
        <v>22</v>
      </c>
      <c r="E52">
        <v>1.5</v>
      </c>
      <c r="F52">
        <f t="shared" si="9"/>
        <v>43.5</v>
      </c>
      <c r="G52">
        <f t="shared" si="10"/>
        <v>65.5</v>
      </c>
    </row>
    <row r="53" spans="2:7" ht="15" thickBot="1" x14ac:dyDescent="0.35">
      <c r="B53" s="193"/>
      <c r="C53" s="204"/>
      <c r="D53">
        <f t="shared" si="2"/>
        <v>22</v>
      </c>
      <c r="E53">
        <v>4</v>
      </c>
      <c r="F53">
        <f t="shared" si="9"/>
        <v>47.5</v>
      </c>
      <c r="G53">
        <f t="shared" si="10"/>
        <v>69.5</v>
      </c>
    </row>
    <row r="54" spans="2:7" x14ac:dyDescent="0.3">
      <c r="B54" s="195">
        <v>42436</v>
      </c>
      <c r="C54" s="202">
        <v>0</v>
      </c>
      <c r="D54">
        <f t="shared" si="2"/>
        <v>22</v>
      </c>
      <c r="E54">
        <v>1.5</v>
      </c>
      <c r="F54">
        <f t="shared" si="9"/>
        <v>49</v>
      </c>
      <c r="G54">
        <f t="shared" si="10"/>
        <v>71</v>
      </c>
    </row>
    <row r="55" spans="2:7" x14ac:dyDescent="0.3">
      <c r="B55" s="193">
        <v>42437</v>
      </c>
      <c r="C55" s="203">
        <v>0</v>
      </c>
      <c r="D55">
        <f t="shared" si="2"/>
        <v>22</v>
      </c>
      <c r="E55">
        <v>1.5</v>
      </c>
      <c r="F55">
        <f t="shared" si="9"/>
        <v>50.5</v>
      </c>
      <c r="G55">
        <f t="shared" si="10"/>
        <v>72.5</v>
      </c>
    </row>
    <row r="56" spans="2:7" x14ac:dyDescent="0.3">
      <c r="B56" s="193">
        <v>42438</v>
      </c>
      <c r="C56" s="203">
        <f>VLOOKUP(B56,Stats!$D$29:$O$130,12,FALSE)</f>
        <v>1</v>
      </c>
      <c r="D56">
        <f t="shared" si="2"/>
        <v>23</v>
      </c>
      <c r="E56">
        <v>1.5</v>
      </c>
      <c r="F56">
        <f t="shared" si="9"/>
        <v>52</v>
      </c>
      <c r="G56">
        <f t="shared" si="10"/>
        <v>75</v>
      </c>
    </row>
    <row r="57" spans="2:7" x14ac:dyDescent="0.3">
      <c r="B57" s="193">
        <v>42439</v>
      </c>
      <c r="C57" s="203">
        <f>VLOOKUP(B57,Stats!$D$29:$O$130,12,FALSE)</f>
        <v>1</v>
      </c>
      <c r="D57">
        <f t="shared" si="2"/>
        <v>24</v>
      </c>
      <c r="E57">
        <v>1.5</v>
      </c>
      <c r="F57">
        <f t="shared" si="9"/>
        <v>53.5</v>
      </c>
      <c r="G57">
        <f t="shared" si="10"/>
        <v>77.5</v>
      </c>
    </row>
    <row r="58" spans="2:7" x14ac:dyDescent="0.3">
      <c r="B58" s="193">
        <v>42440</v>
      </c>
      <c r="C58" s="203">
        <f>VLOOKUP(B58,Stats!$D$29:$O$130,12,FALSE)</f>
        <v>0</v>
      </c>
      <c r="D58">
        <f t="shared" si="2"/>
        <v>24</v>
      </c>
      <c r="E58">
        <v>1.5</v>
      </c>
      <c r="F58">
        <f t="shared" si="9"/>
        <v>55</v>
      </c>
      <c r="G58">
        <f t="shared" si="10"/>
        <v>79</v>
      </c>
    </row>
    <row r="59" spans="2:7" ht="15" thickBot="1" x14ac:dyDescent="0.35">
      <c r="B59" s="193"/>
      <c r="C59" s="204"/>
      <c r="D59">
        <f t="shared" si="2"/>
        <v>24</v>
      </c>
      <c r="E59">
        <v>5</v>
      </c>
      <c r="F59">
        <f t="shared" si="9"/>
        <v>60</v>
      </c>
      <c r="G59">
        <f t="shared" si="10"/>
        <v>84</v>
      </c>
    </row>
    <row r="60" spans="2:7" x14ac:dyDescent="0.3">
      <c r="B60" s="195">
        <v>42443</v>
      </c>
      <c r="C60" s="202">
        <f>VLOOKUP(B60,Stats!$D$29:$O$130,12,FALSE)</f>
        <v>0</v>
      </c>
      <c r="D60">
        <f t="shared" si="2"/>
        <v>24</v>
      </c>
      <c r="E60">
        <v>1.5</v>
      </c>
      <c r="F60">
        <f t="shared" si="9"/>
        <v>61.5</v>
      </c>
      <c r="G60">
        <f t="shared" si="10"/>
        <v>85.5</v>
      </c>
    </row>
    <row r="61" spans="2:7" x14ac:dyDescent="0.3">
      <c r="B61" s="193">
        <v>42444</v>
      </c>
      <c r="C61" s="203">
        <f>VLOOKUP(B61,Stats!$D$29:$O$130,12,FALSE)</f>
        <v>0</v>
      </c>
      <c r="D61">
        <f t="shared" si="2"/>
        <v>24</v>
      </c>
      <c r="E61">
        <v>1.5</v>
      </c>
      <c r="F61">
        <f t="shared" si="9"/>
        <v>63</v>
      </c>
      <c r="G61">
        <f t="shared" si="10"/>
        <v>87</v>
      </c>
    </row>
    <row r="62" spans="2:7" x14ac:dyDescent="0.3">
      <c r="B62" s="193">
        <v>42445</v>
      </c>
      <c r="C62" s="203">
        <f>VLOOKUP(B62,Stats!$D$29:$O$130,12,FALSE)</f>
        <v>1</v>
      </c>
      <c r="D62">
        <f t="shared" si="2"/>
        <v>25</v>
      </c>
      <c r="E62">
        <v>1.5</v>
      </c>
      <c r="F62">
        <f t="shared" si="9"/>
        <v>64.5</v>
      </c>
      <c r="G62">
        <f t="shared" si="10"/>
        <v>89.5</v>
      </c>
    </row>
    <row r="63" spans="2:7" x14ac:dyDescent="0.3">
      <c r="B63" s="193">
        <v>42446</v>
      </c>
      <c r="C63" s="203">
        <f>VLOOKUP(B63,Stats!$D$29:$O$130,12,FALSE)</f>
        <v>3</v>
      </c>
      <c r="D63">
        <f t="shared" si="2"/>
        <v>28</v>
      </c>
      <c r="E63">
        <v>1.5</v>
      </c>
      <c r="F63">
        <f t="shared" si="9"/>
        <v>66</v>
      </c>
      <c r="G63">
        <f t="shared" si="10"/>
        <v>94</v>
      </c>
    </row>
    <row r="64" spans="2:7" x14ac:dyDescent="0.3">
      <c r="B64" s="193">
        <v>42447</v>
      </c>
      <c r="C64" s="203">
        <f>VLOOKUP(B64,Stats!$D$29:$O$130,12,FALSE)</f>
        <v>0</v>
      </c>
      <c r="D64">
        <f t="shared" si="2"/>
        <v>28</v>
      </c>
      <c r="E64">
        <v>1.5</v>
      </c>
      <c r="F64">
        <f t="shared" si="9"/>
        <v>67.5</v>
      </c>
      <c r="G64">
        <f t="shared" si="10"/>
        <v>95.5</v>
      </c>
    </row>
    <row r="65" spans="2:12" ht="15" thickBot="1" x14ac:dyDescent="0.35">
      <c r="B65" s="193"/>
      <c r="C65" s="204"/>
      <c r="D65">
        <f t="shared" si="2"/>
        <v>28</v>
      </c>
      <c r="E65">
        <v>3</v>
      </c>
      <c r="F65">
        <f t="shared" si="9"/>
        <v>70.5</v>
      </c>
      <c r="G65">
        <f t="shared" si="10"/>
        <v>98.5</v>
      </c>
    </row>
    <row r="66" spans="2:12" x14ac:dyDescent="0.3">
      <c r="B66" s="195">
        <v>42450</v>
      </c>
      <c r="C66" s="202">
        <v>0</v>
      </c>
      <c r="D66">
        <f t="shared" si="2"/>
        <v>28</v>
      </c>
      <c r="E66">
        <v>1.5</v>
      </c>
      <c r="F66">
        <f t="shared" si="9"/>
        <v>72</v>
      </c>
      <c r="G66">
        <f t="shared" si="10"/>
        <v>100</v>
      </c>
    </row>
    <row r="67" spans="2:12" x14ac:dyDescent="0.3">
      <c r="B67" s="193">
        <v>42451</v>
      </c>
      <c r="C67" s="203">
        <f>VLOOKUP(B67,Stats!$D$29:$O$130,12,FALSE)</f>
        <v>0</v>
      </c>
      <c r="D67">
        <f t="shared" si="2"/>
        <v>28</v>
      </c>
      <c r="E67">
        <v>1.5</v>
      </c>
      <c r="F67">
        <f t="shared" si="9"/>
        <v>73.5</v>
      </c>
      <c r="G67">
        <f t="shared" si="10"/>
        <v>101.5</v>
      </c>
    </row>
    <row r="68" spans="2:12" x14ac:dyDescent="0.3">
      <c r="B68" s="193">
        <v>42452</v>
      </c>
      <c r="C68" s="203">
        <f>VLOOKUP(B68,Stats!$D$29:$O$130,12,FALSE)</f>
        <v>1</v>
      </c>
      <c r="D68">
        <f t="shared" si="2"/>
        <v>29</v>
      </c>
      <c r="E68">
        <v>1.5</v>
      </c>
      <c r="F68">
        <f t="shared" si="9"/>
        <v>75</v>
      </c>
      <c r="G68">
        <f t="shared" si="10"/>
        <v>104</v>
      </c>
    </row>
    <row r="69" spans="2:12" x14ac:dyDescent="0.3">
      <c r="B69" s="193">
        <v>42453</v>
      </c>
      <c r="C69" s="203">
        <f>VLOOKUP(B69,Stats!$D$29:$O$130,12,FALSE)</f>
        <v>3</v>
      </c>
      <c r="D69">
        <f t="shared" si="2"/>
        <v>32</v>
      </c>
      <c r="E69">
        <v>1.5</v>
      </c>
      <c r="F69">
        <f t="shared" si="9"/>
        <v>76.5</v>
      </c>
      <c r="G69">
        <f t="shared" si="10"/>
        <v>108.5</v>
      </c>
    </row>
    <row r="70" spans="2:12" x14ac:dyDescent="0.3">
      <c r="B70" s="193">
        <v>42454</v>
      </c>
      <c r="C70" s="203">
        <f>VLOOKUP(B70,Stats!$D$29:$O$130,12,FALSE)</f>
        <v>1</v>
      </c>
      <c r="D70">
        <f t="shared" si="2"/>
        <v>33</v>
      </c>
      <c r="E70">
        <v>1.5</v>
      </c>
      <c r="F70">
        <f t="shared" si="9"/>
        <v>78</v>
      </c>
      <c r="G70">
        <f t="shared" si="10"/>
        <v>111</v>
      </c>
    </row>
    <row r="71" spans="2:12" ht="15" thickBot="1" x14ac:dyDescent="0.35">
      <c r="B71" s="193"/>
      <c r="C71" s="204"/>
      <c r="D71">
        <f t="shared" si="2"/>
        <v>33</v>
      </c>
      <c r="E71">
        <v>7</v>
      </c>
      <c r="F71">
        <f t="shared" si="9"/>
        <v>85</v>
      </c>
      <c r="G71">
        <f t="shared" si="10"/>
        <v>118</v>
      </c>
    </row>
    <row r="72" spans="2:12" x14ac:dyDescent="0.3">
      <c r="B72" s="195">
        <v>42457</v>
      </c>
      <c r="C72" s="202">
        <v>1.5</v>
      </c>
      <c r="D72">
        <f t="shared" ref="D72:D102" si="11">C72+D71</f>
        <v>34.5</v>
      </c>
      <c r="E72">
        <v>1.5</v>
      </c>
      <c r="F72">
        <f t="shared" si="9"/>
        <v>86.5</v>
      </c>
      <c r="G72">
        <f t="shared" si="10"/>
        <v>121</v>
      </c>
      <c r="I72" t="s">
        <v>1276</v>
      </c>
      <c r="K72" t="s">
        <v>1275</v>
      </c>
    </row>
    <row r="73" spans="2:12" x14ac:dyDescent="0.3">
      <c r="B73" s="193">
        <v>42458</v>
      </c>
      <c r="C73" s="203">
        <v>1.5</v>
      </c>
      <c r="D73">
        <f t="shared" si="11"/>
        <v>36</v>
      </c>
      <c r="E73">
        <v>1.5</v>
      </c>
      <c r="F73">
        <f t="shared" si="9"/>
        <v>88</v>
      </c>
      <c r="G73">
        <f t="shared" si="10"/>
        <v>124</v>
      </c>
      <c r="I73" t="s">
        <v>1269</v>
      </c>
      <c r="J73" t="s">
        <v>1273</v>
      </c>
      <c r="K73" t="s">
        <v>1270</v>
      </c>
    </row>
    <row r="74" spans="2:12" x14ac:dyDescent="0.3">
      <c r="B74" s="193">
        <v>42459</v>
      </c>
      <c r="C74" s="203">
        <v>0.5</v>
      </c>
      <c r="D74">
        <f t="shared" si="11"/>
        <v>36.5</v>
      </c>
      <c r="E74">
        <v>1.5</v>
      </c>
      <c r="F74">
        <f t="shared" si="9"/>
        <v>89.5</v>
      </c>
      <c r="G74">
        <f t="shared" si="10"/>
        <v>126</v>
      </c>
      <c r="J74" t="s">
        <v>1273</v>
      </c>
      <c r="K74" t="s">
        <v>1271</v>
      </c>
      <c r="L74" t="s">
        <v>1274</v>
      </c>
    </row>
    <row r="75" spans="2:12" x14ac:dyDescent="0.3">
      <c r="B75" s="193">
        <v>42460</v>
      </c>
      <c r="C75" s="203">
        <v>2.5</v>
      </c>
      <c r="D75">
        <f t="shared" si="11"/>
        <v>39</v>
      </c>
      <c r="E75">
        <v>1.5</v>
      </c>
      <c r="F75">
        <f t="shared" si="9"/>
        <v>91</v>
      </c>
      <c r="G75">
        <f t="shared" si="10"/>
        <v>130</v>
      </c>
      <c r="I75" t="s">
        <v>1269</v>
      </c>
      <c r="J75" t="s">
        <v>1277</v>
      </c>
      <c r="K75" t="s">
        <v>1270</v>
      </c>
    </row>
    <row r="76" spans="2:12" x14ac:dyDescent="0.3">
      <c r="B76" s="193">
        <v>42461</v>
      </c>
      <c r="C76" s="203">
        <v>1.5</v>
      </c>
      <c r="D76">
        <f t="shared" si="11"/>
        <v>40.5</v>
      </c>
      <c r="E76">
        <v>1.5</v>
      </c>
      <c r="F76">
        <f t="shared" si="9"/>
        <v>92.5</v>
      </c>
      <c r="G76">
        <f t="shared" si="10"/>
        <v>133</v>
      </c>
      <c r="J76" t="s">
        <v>1277</v>
      </c>
    </row>
    <row r="77" spans="2:12" ht="15" thickBot="1" x14ac:dyDescent="0.35">
      <c r="B77" s="193"/>
      <c r="C77" s="204"/>
      <c r="D77">
        <f t="shared" si="11"/>
        <v>40.5</v>
      </c>
      <c r="E77">
        <v>4</v>
      </c>
      <c r="F77">
        <f t="shared" si="9"/>
        <v>96.5</v>
      </c>
      <c r="G77">
        <f t="shared" si="10"/>
        <v>137</v>
      </c>
    </row>
    <row r="78" spans="2:12" x14ac:dyDescent="0.3">
      <c r="B78" s="195">
        <v>42464</v>
      </c>
      <c r="C78" s="202">
        <v>1.5</v>
      </c>
      <c r="D78">
        <f t="shared" si="11"/>
        <v>42</v>
      </c>
      <c r="E78">
        <v>1.5</v>
      </c>
      <c r="F78">
        <f t="shared" si="9"/>
        <v>98</v>
      </c>
      <c r="G78">
        <f t="shared" si="10"/>
        <v>140</v>
      </c>
      <c r="I78" t="s">
        <v>1269</v>
      </c>
      <c r="J78" t="s">
        <v>1273</v>
      </c>
      <c r="K78" t="s">
        <v>1279</v>
      </c>
      <c r="L78" t="s">
        <v>1382</v>
      </c>
    </row>
    <row r="79" spans="2:12" x14ac:dyDescent="0.3">
      <c r="B79" s="193">
        <v>42465</v>
      </c>
      <c r="C79" s="203">
        <f>VLOOKUP(B79,Stats!$D$29:$O$130,12,FALSE)</f>
        <v>2</v>
      </c>
      <c r="D79">
        <f t="shared" si="11"/>
        <v>44</v>
      </c>
      <c r="E79">
        <v>1.5</v>
      </c>
      <c r="F79">
        <f t="shared" si="9"/>
        <v>99.5</v>
      </c>
      <c r="G79">
        <f t="shared" si="10"/>
        <v>143.5</v>
      </c>
      <c r="I79" t="s">
        <v>1269</v>
      </c>
      <c r="K79" t="s">
        <v>1383</v>
      </c>
    </row>
    <row r="80" spans="2:12" x14ac:dyDescent="0.3">
      <c r="B80" s="193">
        <v>42466</v>
      </c>
      <c r="C80" s="203">
        <v>1</v>
      </c>
      <c r="D80">
        <f t="shared" si="11"/>
        <v>45</v>
      </c>
      <c r="E80">
        <v>1.5</v>
      </c>
      <c r="F80">
        <f t="shared" si="9"/>
        <v>101</v>
      </c>
      <c r="G80">
        <f t="shared" si="10"/>
        <v>146</v>
      </c>
      <c r="I80" t="s">
        <v>1269</v>
      </c>
      <c r="K80" t="s">
        <v>1383</v>
      </c>
      <c r="L80" t="s">
        <v>1382</v>
      </c>
    </row>
    <row r="81" spans="2:12" x14ac:dyDescent="0.3">
      <c r="B81" s="193">
        <v>42467</v>
      </c>
      <c r="C81" s="203"/>
      <c r="D81">
        <f t="shared" si="11"/>
        <v>45</v>
      </c>
      <c r="E81">
        <v>1.5</v>
      </c>
      <c r="F81">
        <f t="shared" si="9"/>
        <v>102.5</v>
      </c>
      <c r="G81">
        <f t="shared" si="10"/>
        <v>147.5</v>
      </c>
      <c r="K81" t="s">
        <v>1404</v>
      </c>
    </row>
    <row r="82" spans="2:12" x14ac:dyDescent="0.3">
      <c r="B82" s="193">
        <v>42468</v>
      </c>
      <c r="C82" s="203">
        <v>3.5</v>
      </c>
      <c r="D82">
        <f t="shared" si="11"/>
        <v>48.5</v>
      </c>
      <c r="E82">
        <v>1.5</v>
      </c>
      <c r="F82">
        <f t="shared" si="9"/>
        <v>104</v>
      </c>
      <c r="G82">
        <f t="shared" si="10"/>
        <v>152.5</v>
      </c>
      <c r="I82" t="s">
        <v>1269</v>
      </c>
    </row>
    <row r="83" spans="2:12" ht="15" thickBot="1" x14ac:dyDescent="0.35">
      <c r="B83" s="193">
        <v>42469</v>
      </c>
      <c r="C83" s="204">
        <v>6</v>
      </c>
      <c r="D83">
        <f t="shared" si="11"/>
        <v>54.5</v>
      </c>
      <c r="E83">
        <v>4</v>
      </c>
      <c r="F83">
        <f t="shared" si="9"/>
        <v>108</v>
      </c>
      <c r="G83">
        <f t="shared" si="10"/>
        <v>162.5</v>
      </c>
    </row>
    <row r="84" spans="2:12" x14ac:dyDescent="0.3">
      <c r="B84" s="195">
        <v>42471</v>
      </c>
      <c r="C84" s="202">
        <v>2.5</v>
      </c>
      <c r="D84">
        <f t="shared" si="11"/>
        <v>57</v>
      </c>
      <c r="E84">
        <v>1.75</v>
      </c>
      <c r="F84">
        <f t="shared" si="9"/>
        <v>109.75</v>
      </c>
      <c r="G84">
        <f t="shared" si="10"/>
        <v>166.75</v>
      </c>
      <c r="I84" t="s">
        <v>1269</v>
      </c>
      <c r="J84" t="s">
        <v>1277</v>
      </c>
      <c r="K84" t="s">
        <v>1435</v>
      </c>
      <c r="L84" t="s">
        <v>1274</v>
      </c>
    </row>
    <row r="85" spans="2:12" x14ac:dyDescent="0.3">
      <c r="B85" s="193">
        <v>42472</v>
      </c>
      <c r="C85" s="203">
        <v>1.5</v>
      </c>
      <c r="D85">
        <f t="shared" si="11"/>
        <v>58.5</v>
      </c>
      <c r="E85">
        <v>1.5</v>
      </c>
      <c r="F85">
        <f t="shared" si="9"/>
        <v>111.25</v>
      </c>
      <c r="G85">
        <f t="shared" si="10"/>
        <v>169.75</v>
      </c>
      <c r="I85" t="s">
        <v>1269</v>
      </c>
      <c r="J85" t="s">
        <v>1273</v>
      </c>
      <c r="K85" t="s">
        <v>1436</v>
      </c>
      <c r="L85" t="s">
        <v>1382</v>
      </c>
    </row>
    <row r="86" spans="2:12" x14ac:dyDescent="0.3">
      <c r="B86" s="193">
        <v>42473</v>
      </c>
      <c r="C86" s="203">
        <v>1.5</v>
      </c>
      <c r="D86">
        <f t="shared" si="11"/>
        <v>60</v>
      </c>
      <c r="E86">
        <v>1.5</v>
      </c>
      <c r="F86">
        <f t="shared" si="9"/>
        <v>112.75</v>
      </c>
      <c r="G86">
        <f t="shared" si="10"/>
        <v>172.75</v>
      </c>
      <c r="I86" t="s">
        <v>1269</v>
      </c>
      <c r="J86" t="s">
        <v>1273</v>
      </c>
      <c r="K86" t="s">
        <v>1436</v>
      </c>
      <c r="L86" t="s">
        <v>1382</v>
      </c>
    </row>
    <row r="87" spans="2:12" x14ac:dyDescent="0.3">
      <c r="B87" s="193">
        <v>42474</v>
      </c>
      <c r="C87" s="203">
        <v>1.5</v>
      </c>
      <c r="D87">
        <f t="shared" si="11"/>
        <v>61.5</v>
      </c>
      <c r="E87">
        <v>1.5</v>
      </c>
      <c r="F87">
        <f t="shared" si="9"/>
        <v>114.25</v>
      </c>
      <c r="G87">
        <f t="shared" si="10"/>
        <v>175.75</v>
      </c>
      <c r="I87" t="s">
        <v>1269</v>
      </c>
      <c r="J87" t="s">
        <v>1273</v>
      </c>
      <c r="K87" t="s">
        <v>1436</v>
      </c>
      <c r="L87" t="s">
        <v>1382</v>
      </c>
    </row>
    <row r="88" spans="2:12" x14ac:dyDescent="0.3">
      <c r="B88" s="193">
        <v>42475</v>
      </c>
      <c r="C88" s="203">
        <v>3.5</v>
      </c>
      <c r="D88">
        <f t="shared" si="11"/>
        <v>65</v>
      </c>
      <c r="E88">
        <v>1.5</v>
      </c>
      <c r="F88">
        <f t="shared" si="9"/>
        <v>115.75</v>
      </c>
      <c r="G88">
        <f t="shared" si="10"/>
        <v>180.75</v>
      </c>
    </row>
    <row r="89" spans="2:12" ht="15" thickBot="1" x14ac:dyDescent="0.35">
      <c r="B89" s="193"/>
      <c r="C89" s="204"/>
      <c r="D89">
        <f t="shared" si="11"/>
        <v>65</v>
      </c>
      <c r="E89">
        <v>4</v>
      </c>
      <c r="F89">
        <f t="shared" si="9"/>
        <v>119.75</v>
      </c>
      <c r="G89">
        <f t="shared" si="10"/>
        <v>184.75</v>
      </c>
    </row>
    <row r="90" spans="2:12" x14ac:dyDescent="0.3">
      <c r="B90" s="195">
        <v>42478</v>
      </c>
      <c r="C90" s="202">
        <v>1.5</v>
      </c>
      <c r="D90">
        <f t="shared" si="11"/>
        <v>66.5</v>
      </c>
      <c r="E90">
        <v>1.5</v>
      </c>
      <c r="F90">
        <f t="shared" si="9"/>
        <v>121.25</v>
      </c>
      <c r="G90">
        <f t="shared" si="10"/>
        <v>187.75</v>
      </c>
      <c r="I90" t="s">
        <v>1269</v>
      </c>
      <c r="J90" t="s">
        <v>1273</v>
      </c>
    </row>
    <row r="91" spans="2:12" x14ac:dyDescent="0.3">
      <c r="B91" s="193">
        <v>42479</v>
      </c>
      <c r="C91" s="203">
        <v>1.5</v>
      </c>
      <c r="D91">
        <f t="shared" si="11"/>
        <v>68</v>
      </c>
      <c r="E91">
        <v>1.5</v>
      </c>
      <c r="F91">
        <f t="shared" si="9"/>
        <v>122.75</v>
      </c>
      <c r="G91">
        <f t="shared" si="10"/>
        <v>190.75</v>
      </c>
      <c r="I91" t="s">
        <v>1269</v>
      </c>
      <c r="J91" t="s">
        <v>1273</v>
      </c>
    </row>
    <row r="92" spans="2:12" x14ac:dyDescent="0.3">
      <c r="B92" s="193">
        <v>42480</v>
      </c>
      <c r="C92" s="203">
        <v>1.5</v>
      </c>
      <c r="D92">
        <f t="shared" si="11"/>
        <v>69.5</v>
      </c>
      <c r="E92">
        <v>1.5</v>
      </c>
      <c r="F92">
        <f t="shared" si="9"/>
        <v>124.25</v>
      </c>
      <c r="G92">
        <f t="shared" si="10"/>
        <v>193.75</v>
      </c>
      <c r="I92" t="s">
        <v>1269</v>
      </c>
      <c r="J92" t="s">
        <v>1273</v>
      </c>
    </row>
    <row r="93" spans="2:12" x14ac:dyDescent="0.3">
      <c r="B93" s="193">
        <v>42481</v>
      </c>
      <c r="C93" s="203">
        <v>1.5</v>
      </c>
      <c r="D93">
        <f t="shared" si="11"/>
        <v>71</v>
      </c>
      <c r="E93">
        <v>1.5</v>
      </c>
      <c r="F93">
        <f t="shared" si="9"/>
        <v>125.75</v>
      </c>
      <c r="G93">
        <f t="shared" si="10"/>
        <v>196.75</v>
      </c>
      <c r="I93" t="s">
        <v>1269</v>
      </c>
      <c r="J93" t="s">
        <v>1273</v>
      </c>
    </row>
    <row r="94" spans="2:12" x14ac:dyDescent="0.3">
      <c r="B94" s="193">
        <v>42482</v>
      </c>
      <c r="C94" s="203">
        <v>7.5</v>
      </c>
      <c r="D94">
        <f t="shared" si="11"/>
        <v>78.5</v>
      </c>
      <c r="E94">
        <v>1.5</v>
      </c>
      <c r="F94">
        <f t="shared" si="9"/>
        <v>127.25</v>
      </c>
      <c r="G94">
        <f t="shared" si="10"/>
        <v>205.75</v>
      </c>
    </row>
    <row r="95" spans="2:12" ht="15" thickBot="1" x14ac:dyDescent="0.35">
      <c r="B95" s="197"/>
      <c r="C95" s="204"/>
      <c r="D95">
        <f t="shared" si="11"/>
        <v>78.5</v>
      </c>
      <c r="E95">
        <v>4</v>
      </c>
      <c r="F95">
        <f t="shared" ref="F95:F104" si="12">E95+F94</f>
        <v>131.25</v>
      </c>
      <c r="G95">
        <f t="shared" ref="G95:G104" si="13">D95+F95</f>
        <v>209.75</v>
      </c>
    </row>
    <row r="96" spans="2:12" x14ac:dyDescent="0.3">
      <c r="B96" s="195">
        <v>42485</v>
      </c>
      <c r="C96" s="202">
        <v>2.5</v>
      </c>
      <c r="D96">
        <f t="shared" si="11"/>
        <v>81</v>
      </c>
      <c r="E96">
        <v>1.5</v>
      </c>
      <c r="F96">
        <f t="shared" si="12"/>
        <v>132.75</v>
      </c>
      <c r="G96">
        <f t="shared" si="13"/>
        <v>213.75</v>
      </c>
      <c r="I96" t="s">
        <v>1269</v>
      </c>
      <c r="J96" t="s">
        <v>1508</v>
      </c>
    </row>
    <row r="97" spans="2:10" x14ac:dyDescent="0.3">
      <c r="B97" s="193">
        <v>42486</v>
      </c>
      <c r="C97" s="203">
        <v>3.5</v>
      </c>
      <c r="D97">
        <f t="shared" si="11"/>
        <v>84.5</v>
      </c>
      <c r="E97">
        <v>1.5</v>
      </c>
      <c r="F97">
        <f t="shared" si="12"/>
        <v>134.25</v>
      </c>
      <c r="G97">
        <f t="shared" si="13"/>
        <v>218.75</v>
      </c>
      <c r="I97" t="s">
        <v>1269</v>
      </c>
      <c r="J97" t="s">
        <v>1273</v>
      </c>
    </row>
    <row r="98" spans="2:10" x14ac:dyDescent="0.3">
      <c r="B98" s="193">
        <v>42487</v>
      </c>
      <c r="C98" s="203">
        <v>3.5</v>
      </c>
      <c r="D98">
        <f t="shared" si="11"/>
        <v>88</v>
      </c>
      <c r="E98">
        <v>1.5</v>
      </c>
      <c r="F98">
        <f t="shared" si="12"/>
        <v>135.75</v>
      </c>
      <c r="G98">
        <f t="shared" si="13"/>
        <v>223.75</v>
      </c>
      <c r="I98" t="s">
        <v>1269</v>
      </c>
      <c r="J98" t="s">
        <v>1273</v>
      </c>
    </row>
    <row r="99" spans="2:10" x14ac:dyDescent="0.3">
      <c r="B99" s="193">
        <v>42488</v>
      </c>
      <c r="C99" s="203">
        <v>3.5</v>
      </c>
      <c r="D99">
        <f t="shared" si="11"/>
        <v>91.5</v>
      </c>
      <c r="E99">
        <v>1.5</v>
      </c>
      <c r="F99">
        <f t="shared" si="12"/>
        <v>137.25</v>
      </c>
      <c r="G99">
        <f t="shared" si="13"/>
        <v>228.75</v>
      </c>
      <c r="I99" t="s">
        <v>1269</v>
      </c>
      <c r="J99" t="s">
        <v>1273</v>
      </c>
    </row>
    <row r="100" spans="2:10" x14ac:dyDescent="0.3">
      <c r="B100" s="193">
        <v>42489</v>
      </c>
      <c r="C100" s="203">
        <f>VLOOKUP(B100,Stats!$D$29:$O$130,12,FALSE)</f>
        <v>7.5</v>
      </c>
      <c r="D100">
        <f t="shared" si="11"/>
        <v>99</v>
      </c>
      <c r="E100">
        <v>1.5</v>
      </c>
      <c r="F100">
        <f t="shared" si="12"/>
        <v>138.75</v>
      </c>
      <c r="G100">
        <f t="shared" si="13"/>
        <v>237.75</v>
      </c>
    </row>
    <row r="101" spans="2:10" ht="15" thickBot="1" x14ac:dyDescent="0.35">
      <c r="B101" s="197"/>
      <c r="C101" s="204"/>
      <c r="D101">
        <f t="shared" si="11"/>
        <v>99</v>
      </c>
      <c r="E101">
        <v>4</v>
      </c>
      <c r="F101">
        <f t="shared" si="12"/>
        <v>142.75</v>
      </c>
      <c r="G101">
        <f t="shared" si="13"/>
        <v>241.75</v>
      </c>
    </row>
    <row r="102" spans="2:10" x14ac:dyDescent="0.3">
      <c r="B102" s="195">
        <v>42492</v>
      </c>
      <c r="C102" s="194">
        <f>VLOOKUP(B102,Stats!$D$29:$O$130,12,FALSE)</f>
        <v>7.5</v>
      </c>
      <c r="D102">
        <f t="shared" si="11"/>
        <v>106.5</v>
      </c>
      <c r="F102">
        <f t="shared" si="12"/>
        <v>142.75</v>
      </c>
      <c r="G102">
        <f t="shared" si="13"/>
        <v>249.25</v>
      </c>
    </row>
    <row r="103" spans="2:10" x14ac:dyDescent="0.3">
      <c r="B103" s="193">
        <v>42493</v>
      </c>
      <c r="C103" s="194">
        <f>VLOOKUP(B103,Stats!$D$29:$O$130,12,FALSE)</f>
        <v>7.5</v>
      </c>
      <c r="D103">
        <f>C103+D102</f>
        <v>114</v>
      </c>
      <c r="F103">
        <f t="shared" si="12"/>
        <v>142.75</v>
      </c>
      <c r="G103">
        <f t="shared" si="13"/>
        <v>256.75</v>
      </c>
    </row>
    <row r="104" spans="2:10" x14ac:dyDescent="0.3">
      <c r="B104" s="198">
        <v>42494</v>
      </c>
      <c r="C104" s="199">
        <f>VLOOKUP(B104,Stats!$D$29:$O$130,12,FALSE)</f>
        <v>0</v>
      </c>
      <c r="D104">
        <f>C104+D103</f>
        <v>114</v>
      </c>
      <c r="F104">
        <f t="shared" si="12"/>
        <v>142.75</v>
      </c>
      <c r="G104">
        <f t="shared" si="13"/>
        <v>256.75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AB35"/>
  <sheetViews>
    <sheetView topLeftCell="A13" workbookViewId="0">
      <selection activeCell="L30" sqref="L30"/>
    </sheetView>
  </sheetViews>
  <sheetFormatPr defaultRowHeight="14.4" x14ac:dyDescent="0.3"/>
  <cols>
    <col min="10" max="10" width="5.5546875" bestFit="1" customWidth="1"/>
  </cols>
  <sheetData>
    <row r="1" spans="2:28" x14ac:dyDescent="0.3">
      <c r="D1" t="s">
        <v>1501</v>
      </c>
      <c r="E1" t="s">
        <v>1502</v>
      </c>
      <c r="F1" t="s">
        <v>1503</v>
      </c>
      <c r="G1" t="s">
        <v>1504</v>
      </c>
      <c r="H1" t="s">
        <v>1505</v>
      </c>
      <c r="N1" t="s">
        <v>1501</v>
      </c>
      <c r="O1" t="s">
        <v>1502</v>
      </c>
      <c r="P1" t="s">
        <v>1503</v>
      </c>
      <c r="Q1" t="s">
        <v>1504</v>
      </c>
      <c r="R1" t="s">
        <v>1505</v>
      </c>
      <c r="W1" t="s">
        <v>1501</v>
      </c>
      <c r="X1" t="s">
        <v>1502</v>
      </c>
      <c r="Y1" t="s">
        <v>1503</v>
      </c>
      <c r="Z1" t="s">
        <v>1504</v>
      </c>
      <c r="AA1" t="s">
        <v>1505</v>
      </c>
    </row>
    <row r="2" spans="2:28" x14ac:dyDescent="0.3">
      <c r="B2" t="s">
        <v>792</v>
      </c>
      <c r="C2">
        <v>1</v>
      </c>
      <c r="D2">
        <v>0.5</v>
      </c>
      <c r="E2">
        <v>0.75</v>
      </c>
      <c r="F2">
        <v>1</v>
      </c>
      <c r="I2">
        <f>SUM(D2:H2)</f>
        <v>2.25</v>
      </c>
      <c r="L2" t="s">
        <v>792</v>
      </c>
      <c r="M2">
        <v>1</v>
      </c>
      <c r="N2">
        <v>0.5</v>
      </c>
      <c r="O2">
        <v>0.25</v>
      </c>
      <c r="P2">
        <v>1</v>
      </c>
      <c r="S2">
        <f>SUM(N2:R2)</f>
        <v>1.75</v>
      </c>
      <c r="V2">
        <v>1</v>
      </c>
      <c r="W2">
        <v>0.5</v>
      </c>
      <c r="X2">
        <v>0.75</v>
      </c>
      <c r="Y2">
        <v>1</v>
      </c>
      <c r="AB2">
        <f>SUM(W2:AA2)</f>
        <v>2.25</v>
      </c>
    </row>
    <row r="3" spans="2:28" x14ac:dyDescent="0.3">
      <c r="B3" t="s">
        <v>792</v>
      </c>
      <c r="C3">
        <v>2</v>
      </c>
      <c r="D3">
        <v>0.5</v>
      </c>
      <c r="E3">
        <v>1.5</v>
      </c>
      <c r="I3">
        <f t="shared" ref="I3:I28" si="0">SUM(D3:H3)</f>
        <v>2</v>
      </c>
      <c r="L3" t="s">
        <v>792</v>
      </c>
      <c r="M3">
        <v>2</v>
      </c>
      <c r="N3">
        <v>0.25</v>
      </c>
      <c r="O3">
        <v>0.25</v>
      </c>
      <c r="S3">
        <f t="shared" ref="S3:S28" si="1">SUM(N3:R3)</f>
        <v>0.5</v>
      </c>
      <c r="V3">
        <v>2</v>
      </c>
      <c r="W3">
        <v>0.5</v>
      </c>
      <c r="X3">
        <v>0.5</v>
      </c>
      <c r="AB3">
        <f t="shared" ref="AB3:AB28" si="2">SUM(W3:AA3)</f>
        <v>1</v>
      </c>
    </row>
    <row r="4" spans="2:28" x14ac:dyDescent="0.3">
      <c r="B4" t="s">
        <v>792</v>
      </c>
      <c r="C4">
        <v>3</v>
      </c>
      <c r="D4">
        <v>0.25</v>
      </c>
      <c r="E4">
        <v>0.25</v>
      </c>
      <c r="F4">
        <v>0.5</v>
      </c>
      <c r="G4">
        <v>0.5</v>
      </c>
      <c r="I4">
        <f t="shared" si="0"/>
        <v>1.5</v>
      </c>
      <c r="L4" t="s">
        <v>792</v>
      </c>
      <c r="M4">
        <v>3</v>
      </c>
      <c r="N4">
        <v>0.25</v>
      </c>
      <c r="O4">
        <v>0.25</v>
      </c>
      <c r="P4">
        <v>0.25</v>
      </c>
      <c r="Q4">
        <v>0.5</v>
      </c>
      <c r="S4">
        <f t="shared" si="1"/>
        <v>1.25</v>
      </c>
      <c r="V4">
        <v>3</v>
      </c>
      <c r="W4">
        <v>0.25</v>
      </c>
      <c r="X4">
        <v>0.25</v>
      </c>
      <c r="Y4">
        <v>0.5</v>
      </c>
      <c r="Z4">
        <v>0.5</v>
      </c>
      <c r="AB4">
        <f t="shared" si="2"/>
        <v>1.5</v>
      </c>
    </row>
    <row r="5" spans="2:28" x14ac:dyDescent="0.3">
      <c r="B5" t="s">
        <v>792</v>
      </c>
      <c r="C5">
        <v>4</v>
      </c>
      <c r="D5">
        <v>1.5</v>
      </c>
      <c r="E5">
        <v>1.25</v>
      </c>
      <c r="I5">
        <f t="shared" si="0"/>
        <v>2.75</v>
      </c>
      <c r="L5" t="s">
        <v>792</v>
      </c>
      <c r="M5">
        <v>4</v>
      </c>
      <c r="N5">
        <v>1.5</v>
      </c>
      <c r="O5">
        <v>0</v>
      </c>
      <c r="S5">
        <f t="shared" si="1"/>
        <v>1.5</v>
      </c>
      <c r="V5">
        <v>4</v>
      </c>
      <c r="W5">
        <v>1.5</v>
      </c>
      <c r="X5">
        <v>0</v>
      </c>
      <c r="AB5">
        <f t="shared" si="2"/>
        <v>1.5</v>
      </c>
    </row>
    <row r="6" spans="2:28" x14ac:dyDescent="0.3">
      <c r="B6" t="s">
        <v>792</v>
      </c>
      <c r="C6">
        <v>5</v>
      </c>
      <c r="D6">
        <v>1</v>
      </c>
      <c r="E6">
        <v>0.25</v>
      </c>
      <c r="F6">
        <v>0.25</v>
      </c>
      <c r="I6">
        <f t="shared" si="0"/>
        <v>1.5</v>
      </c>
      <c r="L6" t="s">
        <v>792</v>
      </c>
      <c r="M6">
        <v>5</v>
      </c>
      <c r="N6">
        <v>1</v>
      </c>
      <c r="O6">
        <v>0.25</v>
      </c>
      <c r="P6">
        <v>0</v>
      </c>
      <c r="S6">
        <f t="shared" si="1"/>
        <v>1.25</v>
      </c>
      <c r="V6">
        <v>5</v>
      </c>
      <c r="W6">
        <v>1</v>
      </c>
      <c r="X6">
        <v>0.25</v>
      </c>
      <c r="Y6">
        <v>0.25</v>
      </c>
      <c r="AB6">
        <f t="shared" si="2"/>
        <v>1.5</v>
      </c>
    </row>
    <row r="7" spans="2:28" x14ac:dyDescent="0.3">
      <c r="B7" t="s">
        <v>792</v>
      </c>
      <c r="C7">
        <v>6</v>
      </c>
      <c r="D7">
        <v>1.25</v>
      </c>
      <c r="E7">
        <v>1</v>
      </c>
      <c r="I7">
        <f t="shared" si="0"/>
        <v>2.25</v>
      </c>
      <c r="L7" t="s">
        <v>792</v>
      </c>
      <c r="M7">
        <v>6</v>
      </c>
      <c r="N7">
        <v>0.75</v>
      </c>
      <c r="O7">
        <v>1</v>
      </c>
      <c r="S7">
        <f t="shared" si="1"/>
        <v>1.75</v>
      </c>
      <c r="V7">
        <v>6</v>
      </c>
      <c r="W7">
        <v>1.25</v>
      </c>
      <c r="X7">
        <v>1</v>
      </c>
      <c r="AB7">
        <f t="shared" si="2"/>
        <v>2.25</v>
      </c>
    </row>
    <row r="8" spans="2:28" x14ac:dyDescent="0.3">
      <c r="B8" t="s">
        <v>792</v>
      </c>
      <c r="C8">
        <v>7</v>
      </c>
      <c r="D8">
        <v>1.25</v>
      </c>
      <c r="I8">
        <f t="shared" si="0"/>
        <v>1.25</v>
      </c>
      <c r="L8" t="s">
        <v>792</v>
      </c>
      <c r="M8">
        <v>7</v>
      </c>
      <c r="N8">
        <v>0</v>
      </c>
      <c r="S8">
        <f t="shared" si="1"/>
        <v>0</v>
      </c>
      <c r="V8">
        <v>7</v>
      </c>
      <c r="W8">
        <v>0</v>
      </c>
      <c r="X8">
        <v>0</v>
      </c>
      <c r="AB8">
        <f t="shared" si="2"/>
        <v>0</v>
      </c>
    </row>
    <row r="9" spans="2:28" x14ac:dyDescent="0.3">
      <c r="B9" t="s">
        <v>793</v>
      </c>
      <c r="C9">
        <v>8</v>
      </c>
      <c r="D9">
        <v>2.75</v>
      </c>
      <c r="I9">
        <f t="shared" si="0"/>
        <v>2.75</v>
      </c>
      <c r="L9" t="s">
        <v>793</v>
      </c>
      <c r="M9">
        <v>8</v>
      </c>
      <c r="N9">
        <v>2.75</v>
      </c>
      <c r="S9">
        <f t="shared" si="1"/>
        <v>2.75</v>
      </c>
      <c r="V9">
        <v>8</v>
      </c>
      <c r="W9">
        <v>2.75</v>
      </c>
      <c r="AB9">
        <f t="shared" si="2"/>
        <v>2.75</v>
      </c>
    </row>
    <row r="10" spans="2:28" x14ac:dyDescent="0.3">
      <c r="B10" t="s">
        <v>793</v>
      </c>
      <c r="C10">
        <v>9</v>
      </c>
      <c r="D10">
        <v>2</v>
      </c>
      <c r="I10">
        <f t="shared" si="0"/>
        <v>2</v>
      </c>
      <c r="L10" t="s">
        <v>793</v>
      </c>
      <c r="M10">
        <v>9</v>
      </c>
      <c r="N10">
        <v>2</v>
      </c>
      <c r="S10">
        <f t="shared" si="1"/>
        <v>2</v>
      </c>
      <c r="V10">
        <v>9</v>
      </c>
      <c r="W10">
        <v>2</v>
      </c>
      <c r="AB10">
        <f t="shared" si="2"/>
        <v>2</v>
      </c>
    </row>
    <row r="11" spans="2:28" x14ac:dyDescent="0.3">
      <c r="B11" t="s">
        <v>793</v>
      </c>
      <c r="C11">
        <v>10</v>
      </c>
      <c r="D11">
        <v>1.25</v>
      </c>
      <c r="E11">
        <v>1</v>
      </c>
      <c r="I11">
        <f t="shared" si="0"/>
        <v>2.25</v>
      </c>
      <c r="L11" t="s">
        <v>793</v>
      </c>
      <c r="M11">
        <v>10</v>
      </c>
      <c r="N11">
        <v>0.75</v>
      </c>
      <c r="O11">
        <v>0.5</v>
      </c>
      <c r="S11">
        <f t="shared" si="1"/>
        <v>1.25</v>
      </c>
      <c r="V11">
        <v>10</v>
      </c>
      <c r="W11">
        <v>0.75</v>
      </c>
      <c r="X11">
        <v>0.5</v>
      </c>
      <c r="AB11">
        <f t="shared" si="2"/>
        <v>1.25</v>
      </c>
    </row>
    <row r="12" spans="2:28" x14ac:dyDescent="0.3">
      <c r="B12" t="s">
        <v>793</v>
      </c>
      <c r="C12">
        <v>11</v>
      </c>
      <c r="D12">
        <v>0.5</v>
      </c>
      <c r="E12">
        <v>1</v>
      </c>
      <c r="F12">
        <v>0.75</v>
      </c>
      <c r="I12">
        <f t="shared" si="0"/>
        <v>2.25</v>
      </c>
      <c r="L12" t="s">
        <v>793</v>
      </c>
      <c r="M12">
        <v>11</v>
      </c>
      <c r="N12">
        <v>0.5</v>
      </c>
      <c r="O12">
        <v>1</v>
      </c>
      <c r="P12">
        <v>0.75</v>
      </c>
      <c r="S12">
        <f t="shared" si="1"/>
        <v>2.25</v>
      </c>
      <c r="V12">
        <v>11</v>
      </c>
      <c r="W12">
        <v>0.5</v>
      </c>
      <c r="X12">
        <v>1</v>
      </c>
      <c r="Y12">
        <v>0.75</v>
      </c>
      <c r="AB12">
        <f t="shared" si="2"/>
        <v>2.25</v>
      </c>
    </row>
    <row r="13" spans="2:28" x14ac:dyDescent="0.3">
      <c r="B13" t="s">
        <v>793</v>
      </c>
      <c r="C13">
        <v>12</v>
      </c>
      <c r="D13">
        <v>1</v>
      </c>
      <c r="E13">
        <v>1</v>
      </c>
      <c r="I13">
        <f t="shared" si="0"/>
        <v>2</v>
      </c>
      <c r="L13" t="s">
        <v>793</v>
      </c>
      <c r="M13">
        <v>12</v>
      </c>
      <c r="N13">
        <v>0.5</v>
      </c>
      <c r="O13">
        <v>1</v>
      </c>
      <c r="S13">
        <f t="shared" si="1"/>
        <v>1.5</v>
      </c>
      <c r="V13">
        <v>12</v>
      </c>
      <c r="W13">
        <v>0.5</v>
      </c>
      <c r="X13">
        <v>1</v>
      </c>
      <c r="AB13">
        <f t="shared" si="2"/>
        <v>1.5</v>
      </c>
    </row>
    <row r="14" spans="2:28" x14ac:dyDescent="0.3">
      <c r="B14" t="s">
        <v>794</v>
      </c>
      <c r="C14">
        <v>13</v>
      </c>
      <c r="D14">
        <v>1</v>
      </c>
      <c r="E14">
        <v>1</v>
      </c>
      <c r="I14">
        <f t="shared" si="0"/>
        <v>2</v>
      </c>
      <c r="L14" t="s">
        <v>794</v>
      </c>
      <c r="M14">
        <v>13</v>
      </c>
      <c r="N14">
        <v>1</v>
      </c>
      <c r="O14">
        <v>0.75</v>
      </c>
      <c r="S14">
        <f t="shared" si="1"/>
        <v>1.75</v>
      </c>
      <c r="V14">
        <v>13</v>
      </c>
      <c r="W14">
        <v>1</v>
      </c>
      <c r="X14">
        <v>0.75</v>
      </c>
      <c r="AB14">
        <f t="shared" si="2"/>
        <v>1.75</v>
      </c>
    </row>
    <row r="15" spans="2:28" x14ac:dyDescent="0.3">
      <c r="B15" t="s">
        <v>794</v>
      </c>
      <c r="C15">
        <v>14</v>
      </c>
      <c r="D15">
        <v>1.5</v>
      </c>
      <c r="E15">
        <v>1</v>
      </c>
      <c r="F15">
        <v>1</v>
      </c>
      <c r="I15">
        <f t="shared" si="0"/>
        <v>3.5</v>
      </c>
      <c r="L15" t="s">
        <v>794</v>
      </c>
      <c r="M15">
        <v>14</v>
      </c>
      <c r="N15">
        <v>1</v>
      </c>
      <c r="O15">
        <v>0.5</v>
      </c>
      <c r="P15">
        <v>0.5</v>
      </c>
      <c r="S15">
        <f t="shared" si="1"/>
        <v>2</v>
      </c>
      <c r="V15">
        <v>14</v>
      </c>
      <c r="W15">
        <v>1</v>
      </c>
      <c r="X15">
        <v>0.5</v>
      </c>
      <c r="Y15">
        <v>0.5</v>
      </c>
      <c r="AB15">
        <f t="shared" si="2"/>
        <v>2</v>
      </c>
    </row>
    <row r="16" spans="2:28" x14ac:dyDescent="0.3">
      <c r="B16" t="s">
        <v>794</v>
      </c>
      <c r="C16">
        <v>15</v>
      </c>
      <c r="D16">
        <v>2</v>
      </c>
      <c r="I16">
        <f t="shared" si="0"/>
        <v>2</v>
      </c>
      <c r="L16" t="s">
        <v>794</v>
      </c>
      <c r="M16">
        <v>15</v>
      </c>
      <c r="N16">
        <v>2</v>
      </c>
      <c r="S16">
        <f t="shared" si="1"/>
        <v>2</v>
      </c>
      <c r="V16">
        <v>15</v>
      </c>
      <c r="W16">
        <v>2</v>
      </c>
      <c r="AB16">
        <f t="shared" si="2"/>
        <v>2</v>
      </c>
    </row>
    <row r="17" spans="2:28" x14ac:dyDescent="0.3">
      <c r="B17" t="s">
        <v>794</v>
      </c>
      <c r="C17">
        <v>16</v>
      </c>
      <c r="D17">
        <v>2</v>
      </c>
      <c r="I17">
        <f t="shared" si="0"/>
        <v>2</v>
      </c>
      <c r="L17" t="s">
        <v>794</v>
      </c>
      <c r="M17">
        <v>16</v>
      </c>
      <c r="N17">
        <v>2</v>
      </c>
      <c r="S17">
        <f t="shared" si="1"/>
        <v>2</v>
      </c>
      <c r="V17">
        <v>16</v>
      </c>
      <c r="W17">
        <v>2</v>
      </c>
      <c r="AB17">
        <f t="shared" si="2"/>
        <v>2</v>
      </c>
    </row>
    <row r="18" spans="2:28" x14ac:dyDescent="0.3">
      <c r="B18" t="s">
        <v>794</v>
      </c>
      <c r="C18">
        <v>17</v>
      </c>
      <c r="D18">
        <v>1.5</v>
      </c>
      <c r="E18">
        <v>0.75</v>
      </c>
      <c r="I18">
        <f t="shared" si="0"/>
        <v>2.25</v>
      </c>
      <c r="L18" t="s">
        <v>794</v>
      </c>
      <c r="M18">
        <v>17</v>
      </c>
      <c r="N18">
        <v>1.5</v>
      </c>
      <c r="O18">
        <v>0.5</v>
      </c>
      <c r="S18">
        <f t="shared" si="1"/>
        <v>2</v>
      </c>
      <c r="V18">
        <v>17</v>
      </c>
      <c r="W18">
        <v>1.5</v>
      </c>
      <c r="X18">
        <v>0.5</v>
      </c>
      <c r="AB18">
        <f t="shared" si="2"/>
        <v>2</v>
      </c>
    </row>
    <row r="19" spans="2:28" x14ac:dyDescent="0.3">
      <c r="B19" t="s">
        <v>794</v>
      </c>
      <c r="C19">
        <v>18</v>
      </c>
      <c r="D19">
        <v>2.25</v>
      </c>
      <c r="I19">
        <f t="shared" si="0"/>
        <v>2.25</v>
      </c>
      <c r="L19" t="s">
        <v>794</v>
      </c>
      <c r="M19">
        <v>18</v>
      </c>
      <c r="N19">
        <v>1.75</v>
      </c>
      <c r="S19">
        <f t="shared" si="1"/>
        <v>1.75</v>
      </c>
      <c r="V19">
        <v>18</v>
      </c>
      <c r="W19">
        <v>1.75</v>
      </c>
      <c r="AB19">
        <f t="shared" si="2"/>
        <v>1.75</v>
      </c>
    </row>
    <row r="20" spans="2:28" x14ac:dyDescent="0.3">
      <c r="B20" t="s">
        <v>795</v>
      </c>
      <c r="C20">
        <v>19</v>
      </c>
      <c r="D20">
        <v>2.25</v>
      </c>
      <c r="I20">
        <f t="shared" si="0"/>
        <v>2.25</v>
      </c>
      <c r="L20" t="s">
        <v>795</v>
      </c>
      <c r="M20">
        <v>19</v>
      </c>
      <c r="N20">
        <v>1.5</v>
      </c>
      <c r="S20">
        <f t="shared" si="1"/>
        <v>1.5</v>
      </c>
      <c r="V20">
        <v>19</v>
      </c>
      <c r="W20">
        <v>2.25</v>
      </c>
      <c r="AB20">
        <f t="shared" si="2"/>
        <v>2.25</v>
      </c>
    </row>
    <row r="21" spans="2:28" x14ac:dyDescent="0.3">
      <c r="B21" t="s">
        <v>795</v>
      </c>
      <c r="C21">
        <v>20</v>
      </c>
      <c r="D21">
        <v>1</v>
      </c>
      <c r="E21">
        <v>1</v>
      </c>
      <c r="I21">
        <f t="shared" si="0"/>
        <v>2</v>
      </c>
      <c r="L21" t="s">
        <v>795</v>
      </c>
      <c r="M21">
        <v>20</v>
      </c>
      <c r="N21">
        <v>1</v>
      </c>
      <c r="O21">
        <v>0.5</v>
      </c>
      <c r="S21">
        <f t="shared" si="1"/>
        <v>1.5</v>
      </c>
      <c r="V21">
        <v>20</v>
      </c>
      <c r="W21">
        <v>1</v>
      </c>
      <c r="X21">
        <v>0.5</v>
      </c>
      <c r="AB21">
        <f t="shared" si="2"/>
        <v>1.5</v>
      </c>
    </row>
    <row r="22" spans="2:28" x14ac:dyDescent="0.3">
      <c r="B22" t="s">
        <v>795</v>
      </c>
      <c r="C22">
        <v>21</v>
      </c>
      <c r="D22">
        <v>2</v>
      </c>
      <c r="I22">
        <f t="shared" si="0"/>
        <v>2</v>
      </c>
      <c r="L22" t="s">
        <v>795</v>
      </c>
      <c r="M22">
        <v>21</v>
      </c>
      <c r="N22">
        <v>0.5</v>
      </c>
      <c r="S22">
        <f t="shared" si="1"/>
        <v>0.5</v>
      </c>
      <c r="V22">
        <v>21</v>
      </c>
      <c r="W22">
        <v>1</v>
      </c>
      <c r="AB22">
        <f t="shared" si="2"/>
        <v>1</v>
      </c>
    </row>
    <row r="23" spans="2:28" x14ac:dyDescent="0.3">
      <c r="B23" t="s">
        <v>795</v>
      </c>
      <c r="C23">
        <v>22</v>
      </c>
      <c r="D23">
        <v>1</v>
      </c>
      <c r="E23">
        <v>1</v>
      </c>
      <c r="I23">
        <f t="shared" si="0"/>
        <v>2</v>
      </c>
      <c r="L23" t="s">
        <v>795</v>
      </c>
      <c r="M23">
        <v>22</v>
      </c>
      <c r="N23">
        <v>1</v>
      </c>
      <c r="O23">
        <v>0</v>
      </c>
      <c r="S23">
        <f t="shared" si="1"/>
        <v>1</v>
      </c>
      <c r="V23">
        <v>22</v>
      </c>
      <c r="W23">
        <v>1</v>
      </c>
      <c r="X23">
        <v>0.25</v>
      </c>
      <c r="AB23">
        <f t="shared" si="2"/>
        <v>1.25</v>
      </c>
    </row>
    <row r="24" spans="2:28" x14ac:dyDescent="0.3">
      <c r="B24" t="s">
        <v>795</v>
      </c>
      <c r="C24">
        <v>23</v>
      </c>
      <c r="D24">
        <v>0.75</v>
      </c>
      <c r="E24">
        <v>0.75</v>
      </c>
      <c r="F24">
        <v>0.75</v>
      </c>
      <c r="G24">
        <v>0.75</v>
      </c>
      <c r="I24">
        <f t="shared" si="0"/>
        <v>3</v>
      </c>
      <c r="L24" t="s">
        <v>795</v>
      </c>
      <c r="M24">
        <v>23</v>
      </c>
      <c r="N24">
        <v>0.5</v>
      </c>
      <c r="O24">
        <v>0.75</v>
      </c>
      <c r="P24">
        <v>0.25</v>
      </c>
      <c r="Q24">
        <v>0.5</v>
      </c>
      <c r="S24">
        <f t="shared" si="1"/>
        <v>2</v>
      </c>
      <c r="V24">
        <v>23</v>
      </c>
      <c r="W24">
        <v>0.75</v>
      </c>
      <c r="X24">
        <v>0.75</v>
      </c>
      <c r="Y24">
        <v>0.75</v>
      </c>
      <c r="Z24">
        <v>0.5</v>
      </c>
      <c r="AB24">
        <f t="shared" si="2"/>
        <v>2.75</v>
      </c>
    </row>
    <row r="25" spans="2:28" x14ac:dyDescent="0.3">
      <c r="B25" t="s">
        <v>795</v>
      </c>
      <c r="C25">
        <v>24</v>
      </c>
      <c r="D25">
        <v>0.75</v>
      </c>
      <c r="E25">
        <v>0.5</v>
      </c>
      <c r="I25">
        <f t="shared" si="0"/>
        <v>1.25</v>
      </c>
      <c r="L25" t="s">
        <v>795</v>
      </c>
      <c r="M25">
        <v>24</v>
      </c>
      <c r="N25">
        <v>0.5</v>
      </c>
      <c r="O25">
        <v>0.5</v>
      </c>
      <c r="S25">
        <f t="shared" si="1"/>
        <v>1</v>
      </c>
      <c r="V25">
        <v>24</v>
      </c>
      <c r="W25">
        <v>0.75</v>
      </c>
      <c r="X25">
        <v>0.5</v>
      </c>
      <c r="AB25">
        <f t="shared" si="2"/>
        <v>1.25</v>
      </c>
    </row>
    <row r="26" spans="2:28" x14ac:dyDescent="0.3">
      <c r="B26" t="s">
        <v>795</v>
      </c>
      <c r="C26">
        <v>25</v>
      </c>
      <c r="D26">
        <v>0.5</v>
      </c>
      <c r="E26">
        <v>1.5</v>
      </c>
      <c r="I26">
        <f t="shared" si="0"/>
        <v>2</v>
      </c>
      <c r="L26" t="s">
        <v>795</v>
      </c>
      <c r="M26">
        <v>25</v>
      </c>
      <c r="N26">
        <v>0.25</v>
      </c>
      <c r="O26">
        <v>1</v>
      </c>
      <c r="S26">
        <f t="shared" si="1"/>
        <v>1.25</v>
      </c>
      <c r="V26">
        <v>25</v>
      </c>
      <c r="W26">
        <v>0.5</v>
      </c>
      <c r="X26">
        <v>1</v>
      </c>
      <c r="AB26">
        <f t="shared" si="2"/>
        <v>1.5</v>
      </c>
    </row>
    <row r="27" spans="2:28" x14ac:dyDescent="0.3">
      <c r="B27" t="s">
        <v>795</v>
      </c>
      <c r="C27">
        <v>26</v>
      </c>
      <c r="D27">
        <v>1.5</v>
      </c>
      <c r="E27">
        <v>0.75</v>
      </c>
      <c r="F27">
        <v>0.25</v>
      </c>
      <c r="I27">
        <f t="shared" si="0"/>
        <v>2.5</v>
      </c>
      <c r="L27" t="s">
        <v>795</v>
      </c>
      <c r="M27">
        <v>26</v>
      </c>
      <c r="N27">
        <v>1.5</v>
      </c>
      <c r="O27">
        <v>0</v>
      </c>
      <c r="P27">
        <v>0.25</v>
      </c>
      <c r="S27">
        <f t="shared" si="1"/>
        <v>1.75</v>
      </c>
      <c r="V27">
        <v>26</v>
      </c>
      <c r="W27">
        <v>1.5</v>
      </c>
      <c r="X27">
        <v>0.25</v>
      </c>
      <c r="Y27">
        <v>0.25</v>
      </c>
      <c r="AB27">
        <f t="shared" si="2"/>
        <v>2</v>
      </c>
    </row>
    <row r="28" spans="2:28" x14ac:dyDescent="0.3">
      <c r="B28" t="s">
        <v>795</v>
      </c>
      <c r="C28">
        <v>27</v>
      </c>
      <c r="D28">
        <v>0.5</v>
      </c>
      <c r="E28">
        <v>0.5</v>
      </c>
      <c r="F28">
        <v>2</v>
      </c>
      <c r="I28">
        <f t="shared" si="0"/>
        <v>3</v>
      </c>
      <c r="L28" t="s">
        <v>795</v>
      </c>
      <c r="M28">
        <v>27</v>
      </c>
      <c r="N28">
        <v>0.5</v>
      </c>
      <c r="O28">
        <v>0</v>
      </c>
      <c r="P28">
        <v>0</v>
      </c>
      <c r="S28">
        <f t="shared" si="1"/>
        <v>0.5</v>
      </c>
      <c r="V28">
        <v>27</v>
      </c>
      <c r="W28">
        <v>0.5</v>
      </c>
      <c r="X28">
        <v>0.5</v>
      </c>
      <c r="Y28">
        <v>2</v>
      </c>
      <c r="AB28">
        <f t="shared" si="2"/>
        <v>3</v>
      </c>
    </row>
    <row r="31" spans="2:28" x14ac:dyDescent="0.3">
      <c r="H31" t="s">
        <v>792</v>
      </c>
      <c r="I31">
        <f>SUMIF($B$2:$B$28,H31,$I$2:$I$28)</f>
        <v>13.5</v>
      </c>
      <c r="J31">
        <f>SUMIF($L$2:$L$28,H31,$S$2:$S$28)</f>
        <v>8</v>
      </c>
      <c r="K31" s="208">
        <f>J31/I31</f>
        <v>0.59259259259259256</v>
      </c>
      <c r="L31">
        <f>SUMIF($L$2:$L$28,H31,$AB$2:$AB$28)-J31</f>
        <v>2</v>
      </c>
      <c r="M31" s="17">
        <f t="shared" ref="M31:M33" si="3">L31/I31+K31</f>
        <v>0.7407407407407407</v>
      </c>
    </row>
    <row r="32" spans="2:28" x14ac:dyDescent="0.3">
      <c r="H32" t="s">
        <v>793</v>
      </c>
      <c r="I32">
        <f>SUMIF($B$2:$B$28,H32,$I$2:$I$28)</f>
        <v>11.25</v>
      </c>
      <c r="J32">
        <f>SUMIF($L$2:$L$28,H32,$S$2:$S$28)</f>
        <v>9.75</v>
      </c>
      <c r="K32" s="208">
        <f>J32/I32</f>
        <v>0.8666666666666667</v>
      </c>
      <c r="L32">
        <f t="shared" ref="L32:L34" si="4">SUMIF($L$2:$L$28,H32,$AB$2:$AB$28)-J32</f>
        <v>0</v>
      </c>
      <c r="M32" s="17">
        <f t="shared" si="3"/>
        <v>0.8666666666666667</v>
      </c>
    </row>
    <row r="33" spans="8:13" x14ac:dyDescent="0.3">
      <c r="H33" t="s">
        <v>794</v>
      </c>
      <c r="I33">
        <f>SUMIF($B$2:$B$28,H33,$I$2:$I$28)</f>
        <v>14</v>
      </c>
      <c r="J33">
        <f>SUMIF($L$2:$L$28,H33,$S$2:$S$28)</f>
        <v>11.5</v>
      </c>
      <c r="K33" s="208">
        <f>J33/I33</f>
        <v>0.8214285714285714</v>
      </c>
      <c r="L33">
        <f t="shared" si="4"/>
        <v>0</v>
      </c>
      <c r="M33" s="17">
        <f t="shared" si="3"/>
        <v>0.8214285714285714</v>
      </c>
    </row>
    <row r="34" spans="8:13" x14ac:dyDescent="0.3">
      <c r="H34" t="s">
        <v>795</v>
      </c>
      <c r="I34">
        <f>SUMIF($B$2:$B$28,H34,$I$2:$I$28)</f>
        <v>20</v>
      </c>
      <c r="J34">
        <f>SUMIF($L$2:$L$28,H34,$S$2:$S$28)</f>
        <v>11</v>
      </c>
      <c r="K34" s="208">
        <f>J34/I34</f>
        <v>0.55000000000000004</v>
      </c>
      <c r="L34">
        <f t="shared" si="4"/>
        <v>5.5</v>
      </c>
      <c r="M34" s="17">
        <f>L34/I34+K34</f>
        <v>0.82500000000000007</v>
      </c>
    </row>
    <row r="35" spans="8:13" x14ac:dyDescent="0.3">
      <c r="I35">
        <f>SUM(I31:I34)</f>
        <v>58.75</v>
      </c>
      <c r="J35" s="209">
        <f>SUM(J31:J34)</f>
        <v>40.25</v>
      </c>
      <c r="K35" s="208">
        <f>J35/I35</f>
        <v>0.68510638297872339</v>
      </c>
      <c r="L35" s="209">
        <f>SUM(L31:L34)+J35</f>
        <v>47.75</v>
      </c>
      <c r="M35" s="17">
        <f>L35/I35</f>
        <v>0.81276595744680846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AB36"/>
  <sheetViews>
    <sheetView topLeftCell="A6" workbookViewId="0">
      <selection activeCell="N6" sqref="N6"/>
    </sheetView>
  </sheetViews>
  <sheetFormatPr defaultRowHeight="14.4" x14ac:dyDescent="0.3"/>
  <cols>
    <col min="10" max="10" width="5.5546875" bestFit="1" customWidth="1"/>
  </cols>
  <sheetData>
    <row r="1" spans="2:28" x14ac:dyDescent="0.3">
      <c r="D1" t="s">
        <v>1501</v>
      </c>
      <c r="E1" t="s">
        <v>1502</v>
      </c>
      <c r="F1" t="s">
        <v>1503</v>
      </c>
      <c r="G1" t="s">
        <v>1504</v>
      </c>
      <c r="H1" t="s">
        <v>1505</v>
      </c>
      <c r="N1" t="s">
        <v>1501</v>
      </c>
      <c r="O1" t="s">
        <v>1502</v>
      </c>
      <c r="P1" t="s">
        <v>1503</v>
      </c>
      <c r="Q1" t="s">
        <v>1504</v>
      </c>
      <c r="R1" t="s">
        <v>1505</v>
      </c>
      <c r="W1" t="s">
        <v>1501</v>
      </c>
      <c r="X1" t="s">
        <v>1502</v>
      </c>
      <c r="Y1" t="s">
        <v>1503</v>
      </c>
      <c r="Z1" t="s">
        <v>1504</v>
      </c>
      <c r="AA1" t="s">
        <v>1505</v>
      </c>
    </row>
    <row r="2" spans="2:28" x14ac:dyDescent="0.3">
      <c r="B2" t="s">
        <v>792</v>
      </c>
      <c r="C2">
        <v>1</v>
      </c>
      <c r="D2">
        <v>0.75</v>
      </c>
      <c r="E2">
        <v>0.5</v>
      </c>
      <c r="F2">
        <v>0.25</v>
      </c>
      <c r="I2">
        <f>SUM(D2:H2)</f>
        <v>1.5</v>
      </c>
      <c r="L2" t="s">
        <v>792</v>
      </c>
      <c r="M2">
        <v>1</v>
      </c>
      <c r="N2">
        <v>0.75</v>
      </c>
      <c r="O2">
        <v>0.5</v>
      </c>
      <c r="P2">
        <v>0.25</v>
      </c>
      <c r="S2">
        <f>SUM(N2:R2)</f>
        <v>1.5</v>
      </c>
      <c r="V2">
        <v>1</v>
      </c>
      <c r="AB2">
        <f>SUM(W2:AA2)</f>
        <v>0</v>
      </c>
    </row>
    <row r="3" spans="2:28" x14ac:dyDescent="0.3">
      <c r="B3" t="s">
        <v>792</v>
      </c>
      <c r="C3">
        <v>2</v>
      </c>
      <c r="D3">
        <v>1</v>
      </c>
      <c r="I3">
        <f t="shared" ref="I3:I26" si="0">SUM(D3:H3)</f>
        <v>1</v>
      </c>
      <c r="L3" t="s">
        <v>792</v>
      </c>
      <c r="M3">
        <v>2</v>
      </c>
      <c r="N3">
        <v>0.5</v>
      </c>
      <c r="S3">
        <f t="shared" ref="S3:S26" si="1">SUM(N3:R3)</f>
        <v>0.5</v>
      </c>
      <c r="V3">
        <v>2</v>
      </c>
      <c r="AB3">
        <f t="shared" ref="AB3:AB26" si="2">SUM(W3:AA3)</f>
        <v>0</v>
      </c>
    </row>
    <row r="4" spans="2:28" x14ac:dyDescent="0.3">
      <c r="B4" t="s">
        <v>792</v>
      </c>
      <c r="C4">
        <v>3</v>
      </c>
      <c r="D4">
        <v>3.25</v>
      </c>
      <c r="I4">
        <f t="shared" si="0"/>
        <v>3.25</v>
      </c>
      <c r="L4" t="s">
        <v>792</v>
      </c>
      <c r="M4">
        <v>3</v>
      </c>
      <c r="N4">
        <v>1</v>
      </c>
      <c r="S4">
        <f t="shared" si="1"/>
        <v>1</v>
      </c>
      <c r="V4">
        <v>3</v>
      </c>
      <c r="AB4">
        <f t="shared" si="2"/>
        <v>0</v>
      </c>
    </row>
    <row r="5" spans="2:28" x14ac:dyDescent="0.3">
      <c r="B5" t="s">
        <v>792</v>
      </c>
      <c r="C5">
        <v>4</v>
      </c>
      <c r="D5">
        <v>1</v>
      </c>
      <c r="I5">
        <f t="shared" si="0"/>
        <v>1</v>
      </c>
      <c r="L5" t="s">
        <v>792</v>
      </c>
      <c r="M5">
        <v>4</v>
      </c>
      <c r="N5">
        <v>0</v>
      </c>
      <c r="S5">
        <f t="shared" si="1"/>
        <v>0</v>
      </c>
      <c r="V5">
        <v>4</v>
      </c>
      <c r="AB5">
        <f t="shared" si="2"/>
        <v>0</v>
      </c>
    </row>
    <row r="6" spans="2:28" x14ac:dyDescent="0.3">
      <c r="B6" t="s">
        <v>792</v>
      </c>
      <c r="C6">
        <v>5</v>
      </c>
      <c r="D6">
        <v>0.5</v>
      </c>
      <c r="E6">
        <v>0.5</v>
      </c>
      <c r="F6">
        <v>1</v>
      </c>
      <c r="G6">
        <v>0.5</v>
      </c>
      <c r="I6">
        <f t="shared" si="0"/>
        <v>2.5</v>
      </c>
      <c r="L6" t="s">
        <v>792</v>
      </c>
      <c r="M6">
        <v>5</v>
      </c>
      <c r="N6">
        <v>0.5</v>
      </c>
      <c r="O6">
        <v>0.25</v>
      </c>
      <c r="P6">
        <v>0.5</v>
      </c>
      <c r="Q6">
        <v>0.25</v>
      </c>
      <c r="S6">
        <f t="shared" si="1"/>
        <v>1.5</v>
      </c>
      <c r="V6">
        <v>5</v>
      </c>
      <c r="AB6">
        <f t="shared" si="2"/>
        <v>0</v>
      </c>
    </row>
    <row r="7" spans="2:28" x14ac:dyDescent="0.3">
      <c r="B7" t="s">
        <v>793</v>
      </c>
      <c r="C7">
        <v>6</v>
      </c>
      <c r="D7">
        <v>1.5</v>
      </c>
      <c r="I7">
        <f t="shared" si="0"/>
        <v>1.5</v>
      </c>
      <c r="L7" t="s">
        <v>793</v>
      </c>
      <c r="M7">
        <v>6</v>
      </c>
      <c r="N7">
        <v>0.75</v>
      </c>
      <c r="S7">
        <f t="shared" si="1"/>
        <v>0.75</v>
      </c>
      <c r="V7">
        <v>6</v>
      </c>
      <c r="AB7">
        <f t="shared" si="2"/>
        <v>0</v>
      </c>
    </row>
    <row r="8" spans="2:28" x14ac:dyDescent="0.3">
      <c r="B8" t="s">
        <v>793</v>
      </c>
      <c r="C8">
        <v>7</v>
      </c>
      <c r="D8">
        <v>2.5</v>
      </c>
      <c r="I8">
        <f t="shared" si="0"/>
        <v>2.5</v>
      </c>
      <c r="L8" t="s">
        <v>793</v>
      </c>
      <c r="M8">
        <v>7</v>
      </c>
      <c r="N8">
        <v>0</v>
      </c>
      <c r="S8">
        <f t="shared" si="1"/>
        <v>0</v>
      </c>
      <c r="V8">
        <v>7</v>
      </c>
      <c r="AB8">
        <f t="shared" si="2"/>
        <v>0</v>
      </c>
    </row>
    <row r="9" spans="2:28" x14ac:dyDescent="0.3">
      <c r="B9" t="s">
        <v>793</v>
      </c>
      <c r="C9">
        <v>8</v>
      </c>
      <c r="D9">
        <v>3.5</v>
      </c>
      <c r="I9">
        <f t="shared" si="0"/>
        <v>3.5</v>
      </c>
      <c r="L9" t="s">
        <v>793</v>
      </c>
      <c r="M9">
        <v>8</v>
      </c>
      <c r="N9">
        <v>3</v>
      </c>
      <c r="S9">
        <f t="shared" si="1"/>
        <v>3</v>
      </c>
      <c r="V9">
        <v>8</v>
      </c>
      <c r="AB9">
        <f t="shared" si="2"/>
        <v>0</v>
      </c>
    </row>
    <row r="10" spans="2:28" x14ac:dyDescent="0.3">
      <c r="B10" t="s">
        <v>793</v>
      </c>
      <c r="C10">
        <v>9</v>
      </c>
      <c r="D10">
        <v>1.5</v>
      </c>
      <c r="I10">
        <f t="shared" si="0"/>
        <v>1.5</v>
      </c>
      <c r="L10" t="s">
        <v>793</v>
      </c>
      <c r="M10">
        <v>9</v>
      </c>
      <c r="N10">
        <v>1.5</v>
      </c>
      <c r="S10">
        <f t="shared" si="1"/>
        <v>1.5</v>
      </c>
      <c r="V10">
        <v>9</v>
      </c>
      <c r="AB10">
        <f t="shared" si="2"/>
        <v>0</v>
      </c>
    </row>
    <row r="11" spans="2:28" x14ac:dyDescent="0.3">
      <c r="B11" t="s">
        <v>794</v>
      </c>
      <c r="C11">
        <v>10</v>
      </c>
      <c r="D11">
        <v>2.75</v>
      </c>
      <c r="I11">
        <f t="shared" si="0"/>
        <v>2.75</v>
      </c>
      <c r="L11" t="s">
        <v>794</v>
      </c>
      <c r="M11">
        <v>10</v>
      </c>
      <c r="N11">
        <v>2.25</v>
      </c>
      <c r="S11">
        <f t="shared" si="1"/>
        <v>2.25</v>
      </c>
      <c r="V11">
        <v>10</v>
      </c>
      <c r="AB11">
        <f t="shared" si="2"/>
        <v>0</v>
      </c>
    </row>
    <row r="12" spans="2:28" x14ac:dyDescent="0.3">
      <c r="C12">
        <v>11</v>
      </c>
      <c r="I12">
        <f t="shared" si="0"/>
        <v>0</v>
      </c>
      <c r="M12">
        <v>11</v>
      </c>
      <c r="S12">
        <f t="shared" si="1"/>
        <v>0</v>
      </c>
      <c r="V12">
        <v>11</v>
      </c>
      <c r="AB12">
        <f t="shared" si="2"/>
        <v>0</v>
      </c>
    </row>
    <row r="13" spans="2:28" x14ac:dyDescent="0.3">
      <c r="B13" t="s">
        <v>794</v>
      </c>
      <c r="C13">
        <v>12</v>
      </c>
      <c r="D13">
        <v>1</v>
      </c>
      <c r="E13">
        <v>1</v>
      </c>
      <c r="I13">
        <f t="shared" si="0"/>
        <v>2</v>
      </c>
      <c r="L13" t="s">
        <v>794</v>
      </c>
      <c r="M13">
        <v>12</v>
      </c>
      <c r="N13">
        <v>1</v>
      </c>
      <c r="O13">
        <v>0.5</v>
      </c>
      <c r="S13">
        <f t="shared" si="1"/>
        <v>1.5</v>
      </c>
      <c r="V13">
        <v>12</v>
      </c>
      <c r="AB13">
        <f t="shared" si="2"/>
        <v>0</v>
      </c>
    </row>
    <row r="14" spans="2:28" x14ac:dyDescent="0.3">
      <c r="B14" t="s">
        <v>794</v>
      </c>
      <c r="C14">
        <v>13</v>
      </c>
      <c r="D14">
        <v>2.25</v>
      </c>
      <c r="I14">
        <f t="shared" si="0"/>
        <v>2.25</v>
      </c>
      <c r="L14" t="s">
        <v>794</v>
      </c>
      <c r="M14">
        <v>13</v>
      </c>
      <c r="N14">
        <v>1.75</v>
      </c>
      <c r="S14">
        <f t="shared" si="1"/>
        <v>1.75</v>
      </c>
      <c r="V14">
        <v>13</v>
      </c>
      <c r="AB14">
        <f t="shared" si="2"/>
        <v>0</v>
      </c>
    </row>
    <row r="15" spans="2:28" x14ac:dyDescent="0.3">
      <c r="B15" t="s">
        <v>794</v>
      </c>
      <c r="C15">
        <v>14</v>
      </c>
      <c r="D15">
        <v>2.5</v>
      </c>
      <c r="I15">
        <f t="shared" si="0"/>
        <v>2.5</v>
      </c>
      <c r="L15" t="s">
        <v>794</v>
      </c>
      <c r="M15">
        <v>14</v>
      </c>
      <c r="N15">
        <v>2.5</v>
      </c>
      <c r="S15">
        <f t="shared" si="1"/>
        <v>2.5</v>
      </c>
      <c r="V15">
        <v>14</v>
      </c>
      <c r="AB15">
        <f t="shared" si="2"/>
        <v>0</v>
      </c>
    </row>
    <row r="16" spans="2:28" x14ac:dyDescent="0.3">
      <c r="B16" t="s">
        <v>794</v>
      </c>
      <c r="C16">
        <v>15</v>
      </c>
      <c r="D16">
        <v>2</v>
      </c>
      <c r="I16">
        <f t="shared" si="0"/>
        <v>2</v>
      </c>
      <c r="L16" t="s">
        <v>794</v>
      </c>
      <c r="M16">
        <v>15</v>
      </c>
      <c r="N16">
        <v>1.75</v>
      </c>
      <c r="S16">
        <f t="shared" si="1"/>
        <v>1.75</v>
      </c>
      <c r="V16">
        <v>15</v>
      </c>
      <c r="AB16">
        <f t="shared" si="2"/>
        <v>0</v>
      </c>
    </row>
    <row r="17" spans="2:28" x14ac:dyDescent="0.3">
      <c r="B17" t="s">
        <v>794</v>
      </c>
      <c r="C17">
        <v>16</v>
      </c>
      <c r="D17">
        <v>1</v>
      </c>
      <c r="E17">
        <v>0.5</v>
      </c>
      <c r="I17">
        <f t="shared" si="0"/>
        <v>1.5</v>
      </c>
      <c r="L17" t="s">
        <v>794</v>
      </c>
      <c r="M17">
        <v>16</v>
      </c>
      <c r="N17">
        <v>0.5</v>
      </c>
      <c r="O17">
        <v>0.25</v>
      </c>
      <c r="S17">
        <f t="shared" si="1"/>
        <v>0.75</v>
      </c>
      <c r="V17">
        <v>16</v>
      </c>
      <c r="AB17">
        <f t="shared" si="2"/>
        <v>0</v>
      </c>
    </row>
    <row r="18" spans="2:28" x14ac:dyDescent="0.3">
      <c r="B18" t="s">
        <v>795</v>
      </c>
      <c r="C18">
        <v>17</v>
      </c>
      <c r="D18">
        <v>1</v>
      </c>
      <c r="E18">
        <v>0.5</v>
      </c>
      <c r="I18">
        <f t="shared" si="0"/>
        <v>1.5</v>
      </c>
      <c r="L18" t="s">
        <v>795</v>
      </c>
      <c r="M18">
        <v>17</v>
      </c>
      <c r="N18">
        <v>1</v>
      </c>
      <c r="O18">
        <v>0.25</v>
      </c>
      <c r="S18">
        <f t="shared" si="1"/>
        <v>1.25</v>
      </c>
      <c r="V18">
        <v>17</v>
      </c>
      <c r="AB18">
        <f t="shared" si="2"/>
        <v>0</v>
      </c>
    </row>
    <row r="19" spans="2:28" x14ac:dyDescent="0.3">
      <c r="B19" t="s">
        <v>795</v>
      </c>
      <c r="C19">
        <v>18</v>
      </c>
      <c r="D19">
        <v>2.5</v>
      </c>
      <c r="I19">
        <f t="shared" si="0"/>
        <v>2.5</v>
      </c>
      <c r="L19" t="s">
        <v>795</v>
      </c>
      <c r="M19">
        <v>18</v>
      </c>
      <c r="N19">
        <v>1.5</v>
      </c>
      <c r="S19">
        <f t="shared" si="1"/>
        <v>1.5</v>
      </c>
      <c r="V19">
        <v>18</v>
      </c>
      <c r="AB19">
        <f t="shared" si="2"/>
        <v>0</v>
      </c>
    </row>
    <row r="20" spans="2:28" x14ac:dyDescent="0.3">
      <c r="B20" t="s">
        <v>795</v>
      </c>
      <c r="C20">
        <v>19</v>
      </c>
      <c r="D20">
        <v>3</v>
      </c>
      <c r="I20">
        <f t="shared" si="0"/>
        <v>3</v>
      </c>
      <c r="L20" t="s">
        <v>795</v>
      </c>
      <c r="M20">
        <v>19</v>
      </c>
      <c r="N20">
        <v>3</v>
      </c>
      <c r="S20">
        <f t="shared" si="1"/>
        <v>3</v>
      </c>
      <c r="V20">
        <v>19</v>
      </c>
      <c r="AB20">
        <f t="shared" si="2"/>
        <v>0</v>
      </c>
    </row>
    <row r="21" spans="2:28" x14ac:dyDescent="0.3">
      <c r="B21" t="s">
        <v>795</v>
      </c>
      <c r="C21">
        <v>20</v>
      </c>
      <c r="D21">
        <v>1</v>
      </c>
      <c r="E21">
        <v>0.5</v>
      </c>
      <c r="F21">
        <v>0.5</v>
      </c>
      <c r="I21">
        <f t="shared" si="0"/>
        <v>2</v>
      </c>
      <c r="L21" t="s">
        <v>795</v>
      </c>
      <c r="M21">
        <v>20</v>
      </c>
      <c r="N21">
        <v>0.75</v>
      </c>
      <c r="O21">
        <v>0.5</v>
      </c>
      <c r="P21">
        <v>0.5</v>
      </c>
      <c r="S21">
        <f t="shared" si="1"/>
        <v>1.75</v>
      </c>
      <c r="V21">
        <v>20</v>
      </c>
      <c r="AB21">
        <f t="shared" si="2"/>
        <v>0</v>
      </c>
    </row>
    <row r="22" spans="2:28" x14ac:dyDescent="0.3">
      <c r="B22" t="s">
        <v>795</v>
      </c>
      <c r="C22">
        <v>21</v>
      </c>
      <c r="D22">
        <v>2</v>
      </c>
      <c r="E22">
        <v>0.5</v>
      </c>
      <c r="F22">
        <v>0.5</v>
      </c>
      <c r="I22">
        <f t="shared" si="0"/>
        <v>3</v>
      </c>
      <c r="L22" t="s">
        <v>795</v>
      </c>
      <c r="M22">
        <v>21</v>
      </c>
      <c r="N22">
        <v>2</v>
      </c>
      <c r="O22">
        <v>0</v>
      </c>
      <c r="P22">
        <v>0.5</v>
      </c>
      <c r="S22">
        <f t="shared" si="1"/>
        <v>2.5</v>
      </c>
      <c r="V22">
        <v>21</v>
      </c>
      <c r="AB22">
        <f t="shared" si="2"/>
        <v>0</v>
      </c>
    </row>
    <row r="23" spans="2:28" x14ac:dyDescent="0.3">
      <c r="B23" t="s">
        <v>795</v>
      </c>
      <c r="C23">
        <v>22</v>
      </c>
      <c r="D23">
        <v>2.25</v>
      </c>
      <c r="I23">
        <f t="shared" si="0"/>
        <v>2.25</v>
      </c>
      <c r="L23" t="s">
        <v>795</v>
      </c>
      <c r="M23">
        <v>22</v>
      </c>
      <c r="N23">
        <v>1.75</v>
      </c>
      <c r="S23">
        <f t="shared" si="1"/>
        <v>1.75</v>
      </c>
      <c r="V23">
        <v>22</v>
      </c>
      <c r="AB23">
        <f t="shared" si="2"/>
        <v>0</v>
      </c>
    </row>
    <row r="24" spans="2:28" x14ac:dyDescent="0.3">
      <c r="B24" t="s">
        <v>795</v>
      </c>
      <c r="C24">
        <v>23</v>
      </c>
      <c r="D24">
        <v>1</v>
      </c>
      <c r="E24">
        <v>0.5</v>
      </c>
      <c r="F24">
        <v>0.5</v>
      </c>
      <c r="I24">
        <f t="shared" si="0"/>
        <v>2</v>
      </c>
      <c r="L24" t="s">
        <v>795</v>
      </c>
      <c r="M24">
        <v>23</v>
      </c>
      <c r="N24">
        <v>0.75</v>
      </c>
      <c r="O24">
        <v>0.25</v>
      </c>
      <c r="P24">
        <v>0.5</v>
      </c>
      <c r="S24">
        <f t="shared" si="1"/>
        <v>1.5</v>
      </c>
      <c r="V24">
        <v>23</v>
      </c>
      <c r="AB24">
        <f t="shared" si="2"/>
        <v>0</v>
      </c>
    </row>
    <row r="25" spans="2:28" x14ac:dyDescent="0.3">
      <c r="B25" t="s">
        <v>795</v>
      </c>
      <c r="C25">
        <v>24</v>
      </c>
      <c r="D25">
        <v>0.5</v>
      </c>
      <c r="E25">
        <v>0.5</v>
      </c>
      <c r="F25">
        <v>0.5</v>
      </c>
      <c r="I25">
        <f t="shared" si="0"/>
        <v>1.5</v>
      </c>
      <c r="L25" t="s">
        <v>795</v>
      </c>
      <c r="M25">
        <v>24</v>
      </c>
      <c r="N25">
        <v>0.5</v>
      </c>
      <c r="O25">
        <v>0.5</v>
      </c>
      <c r="P25">
        <v>0.25</v>
      </c>
      <c r="S25">
        <f t="shared" si="1"/>
        <v>1.25</v>
      </c>
      <c r="V25">
        <v>24</v>
      </c>
      <c r="AB25">
        <f t="shared" si="2"/>
        <v>0</v>
      </c>
    </row>
    <row r="26" spans="2:28" x14ac:dyDescent="0.3">
      <c r="B26" t="s">
        <v>795</v>
      </c>
      <c r="C26">
        <v>25</v>
      </c>
      <c r="D26">
        <v>1</v>
      </c>
      <c r="E26">
        <v>1</v>
      </c>
      <c r="I26">
        <f t="shared" si="0"/>
        <v>2</v>
      </c>
      <c r="L26" t="s">
        <v>795</v>
      </c>
      <c r="M26">
        <v>25</v>
      </c>
      <c r="N26">
        <v>1</v>
      </c>
      <c r="O26">
        <v>1</v>
      </c>
      <c r="S26">
        <f t="shared" si="1"/>
        <v>2</v>
      </c>
      <c r="V26">
        <v>25</v>
      </c>
      <c r="AB26">
        <f t="shared" si="2"/>
        <v>0</v>
      </c>
    </row>
    <row r="29" spans="2:28" x14ac:dyDescent="0.3">
      <c r="H29" t="s">
        <v>792</v>
      </c>
      <c r="I29">
        <f>SUMIF($B$2:$B$26,H29,$I$2:$I$26)</f>
        <v>9.25</v>
      </c>
      <c r="J29">
        <f>SUMIF($L$2:$L$26,H29,$S$2:$S$26)</f>
        <v>4.5</v>
      </c>
      <c r="K29" s="208">
        <f>J29/I29</f>
        <v>0.48648648648648651</v>
      </c>
      <c r="L29">
        <f>SUMIF($L$2:$L$26,H29,$AB$2:$AB$26)-J29</f>
        <v>-4.5</v>
      </c>
      <c r="M29" s="17">
        <f t="shared" ref="M29:M31" si="3">L29/I29+K29</f>
        <v>0</v>
      </c>
    </row>
    <row r="30" spans="2:28" x14ac:dyDescent="0.3">
      <c r="H30" t="s">
        <v>793</v>
      </c>
      <c r="I30">
        <f>SUMIF($B$2:$B$26,H30,$I$2:$I$26)</f>
        <v>9</v>
      </c>
      <c r="J30">
        <f>SUMIF($L$2:$L$26,H30,$S$2:$S$26)</f>
        <v>5.25</v>
      </c>
      <c r="K30" s="208">
        <f>J30/I30</f>
        <v>0.58333333333333337</v>
      </c>
      <c r="L30">
        <f>SUMIF($L$2:$L$26,H30,$AB$2:$AB$26)-J30</f>
        <v>-5.25</v>
      </c>
      <c r="M30" s="17">
        <f t="shared" si="3"/>
        <v>0</v>
      </c>
    </row>
    <row r="31" spans="2:28" x14ac:dyDescent="0.3">
      <c r="H31" t="s">
        <v>794</v>
      </c>
      <c r="I31">
        <f>SUMIF($B$2:$B$26,H31,$I$2:$I$26)</f>
        <v>13</v>
      </c>
      <c r="J31">
        <f>SUMIF($L$2:$L$26,H31,$S$2:$S$26)</f>
        <v>10.5</v>
      </c>
      <c r="K31" s="208">
        <f>J31/I31</f>
        <v>0.80769230769230771</v>
      </c>
      <c r="L31">
        <f>SUMIF($L$2:$L$26,H31,$AB$2:$AB$26)-J31</f>
        <v>-10.5</v>
      </c>
      <c r="M31" s="17">
        <f t="shared" si="3"/>
        <v>0</v>
      </c>
    </row>
    <row r="32" spans="2:28" x14ac:dyDescent="0.3">
      <c r="H32" t="s">
        <v>795</v>
      </c>
      <c r="I32">
        <f>SUMIF($B$2:$B$26,H32,$I$2:$I$26)</f>
        <v>19.75</v>
      </c>
      <c r="J32">
        <f>SUMIF($L$2:$L$26,H32,$S$2:$S$26)</f>
        <v>16.5</v>
      </c>
      <c r="K32" s="208">
        <f>J32/I32</f>
        <v>0.83544303797468356</v>
      </c>
      <c r="L32">
        <f>SUMIF($L$2:$L$26,H32,$AB$2:$AB$26)-J32</f>
        <v>-16.5</v>
      </c>
      <c r="M32" s="17">
        <f>L32/I32+K32</f>
        <v>0</v>
      </c>
    </row>
    <row r="33" spans="9:13" x14ac:dyDescent="0.3">
      <c r="I33">
        <f>SUM(I29:I32)</f>
        <v>51</v>
      </c>
      <c r="J33" s="209">
        <f>SUM(J29:J32)</f>
        <v>36.75</v>
      </c>
      <c r="K33" s="208">
        <f>J33/I33</f>
        <v>0.72058823529411764</v>
      </c>
      <c r="L33" s="209">
        <f>SUM(L29:L32)+J33</f>
        <v>0</v>
      </c>
      <c r="M33" s="17">
        <f>L33/I33</f>
        <v>0</v>
      </c>
    </row>
    <row r="35" spans="9:13" x14ac:dyDescent="0.3">
      <c r="I35">
        <v>52.5</v>
      </c>
      <c r="J35">
        <v>37</v>
      </c>
      <c r="K35" s="208">
        <f>J35/I35</f>
        <v>0.70476190476190481</v>
      </c>
    </row>
    <row r="36" spans="9:13" x14ac:dyDescent="0.3">
      <c r="I36">
        <f>I33/I35*I35</f>
        <v>51</v>
      </c>
      <c r="J36">
        <f>J35*I33/I35</f>
        <v>35.942857142857143</v>
      </c>
      <c r="K36" s="208">
        <f>J36/I36</f>
        <v>0.70476190476190481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1:T35"/>
  <sheetViews>
    <sheetView topLeftCell="B13" workbookViewId="0">
      <selection activeCell="M17" sqref="M17"/>
    </sheetView>
  </sheetViews>
  <sheetFormatPr defaultRowHeight="14.4" x14ac:dyDescent="0.3"/>
  <sheetData>
    <row r="1" spans="2:20" x14ac:dyDescent="0.3">
      <c r="D1" t="s">
        <v>1501</v>
      </c>
      <c r="E1" t="s">
        <v>1502</v>
      </c>
      <c r="F1" t="s">
        <v>1543</v>
      </c>
      <c r="G1" t="s">
        <v>1504</v>
      </c>
      <c r="H1" t="s">
        <v>1505</v>
      </c>
      <c r="N1" t="s">
        <v>1501</v>
      </c>
      <c r="O1" t="s">
        <v>1502</v>
      </c>
      <c r="P1" t="s">
        <v>1543</v>
      </c>
      <c r="Q1" t="s">
        <v>1504</v>
      </c>
      <c r="R1" t="s">
        <v>1505</v>
      </c>
    </row>
    <row r="2" spans="2:20" x14ac:dyDescent="0.3">
      <c r="B2" t="s">
        <v>792</v>
      </c>
      <c r="C2">
        <v>1</v>
      </c>
      <c r="D2">
        <v>1.25</v>
      </c>
      <c r="I2">
        <f>SUM(D2:H2)</f>
        <v>1.25</v>
      </c>
      <c r="L2" t="s">
        <v>792</v>
      </c>
      <c r="M2">
        <v>1</v>
      </c>
      <c r="N2">
        <v>1.25</v>
      </c>
      <c r="S2">
        <f>SUM(N2:R2)</f>
        <v>1.25</v>
      </c>
      <c r="T2">
        <f>S2/I2</f>
        <v>1</v>
      </c>
    </row>
    <row r="3" spans="2:20" x14ac:dyDescent="0.3">
      <c r="B3" t="s">
        <v>792</v>
      </c>
      <c r="C3">
        <v>2</v>
      </c>
      <c r="D3">
        <v>1.5</v>
      </c>
      <c r="I3">
        <f t="shared" ref="I3:I25" si="0">SUM(D3:H3)</f>
        <v>1.5</v>
      </c>
      <c r="L3" t="s">
        <v>792</v>
      </c>
      <c r="M3">
        <v>2</v>
      </c>
      <c r="N3">
        <v>1</v>
      </c>
      <c r="S3">
        <f t="shared" ref="S3:S25" si="1">SUM(N3:R3)</f>
        <v>1</v>
      </c>
      <c r="T3">
        <f t="shared" ref="T3:T25" si="2">S3/I3</f>
        <v>0.66666666666666663</v>
      </c>
    </row>
    <row r="4" spans="2:20" x14ac:dyDescent="0.3">
      <c r="B4" t="s">
        <v>792</v>
      </c>
      <c r="C4">
        <v>3</v>
      </c>
      <c r="D4">
        <v>1.5</v>
      </c>
      <c r="E4">
        <v>0.5</v>
      </c>
      <c r="I4">
        <f t="shared" si="0"/>
        <v>2</v>
      </c>
      <c r="L4" t="s">
        <v>792</v>
      </c>
      <c r="M4">
        <v>3</v>
      </c>
      <c r="N4">
        <v>1.5</v>
      </c>
      <c r="O4">
        <v>0.5</v>
      </c>
      <c r="S4">
        <f t="shared" si="1"/>
        <v>2</v>
      </c>
      <c r="T4">
        <f t="shared" si="2"/>
        <v>1</v>
      </c>
    </row>
    <row r="5" spans="2:20" x14ac:dyDescent="0.3">
      <c r="B5" t="s">
        <v>792</v>
      </c>
      <c r="C5">
        <v>4</v>
      </c>
      <c r="D5">
        <v>1</v>
      </c>
      <c r="E5">
        <v>0.5</v>
      </c>
      <c r="I5">
        <f t="shared" si="0"/>
        <v>1.5</v>
      </c>
      <c r="L5" t="s">
        <v>792</v>
      </c>
      <c r="M5">
        <v>4</v>
      </c>
      <c r="N5">
        <v>0.5</v>
      </c>
      <c r="O5">
        <v>0.5</v>
      </c>
      <c r="S5">
        <f t="shared" si="1"/>
        <v>1</v>
      </c>
      <c r="T5">
        <f t="shared" si="2"/>
        <v>0.66666666666666663</v>
      </c>
    </row>
    <row r="6" spans="2:20" x14ac:dyDescent="0.3">
      <c r="B6" t="s">
        <v>792</v>
      </c>
      <c r="C6">
        <v>5</v>
      </c>
      <c r="D6">
        <v>2.75</v>
      </c>
      <c r="I6">
        <f t="shared" si="0"/>
        <v>2.75</v>
      </c>
      <c r="L6" t="s">
        <v>792</v>
      </c>
      <c r="M6">
        <v>5</v>
      </c>
      <c r="N6">
        <v>2.75</v>
      </c>
      <c r="S6">
        <f t="shared" si="1"/>
        <v>2.75</v>
      </c>
      <c r="T6">
        <f t="shared" si="2"/>
        <v>1</v>
      </c>
    </row>
    <row r="7" spans="2:20" x14ac:dyDescent="0.3">
      <c r="B7" t="s">
        <v>792</v>
      </c>
      <c r="C7">
        <v>6</v>
      </c>
      <c r="D7">
        <v>0.5</v>
      </c>
      <c r="E7">
        <v>1</v>
      </c>
      <c r="F7">
        <v>0.5</v>
      </c>
      <c r="I7">
        <f t="shared" si="0"/>
        <v>2</v>
      </c>
      <c r="L7" t="s">
        <v>792</v>
      </c>
      <c r="M7">
        <v>6</v>
      </c>
      <c r="N7">
        <v>0.5</v>
      </c>
      <c r="O7">
        <v>0.5</v>
      </c>
      <c r="P7">
        <v>0.25</v>
      </c>
      <c r="S7">
        <f t="shared" si="1"/>
        <v>1.25</v>
      </c>
      <c r="T7">
        <f t="shared" si="2"/>
        <v>0.625</v>
      </c>
    </row>
    <row r="8" spans="2:20" x14ac:dyDescent="0.3">
      <c r="B8" t="s">
        <v>793</v>
      </c>
      <c r="C8">
        <v>7</v>
      </c>
      <c r="D8">
        <v>1.75</v>
      </c>
      <c r="I8">
        <f t="shared" si="0"/>
        <v>1.75</v>
      </c>
      <c r="L8" t="s">
        <v>793</v>
      </c>
      <c r="M8">
        <v>7</v>
      </c>
      <c r="N8">
        <v>1.5</v>
      </c>
      <c r="S8">
        <f t="shared" si="1"/>
        <v>1.5</v>
      </c>
      <c r="T8">
        <f t="shared" si="2"/>
        <v>0.8571428571428571</v>
      </c>
    </row>
    <row r="9" spans="2:20" x14ac:dyDescent="0.3">
      <c r="B9" t="s">
        <v>793</v>
      </c>
      <c r="C9">
        <v>8</v>
      </c>
      <c r="D9">
        <v>1.5</v>
      </c>
      <c r="E9">
        <v>0.5</v>
      </c>
      <c r="I9">
        <f t="shared" si="0"/>
        <v>2</v>
      </c>
      <c r="L9" t="s">
        <v>793</v>
      </c>
      <c r="M9">
        <v>8</v>
      </c>
      <c r="N9">
        <v>1.5</v>
      </c>
      <c r="O9">
        <v>0.5</v>
      </c>
      <c r="S9">
        <f t="shared" si="1"/>
        <v>2</v>
      </c>
      <c r="T9">
        <f t="shared" si="2"/>
        <v>1</v>
      </c>
    </row>
    <row r="10" spans="2:20" x14ac:dyDescent="0.3">
      <c r="B10" t="s">
        <v>793</v>
      </c>
      <c r="C10">
        <v>9</v>
      </c>
      <c r="D10">
        <v>0.5</v>
      </c>
      <c r="E10">
        <v>2</v>
      </c>
      <c r="I10">
        <f t="shared" si="0"/>
        <v>2.5</v>
      </c>
      <c r="L10" t="s">
        <v>793</v>
      </c>
      <c r="M10">
        <v>9</v>
      </c>
      <c r="N10">
        <v>0.5</v>
      </c>
      <c r="O10">
        <v>2</v>
      </c>
      <c r="S10">
        <f t="shared" si="1"/>
        <v>2.5</v>
      </c>
      <c r="T10">
        <f t="shared" si="2"/>
        <v>1</v>
      </c>
    </row>
    <row r="11" spans="2:20" x14ac:dyDescent="0.3">
      <c r="B11" t="s">
        <v>793</v>
      </c>
      <c r="C11">
        <v>10</v>
      </c>
      <c r="D11">
        <v>0.5</v>
      </c>
      <c r="E11">
        <v>0.5</v>
      </c>
      <c r="F11">
        <v>1</v>
      </c>
      <c r="I11">
        <f t="shared" si="0"/>
        <v>2</v>
      </c>
      <c r="L11" t="s">
        <v>793</v>
      </c>
      <c r="M11">
        <v>10</v>
      </c>
      <c r="N11">
        <v>0.5</v>
      </c>
      <c r="O11">
        <v>0</v>
      </c>
      <c r="P11">
        <v>1</v>
      </c>
      <c r="S11">
        <f t="shared" si="1"/>
        <v>1.5</v>
      </c>
      <c r="T11">
        <f t="shared" si="2"/>
        <v>0.75</v>
      </c>
    </row>
    <row r="12" spans="2:20" x14ac:dyDescent="0.3">
      <c r="B12" t="s">
        <v>793</v>
      </c>
      <c r="C12">
        <v>11</v>
      </c>
      <c r="D12">
        <v>0.5</v>
      </c>
      <c r="E12">
        <v>1.5</v>
      </c>
      <c r="F12">
        <v>0.5</v>
      </c>
      <c r="I12">
        <f t="shared" si="0"/>
        <v>2.5</v>
      </c>
      <c r="L12" t="s">
        <v>793</v>
      </c>
      <c r="M12">
        <v>11</v>
      </c>
      <c r="S12">
        <f t="shared" si="1"/>
        <v>0</v>
      </c>
      <c r="T12">
        <f t="shared" si="2"/>
        <v>0</v>
      </c>
    </row>
    <row r="13" spans="2:20" x14ac:dyDescent="0.3">
      <c r="B13" t="s">
        <v>794</v>
      </c>
      <c r="C13">
        <v>12</v>
      </c>
      <c r="D13">
        <v>1.25</v>
      </c>
      <c r="E13">
        <v>1</v>
      </c>
      <c r="F13">
        <v>0.5</v>
      </c>
      <c r="I13">
        <f t="shared" si="0"/>
        <v>2.75</v>
      </c>
      <c r="L13" t="s">
        <v>794</v>
      </c>
      <c r="M13">
        <v>12</v>
      </c>
      <c r="N13">
        <v>1.25</v>
      </c>
      <c r="O13">
        <v>1</v>
      </c>
      <c r="P13">
        <v>0</v>
      </c>
      <c r="S13">
        <f t="shared" si="1"/>
        <v>2.25</v>
      </c>
      <c r="T13">
        <f t="shared" si="2"/>
        <v>0.81818181818181823</v>
      </c>
    </row>
    <row r="14" spans="2:20" x14ac:dyDescent="0.3">
      <c r="B14" t="s">
        <v>794</v>
      </c>
      <c r="C14">
        <v>13</v>
      </c>
      <c r="D14">
        <v>1</v>
      </c>
      <c r="E14">
        <v>1</v>
      </c>
      <c r="I14">
        <f t="shared" si="0"/>
        <v>2</v>
      </c>
      <c r="L14" t="s">
        <v>794</v>
      </c>
      <c r="M14">
        <v>13</v>
      </c>
      <c r="N14">
        <v>0.25</v>
      </c>
      <c r="O14">
        <v>0.5</v>
      </c>
      <c r="S14">
        <f t="shared" si="1"/>
        <v>0.75</v>
      </c>
      <c r="T14">
        <f t="shared" si="2"/>
        <v>0.375</v>
      </c>
    </row>
    <row r="15" spans="2:20" x14ac:dyDescent="0.3">
      <c r="B15" t="s">
        <v>794</v>
      </c>
      <c r="C15">
        <v>14</v>
      </c>
      <c r="D15">
        <v>2</v>
      </c>
      <c r="I15">
        <f t="shared" si="0"/>
        <v>2</v>
      </c>
      <c r="L15" t="s">
        <v>794</v>
      </c>
      <c r="M15">
        <v>14</v>
      </c>
      <c r="N15">
        <v>2</v>
      </c>
      <c r="S15">
        <f t="shared" si="1"/>
        <v>2</v>
      </c>
      <c r="T15">
        <f t="shared" si="2"/>
        <v>1</v>
      </c>
    </row>
    <row r="16" spans="2:20" x14ac:dyDescent="0.3">
      <c r="B16" t="s">
        <v>794</v>
      </c>
      <c r="C16">
        <v>15</v>
      </c>
      <c r="D16">
        <v>2</v>
      </c>
      <c r="I16">
        <f t="shared" si="0"/>
        <v>2</v>
      </c>
      <c r="L16" t="s">
        <v>794</v>
      </c>
      <c r="M16">
        <v>15</v>
      </c>
      <c r="N16">
        <v>1.75</v>
      </c>
      <c r="S16">
        <f t="shared" si="1"/>
        <v>1.75</v>
      </c>
      <c r="T16">
        <f t="shared" si="2"/>
        <v>0.875</v>
      </c>
    </row>
    <row r="17" spans="2:20" x14ac:dyDescent="0.3">
      <c r="B17" t="s">
        <v>794</v>
      </c>
      <c r="C17">
        <v>16</v>
      </c>
      <c r="D17">
        <v>0.5</v>
      </c>
      <c r="E17">
        <v>1.5</v>
      </c>
      <c r="F17">
        <v>1.5</v>
      </c>
      <c r="I17">
        <f t="shared" si="0"/>
        <v>3.5</v>
      </c>
      <c r="L17" t="s">
        <v>794</v>
      </c>
      <c r="M17">
        <v>16</v>
      </c>
      <c r="N17">
        <v>0</v>
      </c>
      <c r="O17">
        <v>0.5</v>
      </c>
      <c r="P17">
        <v>0.5</v>
      </c>
      <c r="S17">
        <f t="shared" si="1"/>
        <v>1</v>
      </c>
      <c r="T17">
        <f t="shared" si="2"/>
        <v>0.2857142857142857</v>
      </c>
    </row>
    <row r="18" spans="2:20" x14ac:dyDescent="0.3">
      <c r="B18" t="s">
        <v>794</v>
      </c>
      <c r="C18">
        <v>17</v>
      </c>
      <c r="D18">
        <v>1</v>
      </c>
      <c r="E18">
        <v>0.75</v>
      </c>
      <c r="I18">
        <f t="shared" si="0"/>
        <v>1.75</v>
      </c>
      <c r="L18" t="s">
        <v>794</v>
      </c>
      <c r="M18">
        <v>17</v>
      </c>
      <c r="N18">
        <v>1</v>
      </c>
      <c r="O18">
        <v>0</v>
      </c>
      <c r="S18">
        <f t="shared" si="1"/>
        <v>1</v>
      </c>
      <c r="T18">
        <f t="shared" si="2"/>
        <v>0.5714285714285714</v>
      </c>
    </row>
    <row r="19" spans="2:20" x14ac:dyDescent="0.3">
      <c r="B19" t="s">
        <v>795</v>
      </c>
      <c r="C19">
        <v>18</v>
      </c>
      <c r="D19">
        <v>2.5</v>
      </c>
      <c r="E19">
        <v>0.5</v>
      </c>
      <c r="I19">
        <f t="shared" si="0"/>
        <v>3</v>
      </c>
      <c r="L19" t="s">
        <v>795</v>
      </c>
      <c r="M19">
        <v>18</v>
      </c>
      <c r="N19">
        <v>3</v>
      </c>
      <c r="S19">
        <f t="shared" si="1"/>
        <v>3</v>
      </c>
      <c r="T19">
        <f t="shared" si="2"/>
        <v>1</v>
      </c>
    </row>
    <row r="20" spans="2:20" x14ac:dyDescent="0.3">
      <c r="B20" t="s">
        <v>795</v>
      </c>
      <c r="C20">
        <v>19</v>
      </c>
      <c r="D20">
        <v>1.25</v>
      </c>
      <c r="E20">
        <v>1</v>
      </c>
      <c r="I20">
        <f t="shared" si="0"/>
        <v>2.25</v>
      </c>
      <c r="L20" t="s">
        <v>795</v>
      </c>
      <c r="M20">
        <v>19</v>
      </c>
      <c r="N20">
        <v>1.25</v>
      </c>
      <c r="O20">
        <v>1</v>
      </c>
      <c r="S20">
        <f t="shared" si="1"/>
        <v>2.25</v>
      </c>
      <c r="T20">
        <f t="shared" si="2"/>
        <v>1</v>
      </c>
    </row>
    <row r="21" spans="2:20" x14ac:dyDescent="0.3">
      <c r="B21" t="s">
        <v>795</v>
      </c>
      <c r="C21">
        <v>20</v>
      </c>
      <c r="D21">
        <v>1.5</v>
      </c>
      <c r="E21">
        <v>1</v>
      </c>
      <c r="I21">
        <f t="shared" si="0"/>
        <v>2.5</v>
      </c>
      <c r="L21" t="s">
        <v>795</v>
      </c>
      <c r="M21">
        <v>20</v>
      </c>
      <c r="N21">
        <v>1</v>
      </c>
      <c r="O21">
        <v>0.5</v>
      </c>
      <c r="S21">
        <f t="shared" si="1"/>
        <v>1.5</v>
      </c>
      <c r="T21">
        <f t="shared" si="2"/>
        <v>0.6</v>
      </c>
    </row>
    <row r="22" spans="2:20" x14ac:dyDescent="0.3">
      <c r="B22" t="s">
        <v>795</v>
      </c>
      <c r="C22">
        <v>21</v>
      </c>
      <c r="D22">
        <v>1</v>
      </c>
      <c r="I22">
        <f t="shared" si="0"/>
        <v>1</v>
      </c>
      <c r="L22" t="s">
        <v>795</v>
      </c>
      <c r="M22">
        <v>21</v>
      </c>
      <c r="N22">
        <v>1</v>
      </c>
      <c r="S22">
        <f t="shared" si="1"/>
        <v>1</v>
      </c>
      <c r="T22">
        <f t="shared" si="2"/>
        <v>1</v>
      </c>
    </row>
    <row r="23" spans="2:20" x14ac:dyDescent="0.3">
      <c r="B23" t="s">
        <v>795</v>
      </c>
      <c r="C23">
        <v>22</v>
      </c>
      <c r="D23">
        <v>2.25</v>
      </c>
      <c r="E23">
        <v>2</v>
      </c>
      <c r="I23">
        <f t="shared" si="0"/>
        <v>4.25</v>
      </c>
      <c r="L23" t="s">
        <v>795</v>
      </c>
      <c r="M23">
        <v>22</v>
      </c>
      <c r="N23">
        <v>2.25</v>
      </c>
      <c r="O23">
        <v>1.5</v>
      </c>
      <c r="S23">
        <f t="shared" si="1"/>
        <v>3.75</v>
      </c>
      <c r="T23">
        <f t="shared" si="2"/>
        <v>0.88235294117647056</v>
      </c>
    </row>
    <row r="24" spans="2:20" x14ac:dyDescent="0.3">
      <c r="B24" t="s">
        <v>795</v>
      </c>
      <c r="C24">
        <v>23</v>
      </c>
      <c r="D24">
        <v>1.75</v>
      </c>
      <c r="I24">
        <f t="shared" si="0"/>
        <v>1.75</v>
      </c>
      <c r="L24" t="s">
        <v>795</v>
      </c>
      <c r="M24">
        <v>23</v>
      </c>
      <c r="N24">
        <v>1.75</v>
      </c>
      <c r="S24">
        <f t="shared" si="1"/>
        <v>1.75</v>
      </c>
      <c r="T24">
        <f t="shared" si="2"/>
        <v>1</v>
      </c>
    </row>
    <row r="25" spans="2:20" x14ac:dyDescent="0.3">
      <c r="B25" t="s">
        <v>795</v>
      </c>
      <c r="C25">
        <v>24</v>
      </c>
      <c r="D25">
        <v>3</v>
      </c>
      <c r="I25">
        <f t="shared" si="0"/>
        <v>3</v>
      </c>
      <c r="L25" t="s">
        <v>795</v>
      </c>
      <c r="M25">
        <v>24</v>
      </c>
      <c r="N25">
        <v>3</v>
      </c>
      <c r="S25">
        <f t="shared" si="1"/>
        <v>3</v>
      </c>
      <c r="T25">
        <f t="shared" si="2"/>
        <v>1</v>
      </c>
    </row>
    <row r="28" spans="2:20" x14ac:dyDescent="0.3">
      <c r="H28" t="s">
        <v>792</v>
      </c>
      <c r="I28">
        <f>SUMIF($B$2:$B$25,H28,$I$2:$I$25)</f>
        <v>11</v>
      </c>
      <c r="J28">
        <f>SUMIF($L$2:$L$25,H28,$S$2:$S$25)</f>
        <v>9.25</v>
      </c>
      <c r="K28" s="208">
        <f>J28/I28</f>
        <v>0.84090909090909094</v>
      </c>
      <c r="L28">
        <f>SUMIF($L$2:$L$25,H28,$AB$2:$AB$25)-J28</f>
        <v>-9.25</v>
      </c>
      <c r="M28" s="17">
        <f t="shared" ref="M28:M30" si="3">L28/I28+K28</f>
        <v>0</v>
      </c>
    </row>
    <row r="29" spans="2:20" x14ac:dyDescent="0.3">
      <c r="H29" t="s">
        <v>793</v>
      </c>
      <c r="I29">
        <f>SUMIF($B$2:$B$25,H29,$I$2:$I$25)</f>
        <v>10.75</v>
      </c>
      <c r="J29">
        <f>SUMIF($L$2:$L$25,H29,$S$2:$S$25)</f>
        <v>7.5</v>
      </c>
      <c r="K29" s="208">
        <f>J29/I29</f>
        <v>0.69767441860465118</v>
      </c>
      <c r="L29">
        <f>SUMIF($L$2:$L$25,H29,$AB$2:$AB$25)-J29</f>
        <v>-7.5</v>
      </c>
      <c r="M29" s="17">
        <f t="shared" si="3"/>
        <v>0</v>
      </c>
    </row>
    <row r="30" spans="2:20" x14ac:dyDescent="0.3">
      <c r="H30" t="s">
        <v>794</v>
      </c>
      <c r="I30">
        <f>SUMIF($B$2:$B$25,H30,$I$2:$I$25)</f>
        <v>14</v>
      </c>
      <c r="J30">
        <f>SUMIF($L$2:$L$25,H30,$S$2:$S$25)</f>
        <v>8.75</v>
      </c>
      <c r="K30" s="208">
        <f>J30/I30</f>
        <v>0.625</v>
      </c>
      <c r="L30">
        <f>SUMIF($L$2:$L$25,H30,$AB$2:$AB$25)-J30</f>
        <v>-8.75</v>
      </c>
      <c r="M30" s="17">
        <f t="shared" si="3"/>
        <v>0</v>
      </c>
    </row>
    <row r="31" spans="2:20" x14ac:dyDescent="0.3">
      <c r="H31" t="s">
        <v>795</v>
      </c>
      <c r="I31">
        <f>SUMIF($B$2:$B$25,H31,$I$2:$I$25)</f>
        <v>17.75</v>
      </c>
      <c r="J31">
        <f>SUMIF($L$2:$L$25,H31,$S$2:$S$25)</f>
        <v>16.25</v>
      </c>
      <c r="K31" s="208">
        <f>J31/I31</f>
        <v>0.91549295774647887</v>
      </c>
      <c r="L31">
        <f>SUMIF($L$2:$L$25,H31,$AB$2:$AB$25)-J31</f>
        <v>-16.25</v>
      </c>
      <c r="M31" s="17">
        <f>L31/I31+K31</f>
        <v>0</v>
      </c>
    </row>
    <row r="32" spans="2:20" x14ac:dyDescent="0.3">
      <c r="I32">
        <f>SUM(I28:I31)</f>
        <v>53.5</v>
      </c>
      <c r="J32" s="209">
        <f>SUM(J28:J31)</f>
        <v>41.75</v>
      </c>
      <c r="K32" s="208">
        <f>J32/I32</f>
        <v>0.78037383177570097</v>
      </c>
      <c r="L32" s="209">
        <f>SUM(L28:L31)+J32</f>
        <v>0</v>
      </c>
      <c r="M32" s="17">
        <f>L32/I32</f>
        <v>0</v>
      </c>
    </row>
    <row r="34" spans="9:11" x14ac:dyDescent="0.3">
      <c r="I34">
        <v>53.5</v>
      </c>
      <c r="J34">
        <v>38.25</v>
      </c>
      <c r="K34" s="208">
        <f>J34/I34</f>
        <v>0.71495327102803741</v>
      </c>
    </row>
    <row r="35" spans="9:11" x14ac:dyDescent="0.3">
      <c r="I35">
        <f>I32/I34*I34</f>
        <v>53.5</v>
      </c>
      <c r="J35">
        <f>J34*I32/I34</f>
        <v>38.25</v>
      </c>
      <c r="K35" s="208">
        <f>J35/I35</f>
        <v>0.71495327102803741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76</vt:i4>
      </vt:variant>
    </vt:vector>
  </HeadingPairs>
  <TitlesOfParts>
    <vt:vector size="93" baseType="lpstr">
      <vt:lpstr>Notes</vt:lpstr>
      <vt:lpstr>ToDo</vt:lpstr>
      <vt:lpstr>Schedule</vt:lpstr>
      <vt:lpstr>OutstandingQs</vt:lpstr>
      <vt:lpstr>ReadingIndex</vt:lpstr>
      <vt:lpstr>FinalSchedule</vt:lpstr>
      <vt:lpstr>Stats</vt:lpstr>
      <vt:lpstr>Timecard</vt:lpstr>
      <vt:lpstr>ResultDB</vt:lpstr>
      <vt:lpstr>PriorResults</vt:lpstr>
      <vt:lpstr>QuestionDB</vt:lpstr>
      <vt:lpstr>RawQuestionDB</vt:lpstr>
      <vt:lpstr>Settings</vt:lpstr>
      <vt:lpstr>Sheet1</vt:lpstr>
      <vt:lpstr>2015</vt:lpstr>
      <vt:lpstr>2013</vt:lpstr>
      <vt:lpstr>2014</vt:lpstr>
      <vt:lpstr>Control.PointSpeed</vt:lpstr>
      <vt:lpstr>Notes.Notes</vt:lpstr>
      <vt:lpstr>QDB.APage</vt:lpstr>
      <vt:lpstr>QDB.Code</vt:lpstr>
      <vt:lpstr>QDB.Exclude</vt:lpstr>
      <vt:lpstr>QDB.Filename</vt:lpstr>
      <vt:lpstr>QDB.Paper</vt:lpstr>
      <vt:lpstr>QDB.Points</vt:lpstr>
      <vt:lpstr>QDB.QPage</vt:lpstr>
      <vt:lpstr>QDB.Question</vt:lpstr>
      <vt:lpstr>QDB.Source</vt:lpstr>
      <vt:lpstr>RDB.APage</vt:lpstr>
      <vt:lpstr>RDB.AttemptNum</vt:lpstr>
      <vt:lpstr>RDB.Code</vt:lpstr>
      <vt:lpstr>RDB.Correct</vt:lpstr>
      <vt:lpstr>RDB.Day</vt:lpstr>
      <vt:lpstr>RDB.ElapsedTime</vt:lpstr>
      <vt:lpstr>RDB.EndTime</vt:lpstr>
      <vt:lpstr>RDB.Filename</vt:lpstr>
      <vt:lpstr>RDB.Marked</vt:lpstr>
      <vt:lpstr>RDB.ModeCode</vt:lpstr>
      <vt:lpstr>RDB.Notes</vt:lpstr>
      <vt:lpstr>RDB.Paper</vt:lpstr>
      <vt:lpstr>RDB.Points</vt:lpstr>
      <vt:lpstr>RDB.QPage</vt:lpstr>
      <vt:lpstr>RDB.Question</vt:lpstr>
      <vt:lpstr>RDB.Source</vt:lpstr>
      <vt:lpstr>RDB.StartTime</vt:lpstr>
      <vt:lpstr>RI.Accuracy</vt:lpstr>
      <vt:lpstr>RI.AdjWt</vt:lpstr>
      <vt:lpstr>RI.Exhibits</vt:lpstr>
      <vt:lpstr>RI.LObj</vt:lpstr>
      <vt:lpstr>RI.Mahler_Notes</vt:lpstr>
      <vt:lpstr>RI.Manual_Pg</vt:lpstr>
      <vt:lpstr>RI.Other_Notes</vt:lpstr>
      <vt:lpstr>RI.Paper</vt:lpstr>
      <vt:lpstr>RI.Personal_Notes</vt:lpstr>
      <vt:lpstr>RI.Problems</vt:lpstr>
      <vt:lpstr>RI.Readings</vt:lpstr>
      <vt:lpstr>RI.Readings_Pg</vt:lpstr>
      <vt:lpstr>RI.SelWt</vt:lpstr>
      <vt:lpstr>RI.Speed</vt:lpstr>
      <vt:lpstr>RI.TIA_Pg</vt:lpstr>
      <vt:lpstr>RQDB.APage</vt:lpstr>
      <vt:lpstr>RQDB.Code</vt:lpstr>
      <vt:lpstr>RQDB.Exclude</vt:lpstr>
      <vt:lpstr>RQDB.Filename</vt:lpstr>
      <vt:lpstr>RQDB.Paper</vt:lpstr>
      <vt:lpstr>RQDB.Points</vt:lpstr>
      <vt:lpstr>RQDB.QPage</vt:lpstr>
      <vt:lpstr>RQDB.Question</vt:lpstr>
      <vt:lpstr>RQDB.Source</vt:lpstr>
      <vt:lpstr>Settings.AdobePath</vt:lpstr>
      <vt:lpstr>Settings.ComputerName</vt:lpstr>
      <vt:lpstr>Settings.DefaultComputer</vt:lpstr>
      <vt:lpstr>Settings.ExamALeft</vt:lpstr>
      <vt:lpstr>Settings.ExamATop</vt:lpstr>
      <vt:lpstr>Settings.ExamInfoLeft</vt:lpstr>
      <vt:lpstr>Settings.ExamInfoTop</vt:lpstr>
      <vt:lpstr>Settings.ExamQLeft</vt:lpstr>
      <vt:lpstr>Settings.ExamQTop</vt:lpstr>
      <vt:lpstr>Settings.HWFormLeft</vt:lpstr>
      <vt:lpstr>Settings.HWFormTop</vt:lpstr>
      <vt:lpstr>Settings.ModeFormLeft</vt:lpstr>
      <vt:lpstr>Settings.ModeFormTop</vt:lpstr>
      <vt:lpstr>Settings.MSWordPath</vt:lpstr>
      <vt:lpstr>Settings.ResultsFormLeft</vt:lpstr>
      <vt:lpstr>Settings.ResultsFormTop</vt:lpstr>
      <vt:lpstr>Settings.Settings2Left</vt:lpstr>
      <vt:lpstr>Settings.Settings2Top</vt:lpstr>
      <vt:lpstr>Settings.SettingsLeft</vt:lpstr>
      <vt:lpstr>Settings.SettingsTop</vt:lpstr>
      <vt:lpstr>Timecard.Day</vt:lpstr>
      <vt:lpstr>Timecard.In</vt:lpstr>
      <vt:lpstr>Timecard.Out</vt:lpstr>
      <vt:lpstr>Timecard.Total</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Jensen</dc:creator>
  <cp:lastModifiedBy>Li, Lingxiao</cp:lastModifiedBy>
  <cp:lastPrinted>2014-10-23T19:49:23Z</cp:lastPrinted>
  <dcterms:created xsi:type="dcterms:W3CDTF">2013-02-11T17:33:10Z</dcterms:created>
  <dcterms:modified xsi:type="dcterms:W3CDTF">2017-02-17T20:11:06Z</dcterms:modified>
</cp:coreProperties>
</file>